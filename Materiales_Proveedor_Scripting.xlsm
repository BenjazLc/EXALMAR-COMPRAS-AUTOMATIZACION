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xalmarperu-my.sharepoint.com/personal/blapa_exalmar_com_pe/Documents/Escritorio/Scripts/"/>
    </mc:Choice>
  </mc:AlternateContent>
  <xr:revisionPtr revIDLastSave="6612" documentId="14_{E91176C2-7866-4414-A4EA-6B63B185BDA1}" xr6:coauthVersionLast="47" xr6:coauthVersionMax="47" xr10:uidLastSave="{FEAE369D-B11F-46B2-8C26-F2ED877B1651}"/>
  <bookViews>
    <workbookView xWindow="-110" yWindow="-110" windowWidth="19420" windowHeight="11500" tabRatio="791" xr2:uid="{00000000-000D-0000-FFFF-FFFF00000000}"/>
  </bookViews>
  <sheets>
    <sheet name="Solped_Hoy" sheetId="1" r:id="rId1"/>
    <sheet name="29-04" sheetId="21" r:id="rId2"/>
    <sheet name="28-04" sheetId="20" r:id="rId3"/>
    <sheet name="27-04" sheetId="17" r:id="rId4"/>
    <sheet name="jvega" sheetId="6" r:id="rId5"/>
    <sheet name="Cintill" sheetId="5" r:id="rId6"/>
    <sheet name="Sillas" sheetId="3" r:id="rId7"/>
    <sheet name="Pareto" sheetId="9" r:id="rId8"/>
    <sheet name="Solped_Hoy (2)" sheetId="11" r:id="rId9"/>
  </sheets>
  <functionGroups builtInGroupCount="19"/>
  <definedNames>
    <definedName name="_xlnm._FilterDatabase" localSheetId="3" hidden="1">'27-04'!$A$1:$AW$78</definedName>
    <definedName name="_xlnm._FilterDatabase" localSheetId="2" hidden="1">'28-04'!$A$1:$AW$78</definedName>
    <definedName name="_xlnm._FilterDatabase" localSheetId="1" hidden="1">'29-04'!$A$1:$AW$69</definedName>
    <definedName name="_xlnm._FilterDatabase" localSheetId="0" hidden="1">Solped_Hoy!$A$1:$AW$69</definedName>
    <definedName name="_xlnm._FilterDatabase" localSheetId="8" hidden="1">'Solped_Hoy (2)'!$A$1:$AW$78</definedName>
  </definedNames>
  <calcPr calcId="191029"/>
  <pivotCaches>
    <pivotCache cacheId="0" r:id="rId10"/>
    <pivotCache cacheId="1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9" l="1"/>
  <c r="D9" i="9"/>
  <c r="D8" i="9"/>
  <c r="D7" i="9"/>
  <c r="D6" i="9"/>
  <c r="D5" i="9"/>
  <c r="D4" i="9"/>
  <c r="D3" i="9"/>
  <c r="C10" i="9"/>
  <c r="C9" i="9"/>
  <c r="C8" i="9"/>
  <c r="C7" i="9"/>
  <c r="C6" i="9"/>
  <c r="C5" i="9"/>
  <c r="C4" i="9"/>
  <c r="C3" i="9"/>
  <c r="B6" i="9"/>
  <c r="B5" i="9"/>
  <c r="B4" i="9"/>
  <c r="B10" i="9"/>
  <c r="B9" i="9"/>
  <c r="B8" i="9"/>
  <c r="B7" i="9"/>
  <c r="B3" i="9"/>
  <c r="B2" i="9"/>
  <c r="H5" i="3"/>
  <c r="H4" i="3"/>
  <c r="C2" i="9" l="1"/>
  <c r="D2" i="9" s="1"/>
</calcChain>
</file>

<file path=xl/sharedStrings.xml><?xml version="1.0" encoding="utf-8"?>
<sst xmlns="http://schemas.openxmlformats.org/spreadsheetml/2006/main" count="8380" uniqueCount="718">
  <si>
    <t>Fecha de solicitud</t>
  </si>
  <si>
    <t>Solicitud de pedido</t>
  </si>
  <si>
    <t>Pos.solicitud pedido</t>
  </si>
  <si>
    <t>Material</t>
  </si>
  <si>
    <t>Texto breve</t>
  </si>
  <si>
    <t>Cantidad solicitada</t>
  </si>
  <si>
    <t>Unidad de medida</t>
  </si>
  <si>
    <t>Centro</t>
  </si>
  <si>
    <t>Precio</t>
  </si>
  <si>
    <t>Proveedor</t>
  </si>
  <si>
    <t>Fecha Documento (última)</t>
  </si>
  <si>
    <t>Proveedor / Centro Suministrador</t>
  </si>
  <si>
    <t>Precio Neto</t>
  </si>
  <si>
    <t>Moneda</t>
  </si>
  <si>
    <t>Cantidad Base</t>
  </si>
  <si>
    <t>UM Almacén</t>
  </si>
  <si>
    <t>Cantidad de pedido</t>
  </si>
  <si>
    <t>Documento compras</t>
  </si>
  <si>
    <t>Grupo de artículos</t>
  </si>
  <si>
    <t>Solicitante</t>
  </si>
  <si>
    <t>Grupo de compras</t>
  </si>
  <si>
    <t>Creado por</t>
  </si>
  <si>
    <t>Almacén</t>
  </si>
  <si>
    <t>Cantidad pedida</t>
  </si>
  <si>
    <t>Status tratamiento</t>
  </si>
  <si>
    <t>Planif.necesidades</t>
  </si>
  <si>
    <t>Clase documento</t>
  </si>
  <si>
    <t>Pedido</t>
  </si>
  <si>
    <t>Posición de pedido</t>
  </si>
  <si>
    <t>Fecha de pedido</t>
  </si>
  <si>
    <t>Fecha de liberación</t>
  </si>
  <si>
    <t>Modificado el</t>
  </si>
  <si>
    <t>Entregas (de/a)</t>
  </si>
  <si>
    <t>Plazo entrega prev.</t>
  </si>
  <si>
    <t>Precio de valoración</t>
  </si>
  <si>
    <t>Valor total</t>
  </si>
  <si>
    <t>Texto bloqueo</t>
  </si>
  <si>
    <t>Número de necesidad</t>
  </si>
  <si>
    <t>ID Posicion</t>
  </si>
  <si>
    <t>Dias Disponibles</t>
  </si>
  <si>
    <t>Estado</t>
  </si>
  <si>
    <t>Comprador</t>
  </si>
  <si>
    <t>10</t>
  </si>
  <si>
    <t>UN</t>
  </si>
  <si>
    <t>1207</t>
  </si>
  <si>
    <t>ND</t>
  </si>
  <si>
    <t>PEN</t>
  </si>
  <si>
    <t>185</t>
  </si>
  <si>
    <t>EJIMENEZ</t>
  </si>
  <si>
    <t>0050</t>
  </si>
  <si>
    <t>N</t>
  </si>
  <si>
    <t>ZEX3</t>
  </si>
  <si>
    <t>0</t>
  </si>
  <si>
    <t>ATRASADO</t>
  </si>
  <si>
    <t>BLAPA</t>
  </si>
  <si>
    <t>1606</t>
  </si>
  <si>
    <t>USD</t>
  </si>
  <si>
    <t>198</t>
  </si>
  <si>
    <t>MRP-PAITA CH</t>
  </si>
  <si>
    <t>TRAN</t>
  </si>
  <si>
    <t>D06</t>
  </si>
  <si>
    <t>ZEX2</t>
  </si>
  <si>
    <t>A TIEMPO</t>
  </si>
  <si>
    <t>20</t>
  </si>
  <si>
    <t>30</t>
  </si>
  <si>
    <t>1101</t>
  </si>
  <si>
    <t>MRP-T.MORA</t>
  </si>
  <si>
    <t>I01</t>
  </si>
  <si>
    <t>SUJEABRAZ</t>
  </si>
  <si>
    <t>SCP_FIORI</t>
  </si>
  <si>
    <t>180</t>
  </si>
  <si>
    <t>1102</t>
  </si>
  <si>
    <t>FERRPEGAM</t>
  </si>
  <si>
    <t>MRP-HUACHO</t>
  </si>
  <si>
    <t>I02</t>
  </si>
  <si>
    <t>1601</t>
  </si>
  <si>
    <t>MGARCIAM</t>
  </si>
  <si>
    <t>MRP-T.MORA C</t>
  </si>
  <si>
    <t>D01</t>
  </si>
  <si>
    <t>80</t>
  </si>
  <si>
    <t>103474     GLOBALTEC SAC</t>
  </si>
  <si>
    <t>1000</t>
  </si>
  <si>
    <t>108561     SONEPAR PERU SAC</t>
  </si>
  <si>
    <t>ZEX1</t>
  </si>
  <si>
    <t>MRP-ALM.CENT</t>
  </si>
  <si>
    <t>Z02</t>
  </si>
  <si>
    <t>JEQUISPE</t>
  </si>
  <si>
    <t>Z01</t>
  </si>
  <si>
    <t>1103</t>
  </si>
  <si>
    <t>MRP-CHICAMA</t>
  </si>
  <si>
    <t>I03</t>
  </si>
  <si>
    <t>60</t>
  </si>
  <si>
    <t>1208</t>
  </si>
  <si>
    <t>MRP-C.DIST C</t>
  </si>
  <si>
    <t>I08</t>
  </si>
  <si>
    <t>PAA</t>
  </si>
  <si>
    <t>I07</t>
  </si>
  <si>
    <t>FTORRES</t>
  </si>
  <si>
    <t>ILUMLAMPA</t>
  </si>
  <si>
    <t>10559999</t>
  </si>
  <si>
    <t>CINTA CERA P/PELICULA 110MMX450M</t>
  </si>
  <si>
    <t>147493     TRANSMARINA DEL PERU SAC</t>
  </si>
  <si>
    <t>IMPRCINTA</t>
  </si>
  <si>
    <t>0048</t>
  </si>
  <si>
    <t>193</t>
  </si>
  <si>
    <t>40</t>
  </si>
  <si>
    <t>RSILVA</t>
  </si>
  <si>
    <t>RODARETEN</t>
  </si>
  <si>
    <t>SUJECINTI</t>
  </si>
  <si>
    <t>EFIESTAS</t>
  </si>
  <si>
    <t>10561647</t>
  </si>
  <si>
    <t>CEMENTO PVC GRIS HEAVY DUTY OATEY 473ML</t>
  </si>
  <si>
    <t>2014727-19-MTTODELINEADEAGUA-PLTACONGELADO</t>
  </si>
  <si>
    <t>10561938</t>
  </si>
  <si>
    <t>RETEN 1 9/16" X 2 1/2" X 1/2"</t>
  </si>
  <si>
    <t>2015262-4-REPARARBBAGORMANRUPPSTEL</t>
  </si>
  <si>
    <t>1056193820</t>
  </si>
  <si>
    <t>1056164710</t>
  </si>
  <si>
    <t>1055999920</t>
  </si>
  <si>
    <t>10562902</t>
  </si>
  <si>
    <t>REFLECTOR LED 20W 24V</t>
  </si>
  <si>
    <t>2008769-9-AREQ5-PM36MPRECARENACASCO#</t>
  </si>
  <si>
    <t>1056290210</t>
  </si>
  <si>
    <t>10562926</t>
  </si>
  <si>
    <t>2008769-10-AREQ5-PM36MPRECARENACASCO#</t>
  </si>
  <si>
    <t>1056292610</t>
  </si>
  <si>
    <t>SILLA EJECUTIVA CAJERO CUERO C/BRAZOS</t>
  </si>
  <si>
    <t>SILLA GIRA EJECUTIVA C/MALLA C/BRAZO</t>
  </si>
  <si>
    <t>RTOLENTINO</t>
  </si>
  <si>
    <t>CINTILLO PLAST 4.8 X 200MM</t>
  </si>
  <si>
    <t>CINTILLO PLAST 4.8 X 300MM</t>
  </si>
  <si>
    <t>B</t>
  </si>
  <si>
    <t>SILLA GIRA GERENCIAL C/MALLA C/BRAZO</t>
  </si>
  <si>
    <t>215</t>
  </si>
  <si>
    <t>NALVAREZ</t>
  </si>
  <si>
    <t>206</t>
  </si>
  <si>
    <t>TRANFAJAS</t>
  </si>
  <si>
    <t>10563651</t>
  </si>
  <si>
    <t>AURICULAR C/MICROFONO P/PC</t>
  </si>
  <si>
    <t>COMPHARDW</t>
  </si>
  <si>
    <t>ASAGASTEGUI1</t>
  </si>
  <si>
    <t>2017463-1-PRD.-CHBT-HP</t>
  </si>
  <si>
    <t>1056365110</t>
  </si>
  <si>
    <t>ELECTOMAC</t>
  </si>
  <si>
    <t>ANORIEGA</t>
  </si>
  <si>
    <t>ELECCOMPO</t>
  </si>
  <si>
    <t>10564112</t>
  </si>
  <si>
    <t>RECUBRIMIENTO UW COATING 0.5 KG WENCON</t>
  </si>
  <si>
    <t>201206     CRUISING GEAR INTERNATIONAL CORP</t>
  </si>
  <si>
    <t>105641121000</t>
  </si>
  <si>
    <t>10563903</t>
  </si>
  <si>
    <t>FOCO GLOBO LED E27 12W 240V PHILIPS</t>
  </si>
  <si>
    <t>ILUMFOCOS</t>
  </si>
  <si>
    <t>2017324-2-DORAD-PMCONSUMIBLESSIST.ELECTRICO</t>
  </si>
  <si>
    <t>1056390310</t>
  </si>
  <si>
    <t>10563972</t>
  </si>
  <si>
    <t>TUBO FLUORESCENTE LED T8 8W/765 PHILIPS</t>
  </si>
  <si>
    <t>2017745-2-RODAS-CAMBIARLUMINARIA</t>
  </si>
  <si>
    <t>1056397220</t>
  </si>
  <si>
    <t>10564291</t>
  </si>
  <si>
    <t>CINTA CERA P/PELICULA 110MMX91M</t>
  </si>
  <si>
    <t>CROJAS</t>
  </si>
  <si>
    <t>200</t>
  </si>
  <si>
    <t>1056429130</t>
  </si>
  <si>
    <t>1056429140</t>
  </si>
  <si>
    <t>10564010</t>
  </si>
  <si>
    <t>CINTILLO PLAST 9 X 550MM</t>
  </si>
  <si>
    <t>100493     ARIES COMERCIAL SAC</t>
  </si>
  <si>
    <t>105640101000</t>
  </si>
  <si>
    <t>Libera</t>
  </si>
  <si>
    <t>10564615</t>
  </si>
  <si>
    <t>LINTERNA FRONTAL LED P/CASCO</t>
  </si>
  <si>
    <t>2017317-12-ANCS2-PMCONSUMIBLESSIST.ELECTRICO</t>
  </si>
  <si>
    <t>1056461510</t>
  </si>
  <si>
    <t>102842     ESQUIVEL CONSULTORES SA</t>
  </si>
  <si>
    <t>Total general</t>
  </si>
  <si>
    <t>Suma de Cantidad solicitada</t>
  </si>
  <si>
    <t>Planificado</t>
  </si>
  <si>
    <t>Centinela</t>
  </si>
  <si>
    <t>Total</t>
  </si>
  <si>
    <t>Precio historico</t>
  </si>
  <si>
    <t>Precio base</t>
  </si>
  <si>
    <t>10565059</t>
  </si>
  <si>
    <t>CINTILLO PLAST 4.8 X 250MM</t>
  </si>
  <si>
    <t>105650591000</t>
  </si>
  <si>
    <t>10565184</t>
  </si>
  <si>
    <t>FOCO GLOBO LED BLANCO E27 10W 240V</t>
  </si>
  <si>
    <t>2017816-5-JUNI2-PMCONSUMIBLESSIST.ELECTRICO</t>
  </si>
  <si>
    <t>1056518410</t>
  </si>
  <si>
    <t>10554071</t>
  </si>
  <si>
    <t>RETEN CIEGO 50 X 7MM</t>
  </si>
  <si>
    <t>4500884620</t>
  </si>
  <si>
    <t>2001584-8-Mant.-TMCámarasCHD</t>
  </si>
  <si>
    <t>1055407160</t>
  </si>
  <si>
    <t>A</t>
  </si>
  <si>
    <t>10565089</t>
  </si>
  <si>
    <t>ABRAZADERA CLAMP 2 1/2"</t>
  </si>
  <si>
    <t>147324     MULTISERVICIO HENRY SAC</t>
  </si>
  <si>
    <t>2019227-1-SERVICIOMECANIBRIDACENTRIFUGASA1001</t>
  </si>
  <si>
    <t>1056508910</t>
  </si>
  <si>
    <t>10565268</t>
  </si>
  <si>
    <t>FOCO LED TIPO VELA E-14 5W X 220V</t>
  </si>
  <si>
    <t>2020182-1-AREQ5-CONSUMIBLESSISTMASAUXILIARES</t>
  </si>
  <si>
    <t>1056526810</t>
  </si>
  <si>
    <t>COLAZABAL</t>
  </si>
  <si>
    <t>10565305</t>
  </si>
  <si>
    <t>105653051000</t>
  </si>
  <si>
    <t>CINTILLO PLAST 7.6 X 300MM</t>
  </si>
  <si>
    <t>CINTILLO PLAST 2.4 X 140MM</t>
  </si>
  <si>
    <t>CINTILLO PLAST 2.4 X 140MM 318 21LEGRAND</t>
  </si>
  <si>
    <t>CINTILLO PLAST 2.5 X 100MM</t>
  </si>
  <si>
    <t>CINTILLO PLAST 3 X 100MM</t>
  </si>
  <si>
    <t>CINTILLO PLAST 3.5 X 200MM</t>
  </si>
  <si>
    <t>CINTILLO PLAST 3.6 X 150MM</t>
  </si>
  <si>
    <t>CINTILLO PLAST 3.6 X 200MM</t>
  </si>
  <si>
    <t>CINTILLO PLAST 4.8 X 280MM</t>
  </si>
  <si>
    <t>CINTILLO PLAST 4.8 X 500MM</t>
  </si>
  <si>
    <t>CINTILLO PLAST 6.8 X 360MM</t>
  </si>
  <si>
    <t>CINTILLO PLAST 7.6 X 400MM</t>
  </si>
  <si>
    <t>CINTILLO PLAST 8 X 550MM</t>
  </si>
  <si>
    <t>DUPLICADO</t>
  </si>
  <si>
    <t>Lo mismo practicamente</t>
  </si>
  <si>
    <t>Codigo</t>
  </si>
  <si>
    <t>Descripcion</t>
  </si>
  <si>
    <t>LA</t>
  </si>
  <si>
    <t>AUTVTELEV</t>
  </si>
  <si>
    <t>LTRUJILLO</t>
  </si>
  <si>
    <t>10565567</t>
  </si>
  <si>
    <t>TERMOHERVIDOR 2.5LT</t>
  </si>
  <si>
    <t>HOGAELECT</t>
  </si>
  <si>
    <t>2016862-12-CUZC4Alist.Mat.Ut.MenajeTemp.26-1</t>
  </si>
  <si>
    <t>1056556710</t>
  </si>
  <si>
    <t>10565602</t>
  </si>
  <si>
    <t>LINTERNA RECARGABLE 3W 12 LED OPALUX</t>
  </si>
  <si>
    <t>105656021000</t>
  </si>
  <si>
    <t>10565668</t>
  </si>
  <si>
    <t>TELEVISOR SMART TV 4K UHD 42"</t>
  </si>
  <si>
    <t>JTELLO</t>
  </si>
  <si>
    <t>2018682-3-V42PULGADASLG-CHATAALICIA</t>
  </si>
  <si>
    <t>1056566810</t>
  </si>
  <si>
    <t>104029     IMPORTADORA DE RODAMIENTOS SAC</t>
  </si>
  <si>
    <t>146079     G Y G SERVICIOS Y SUMINISTROS SRL</t>
  </si>
  <si>
    <t>10565753</t>
  </si>
  <si>
    <t>LOCKER PLAST 2CASILLA0.38X0.50X0.9X1.93M</t>
  </si>
  <si>
    <t>MOBIHOGAR</t>
  </si>
  <si>
    <t>2017462-1-SSHHLABORATORIO</t>
  </si>
  <si>
    <t>1056575310</t>
  </si>
  <si>
    <t>BANDEJA PLAST DIVISION P/LOCKER</t>
  </si>
  <si>
    <t>147993     MALETEK PERU SAC</t>
  </si>
  <si>
    <t>2017462-2-SSHHLABORATORIO</t>
  </si>
  <si>
    <t>1056575320</t>
  </si>
  <si>
    <t>70</t>
  </si>
  <si>
    <t>90</t>
  </si>
  <si>
    <t>10566110</t>
  </si>
  <si>
    <t>LINTERNA RECARGABLE 5W 1 LED OPALUX</t>
  </si>
  <si>
    <t>2006671-53-Cambiocomponenteseléctricos</t>
  </si>
  <si>
    <t>1056611010</t>
  </si>
  <si>
    <t>10566115</t>
  </si>
  <si>
    <t>2021885-1-PRD.-SSO&amp;PFLOTA-Com</t>
  </si>
  <si>
    <t>1056611510</t>
  </si>
  <si>
    <t>HRIVERA</t>
  </si>
  <si>
    <t>RODARODAM</t>
  </si>
  <si>
    <t>10566245</t>
  </si>
  <si>
    <t>TABLET TAB S8 11" 8GB 128GB SAMSUNG</t>
  </si>
  <si>
    <t>1301</t>
  </si>
  <si>
    <t>JVEGA</t>
  </si>
  <si>
    <t>JCUMPA</t>
  </si>
  <si>
    <t>0200</t>
  </si>
  <si>
    <t>1056624510</t>
  </si>
  <si>
    <t>RCONCO</t>
  </si>
  <si>
    <t>RODASEEGE</t>
  </si>
  <si>
    <t>4500902461</t>
  </si>
  <si>
    <t>10566358</t>
  </si>
  <si>
    <t>SWITCH POE 24P 10/100/1000</t>
  </si>
  <si>
    <t>COMPACCES</t>
  </si>
  <si>
    <t>1056635840</t>
  </si>
  <si>
    <t>50</t>
  </si>
  <si>
    <t>SWITCH POE 12P 10/100/1000</t>
  </si>
  <si>
    <t>1056635850</t>
  </si>
  <si>
    <t>110</t>
  </si>
  <si>
    <t>SOPORTE PLEGABLE GIRATORIO P/LAPTOP</t>
  </si>
  <si>
    <t>10566358110</t>
  </si>
  <si>
    <t>MONITOR WLED 21.5" S22I-30 LENOVO</t>
  </si>
  <si>
    <t>1056635880</t>
  </si>
  <si>
    <t>MEMORIA RAM DDR5 16GB P/LAPTOP</t>
  </si>
  <si>
    <t>1056635890</t>
  </si>
  <si>
    <t>100</t>
  </si>
  <si>
    <t>PC LENOVO THINKCENTRE M70Q I7 13700T 1TB</t>
  </si>
  <si>
    <t>10566358100</t>
  </si>
  <si>
    <t>IMPRESORA MULTIFUNCION L5590 EPSON</t>
  </si>
  <si>
    <t>COMPIMPRE</t>
  </si>
  <si>
    <t>1056635810</t>
  </si>
  <si>
    <t>1056635820</t>
  </si>
  <si>
    <t>0049</t>
  </si>
  <si>
    <t>1056635830</t>
  </si>
  <si>
    <t>UPS ONLINE 3KVA 220VAC</t>
  </si>
  <si>
    <t>ELECTRANS</t>
  </si>
  <si>
    <t>1056635860</t>
  </si>
  <si>
    <t>1056635870</t>
  </si>
  <si>
    <t>10566377</t>
  </si>
  <si>
    <t>LUMINARIA CIRCULAR LED 18W 220V</t>
  </si>
  <si>
    <t>CMORALES</t>
  </si>
  <si>
    <t>2022437-1-CHCM-MANTADMINIST.</t>
  </si>
  <si>
    <t>1056637710</t>
  </si>
  <si>
    <t>LUMINARIA CIRCULAR LED 9W 220V 3500K</t>
  </si>
  <si>
    <t>2022437-2-CHCM-MANTADMINIST.</t>
  </si>
  <si>
    <t>1056637720</t>
  </si>
  <si>
    <t>10566453</t>
  </si>
  <si>
    <t>LUMINARIA CIRCULAR LED 24W 220V</t>
  </si>
  <si>
    <t>2022617-1-CHCM-MANTADMINIST.</t>
  </si>
  <si>
    <t>1056645310</t>
  </si>
  <si>
    <t>10566491</t>
  </si>
  <si>
    <t>FOCO GLOBO LED BLANCO E27 10.5W 240V</t>
  </si>
  <si>
    <t>2017875-2-CARIB-PMCONSUMIBLESPROPULSIÓN</t>
  </si>
  <si>
    <t>1056649110</t>
  </si>
  <si>
    <t>10564851</t>
  </si>
  <si>
    <t>TELEVISOR SMART TV 4K UHD 55"</t>
  </si>
  <si>
    <t>152496     JFG GROUP SAC</t>
  </si>
  <si>
    <t>4500899916</t>
  </si>
  <si>
    <t>2006457-281-TricanterflottwegZ5E-4</t>
  </si>
  <si>
    <t>1056485120</t>
  </si>
  <si>
    <t>10566567</t>
  </si>
  <si>
    <t>TELEVISOR SMART TV 4K UHD 50"</t>
  </si>
  <si>
    <t>ACANO</t>
  </si>
  <si>
    <t>2022859-1-AREQ5-ReemplazodeTVTripulantes</t>
  </si>
  <si>
    <t>1056656710</t>
  </si>
  <si>
    <t>10566568</t>
  </si>
  <si>
    <t>TELEVISOR LED FULL HD 32"</t>
  </si>
  <si>
    <t>2022861-1-AREQ5-ReemplazodeTVPatron</t>
  </si>
  <si>
    <t>1056656810</t>
  </si>
  <si>
    <t>107912     CORPORACION LA SIRENA SAC</t>
  </si>
  <si>
    <t>10566666</t>
  </si>
  <si>
    <t>TOMACORRIENTE IND PKF16W723 SCHNEIDER</t>
  </si>
  <si>
    <t>105666661000</t>
  </si>
  <si>
    <t>10566548</t>
  </si>
  <si>
    <t>CASCO SEG JOCKEY F-T 4P AMARILLO MSA</t>
  </si>
  <si>
    <t>134139     SOLTRAK SA</t>
  </si>
  <si>
    <t>EPPSCABEZ</t>
  </si>
  <si>
    <t>ESARAVIA</t>
  </si>
  <si>
    <t>2022879-8-PRD.-CALL-SSO&amp;P</t>
  </si>
  <si>
    <t>1056654810</t>
  </si>
  <si>
    <t>10566641</t>
  </si>
  <si>
    <t>CASCO SEG JOCKEY F-T 4P GRIS MSA</t>
  </si>
  <si>
    <t>2002882-21-PRD.-HCH-SSO&amp;P</t>
  </si>
  <si>
    <t>1056664110</t>
  </si>
  <si>
    <t>10547735</t>
  </si>
  <si>
    <t>SILICONA ULTRA COOPER PERMATEX 80ML</t>
  </si>
  <si>
    <t>ELINARES</t>
  </si>
  <si>
    <t>4500875108</t>
  </si>
  <si>
    <t>1970565-8-PMMANTTOJUNTASJHONSONSECADORADD3</t>
  </si>
  <si>
    <t>1054773510</t>
  </si>
  <si>
    <t>10566635</t>
  </si>
  <si>
    <t>EQP FLUORESCENTE HERMETICO LED 2X8W CPTO</t>
  </si>
  <si>
    <t>2017751-16-DVCTR-PMCONSUMIBLESAUXILIARES</t>
  </si>
  <si>
    <t>1056663510</t>
  </si>
  <si>
    <t>JLIZARRAGA</t>
  </si>
  <si>
    <t>10541971</t>
  </si>
  <si>
    <t>ABRAZADERA T810 62-67MM TITAN</t>
  </si>
  <si>
    <t>4500864366</t>
  </si>
  <si>
    <t>1980706-3-MTTOBOMBACENTRIFUGA6"L1</t>
  </si>
  <si>
    <t>1054197130</t>
  </si>
  <si>
    <t>JPAREDES</t>
  </si>
  <si>
    <t>4500890083</t>
  </si>
  <si>
    <t>10556745</t>
  </si>
  <si>
    <t>ABRAZADERA 2 OREJA INOX 304 P/TUBO 1/2"</t>
  </si>
  <si>
    <t>2005437-10-SUMINISTROCOMPONENTESCALDERA1</t>
  </si>
  <si>
    <t>1055674580</t>
  </si>
  <si>
    <t>RPAUCAR</t>
  </si>
  <si>
    <t>BALANZA ROMANA RESORTE 25KG</t>
  </si>
  <si>
    <t>BALAMECAN</t>
  </si>
  <si>
    <t>10566774</t>
  </si>
  <si>
    <t>10566804</t>
  </si>
  <si>
    <t>ENCHUFE 2 X 15A 125V 515PV LEVITON</t>
  </si>
  <si>
    <t>105668041000</t>
  </si>
  <si>
    <t>10566827</t>
  </si>
  <si>
    <t>CONTACTOR LC1D150AM7 SCHNEIDER</t>
  </si>
  <si>
    <t>ELECCONMU</t>
  </si>
  <si>
    <t>2009667-6-OI-07:SERV.MAYORMOTORCENTRIF.N°03</t>
  </si>
  <si>
    <t>1056682730</t>
  </si>
  <si>
    <t>TERMINAL AISLADO PIN 12-10 AWG</t>
  </si>
  <si>
    <t>ELECTERMI</t>
  </si>
  <si>
    <t>2023118-4-RECONEXIONMOTORAIRADORCELDAIAF</t>
  </si>
  <si>
    <t>1056677430</t>
  </si>
  <si>
    <t>TERMINAL AISLADO ANILLO 10-8 AWG 1/4"</t>
  </si>
  <si>
    <t>2023118-7-RECONEXIONMOTORAIRADORCELDAIAF</t>
  </si>
  <si>
    <t>1056677450</t>
  </si>
  <si>
    <t>10566819</t>
  </si>
  <si>
    <t>CASCO SEG JOCKEY F-T 4P AZUL MSA</t>
  </si>
  <si>
    <t>DALAMO</t>
  </si>
  <si>
    <t>2023336-7-PRD.-CHBT-SSO&amp;P</t>
  </si>
  <si>
    <t>1056681910</t>
  </si>
  <si>
    <t>EPPSMANOS</t>
  </si>
  <si>
    <t>10566726</t>
  </si>
  <si>
    <t>LENTE ZONA SECA CL510PF CLARO</t>
  </si>
  <si>
    <t>EPPSOJOS</t>
  </si>
  <si>
    <t>2023120-6-PRD.-SSO&amp;PFLOTA-Com</t>
  </si>
  <si>
    <t>1056672610</t>
  </si>
  <si>
    <t>216</t>
  </si>
  <si>
    <t>10566821</t>
  </si>
  <si>
    <t>BARRA RETRACTIL 150-215CM</t>
  </si>
  <si>
    <t>EPPSSEÑAL</t>
  </si>
  <si>
    <t>2023337-1-PRD.-HCH-SSO&amp;P</t>
  </si>
  <si>
    <t>1056682110</t>
  </si>
  <si>
    <t>CINTA REFLECTIVA P/CONO SEG 28" X 7UND</t>
  </si>
  <si>
    <t>2023337-2-PRD.-HCH-SSO&amp;P</t>
  </si>
  <si>
    <t>1056682120</t>
  </si>
  <si>
    <t>CONO PVC NARANJA SEG VIAL 36"</t>
  </si>
  <si>
    <t>2023337-3-PRD.-HCH-SSO&amp;P</t>
  </si>
  <si>
    <t>1056682130</t>
  </si>
  <si>
    <t>10566812</t>
  </si>
  <si>
    <t>2022984-2-MECANIZAREJEDEBOMBADELCALDERO3</t>
  </si>
  <si>
    <t>1056681210</t>
  </si>
  <si>
    <t>10566761</t>
  </si>
  <si>
    <t>VASO VIDRIO PIREX 1.25LT 927-35 OSTER</t>
  </si>
  <si>
    <t>2016898-33-IPANEAlist.Mat.Ut.MenajeTemp.26-1</t>
  </si>
  <si>
    <t>1056676110</t>
  </si>
  <si>
    <t>10566808</t>
  </si>
  <si>
    <t>2023306-6-CAMBIARVALVLINEAAGUAPAC#3</t>
  </si>
  <si>
    <t>1056680810</t>
  </si>
  <si>
    <t>10566833</t>
  </si>
  <si>
    <t>2017892-22-GUANA-PMCONSUMIBLESAUXILIARES</t>
  </si>
  <si>
    <t>1056683310</t>
  </si>
  <si>
    <t>RODAMIENTO 3205-ATN9</t>
  </si>
  <si>
    <t>10566854</t>
  </si>
  <si>
    <t>ABRAZADERA T513 78-84MM TITAN</t>
  </si>
  <si>
    <t>105668541000</t>
  </si>
  <si>
    <t>Solped</t>
  </si>
  <si>
    <t>Pos</t>
  </si>
  <si>
    <t>Descripción</t>
  </si>
  <si>
    <t>Cant</t>
  </si>
  <si>
    <t>Precio Unit USD</t>
  </si>
  <si>
    <t>Precio c/IGV USD</t>
  </si>
  <si>
    <t>Total c/IGV USD</t>
  </si>
  <si>
    <t>Switch POE 24P</t>
  </si>
  <si>
    <t>Conexión TI</t>
  </si>
  <si>
    <t>Switch POE 12P</t>
  </si>
  <si>
    <t>Soporte Laptop</t>
  </si>
  <si>
    <t>Esconsa</t>
  </si>
  <si>
    <t>Tablet Samsung</t>
  </si>
  <si>
    <t>Monitor 21.5”</t>
  </si>
  <si>
    <t>RAM 16GB DDR5</t>
  </si>
  <si>
    <t>PC Lenovo</t>
  </si>
  <si>
    <t>Impresora L5590</t>
  </si>
  <si>
    <t>UPS 3KVA</t>
  </si>
  <si>
    <t>% Individual</t>
  </si>
  <si>
    <t>% Acumulado</t>
  </si>
  <si>
    <t>ASESEXTER</t>
  </si>
  <si>
    <t>10566950</t>
  </si>
  <si>
    <t>TELEVISOR SMART TV 4K UHD 65"</t>
  </si>
  <si>
    <t>1056695010</t>
  </si>
  <si>
    <t>10566895</t>
  </si>
  <si>
    <t>2016890-20-RODASAlist.Mat.Ut.MenajeTemp.26-1</t>
  </si>
  <si>
    <t>1056689520</t>
  </si>
  <si>
    <t>4500903475</t>
  </si>
  <si>
    <t>10566968</t>
  </si>
  <si>
    <t>GUANTE DESECHABLE NITRILO 7555L-06 T=M</t>
  </si>
  <si>
    <t>105669681000</t>
  </si>
  <si>
    <t>4500903431</t>
  </si>
  <si>
    <t>10566966</t>
  </si>
  <si>
    <t>BROCHA NYLON 2 1/2" TUMI</t>
  </si>
  <si>
    <t>FERRPINTA</t>
  </si>
  <si>
    <t>CJAIME</t>
  </si>
  <si>
    <t>2023783-4-HUAC-COMERPPT</t>
  </si>
  <si>
    <t>1056696620</t>
  </si>
  <si>
    <t>10566978</t>
  </si>
  <si>
    <t>TUBO FLUORESCENTE TL-D36W/54-765 PHILIPS</t>
  </si>
  <si>
    <t>105669781000</t>
  </si>
  <si>
    <t>10566953</t>
  </si>
  <si>
    <t>DAYAMAMANI</t>
  </si>
  <si>
    <t>1056695340</t>
  </si>
  <si>
    <t>10566957</t>
  </si>
  <si>
    <t>RETEN 35 X 52 X 5MM DOBLE LABIO</t>
  </si>
  <si>
    <t>2023296-9-cambioderodajesenvolantedepeladora</t>
  </si>
  <si>
    <t>1056695720</t>
  </si>
  <si>
    <t>10566949</t>
  </si>
  <si>
    <t>RODAMIENTO 6204-2ZR-C3</t>
  </si>
  <si>
    <t>1056694910</t>
  </si>
  <si>
    <t>2023296-8-cambioderodajesenvolantedepeladora</t>
  </si>
  <si>
    <t>1056695710</t>
  </si>
  <si>
    <t>SEGURO SEEGER INTERIOR INOX 304 J-52</t>
  </si>
  <si>
    <t>2023296-10-cambioderodajesenvolantedepeladora</t>
  </si>
  <si>
    <t>1056695730</t>
  </si>
  <si>
    <t>10566973</t>
  </si>
  <si>
    <t>FAJA HTD DENTADA 880-8M-30</t>
  </si>
  <si>
    <t>105669731000</t>
  </si>
  <si>
    <t>146079 G Y G SERVICIOS Y SUMINISTROS SRL</t>
  </si>
  <si>
    <t>22.05.2024</t>
  </si>
  <si>
    <t>150214 CONEXION PERU TI SAC</t>
  </si>
  <si>
    <t>JFG</t>
  </si>
  <si>
    <t>Mejor Opción</t>
  </si>
  <si>
    <t>Comentario</t>
  </si>
  <si>
    <t>—</t>
  </si>
  <si>
    <t>🔥 Diferencia brutal (-45%). Ganador claro.</t>
  </si>
  <si>
    <t>⚠️ Ambos cotizan 16P, no 12P. Validar.</t>
  </si>
  <si>
    <t>🟢 Commodity. Elegir precio.</t>
  </si>
  <si>
    <t>⚠️ JFG sobre-especifica (S11).</t>
  </si>
  <si>
    <t>🔥 Muy competitivo.</t>
  </si>
  <si>
    <t>🟢 Mismo producto, mejor precio.</t>
  </si>
  <si>
    <t>⚖️ Mejor costo-beneficio.</t>
  </si>
  <si>
    <t>🟢 Muy parejo, gana Esconsa.</t>
  </si>
  <si>
    <t>🟢 Igual caso.</t>
  </si>
  <si>
    <t>🟢 Sin sorpresa.</t>
  </si>
  <si>
    <t>🔥 Diferencia gigante. Ojo marca.</t>
  </si>
  <si>
    <t>🔥 Igual caso.</t>
  </si>
  <si>
    <t>152496 JFG GROUP SAC</t>
  </si>
  <si>
    <t>102842 ESQUIVEL CONSULTORES SA</t>
  </si>
  <si>
    <t>22.04.2025</t>
  </si>
  <si>
    <t>24.07.2024</t>
  </si>
  <si>
    <t>26.02.2025</t>
  </si>
  <si>
    <t>117805     LABEL PERU SAC</t>
  </si>
  <si>
    <t>CONSULTADO</t>
  </si>
  <si>
    <t>VALIDACIÓN SOLPED 10566548 - 10566641 - 10566819 / ODM 2022879 - 2002882 - 2023336 - 28-04-2026</t>
  </si>
  <si>
    <t>COMPRADO</t>
  </si>
  <si>
    <t>Numero OC</t>
  </si>
  <si>
    <t>Fecha</t>
  </si>
  <si>
    <t>Correo</t>
  </si>
  <si>
    <t>COTIZADO</t>
  </si>
  <si>
    <t>SOLICITUD DE COTIZACION - 114916 - EMPRESA TRANSP. VILLA MILAGROS E.I. - 29-04-2026</t>
  </si>
  <si>
    <t>AREQ5</t>
  </si>
  <si>
    <t>10567045</t>
  </si>
  <si>
    <t>DALFR</t>
  </si>
  <si>
    <t>2023692-1-DALFRRWTelevisordeTripulación</t>
  </si>
  <si>
    <t>1056704510</t>
  </si>
  <si>
    <t>10567046</t>
  </si>
  <si>
    <t>VICSA</t>
  </si>
  <si>
    <t>2023693-1-VICSARWTelevisordeTripulación</t>
  </si>
  <si>
    <t>1056704610</t>
  </si>
  <si>
    <t>10567047</t>
  </si>
  <si>
    <t>TELEVISOR LED HD 40"</t>
  </si>
  <si>
    <t>CRETA</t>
  </si>
  <si>
    <t>2023694-1-CRETARWTelevisordePatrón</t>
  </si>
  <si>
    <t>1056704710</t>
  </si>
  <si>
    <t>10567048</t>
  </si>
  <si>
    <t>GUANAY</t>
  </si>
  <si>
    <t>2023695-1-GUANARWTelevisordePatrón</t>
  </si>
  <si>
    <t>1056704810</t>
  </si>
  <si>
    <t>10567099</t>
  </si>
  <si>
    <t>CANDADO BCE 60MM</t>
  </si>
  <si>
    <t>152326     FERRETERIA DEL PACIFICO SAC</t>
  </si>
  <si>
    <t>CERRCANDA</t>
  </si>
  <si>
    <t>105670991000</t>
  </si>
  <si>
    <t>10567074</t>
  </si>
  <si>
    <t>CAJA PLEXO 920 20 LEGRAND</t>
  </si>
  <si>
    <t>ELECCAJAS</t>
  </si>
  <si>
    <t>JLEVANO</t>
  </si>
  <si>
    <t>2023982-3-MODIFICACIONDETUBERIASENELTABLEROE</t>
  </si>
  <si>
    <t>1056707410</t>
  </si>
  <si>
    <t>10567098</t>
  </si>
  <si>
    <t>INTERRUPTOR UNIPOLAR A9F74102 SCHNEIDER</t>
  </si>
  <si>
    <t>ELECINTER</t>
  </si>
  <si>
    <t>105670981000</t>
  </si>
  <si>
    <t>10567073</t>
  </si>
  <si>
    <t>BOTIN SEG MANRIQUE N08-12 HUSKY PU T=40</t>
  </si>
  <si>
    <t>125853     INDUSTRIAS MANRIQUE SAC</t>
  </si>
  <si>
    <t>EPPSPIES</t>
  </si>
  <si>
    <t>2023984-2-PRD.-SSO&amp;PFLOTA-Com</t>
  </si>
  <si>
    <t>1056707310</t>
  </si>
  <si>
    <t>10564575</t>
  </si>
  <si>
    <t>APLICADOR SILICONA AMARILLO F3C</t>
  </si>
  <si>
    <t>FERRETERO</t>
  </si>
  <si>
    <t>4500899636</t>
  </si>
  <si>
    <t>105645751000</t>
  </si>
  <si>
    <t>10563963</t>
  </si>
  <si>
    <t>GRASERA RECTA 5/16" NPT</t>
  </si>
  <si>
    <t>FERRGRASE</t>
  </si>
  <si>
    <t>2005350-24-ANTA3-CONSUMIBLESAUXILIARES</t>
  </si>
  <si>
    <t>1056396310</t>
  </si>
  <si>
    <t>10567084</t>
  </si>
  <si>
    <t>MANGUERA ENGRASADORA 1/8" X 300MM</t>
  </si>
  <si>
    <t>2023667-2-CAMBGRASERPOLINTEMPLFAJABBABALDL1</t>
  </si>
  <si>
    <t>1056708410</t>
  </si>
  <si>
    <t>10567101</t>
  </si>
  <si>
    <t>2023669-2-CAMBGRASERPOLINTEMPLFAJABBABALDL2</t>
  </si>
  <si>
    <t>1056710110</t>
  </si>
  <si>
    <t>10567103</t>
  </si>
  <si>
    <t>2023673-2-CAMBGRASERPOLINTEMPLFAJABBABALDL3</t>
  </si>
  <si>
    <t>1056710310</t>
  </si>
  <si>
    <t>10563955</t>
  </si>
  <si>
    <t>LIJA AL AGUA N° 600</t>
  </si>
  <si>
    <t>FERRLIJAS</t>
  </si>
  <si>
    <t>105639551000</t>
  </si>
  <si>
    <t>10563117</t>
  </si>
  <si>
    <t>INSTANT ADHESIVE LOCTITE 495 1ONZ</t>
  </si>
  <si>
    <t>105631171000</t>
  </si>
  <si>
    <t>10561777</t>
  </si>
  <si>
    <t>105617771000</t>
  </si>
  <si>
    <t>10562113</t>
  </si>
  <si>
    <t>BROCHA NYLON 4" TUMI</t>
  </si>
  <si>
    <t>105621131000</t>
  </si>
  <si>
    <t>10564422</t>
  </si>
  <si>
    <t>BROCHA NYLON 2" TUMI</t>
  </si>
  <si>
    <t>105644221000</t>
  </si>
  <si>
    <t>4500903758</t>
  </si>
  <si>
    <t>K9999      PROVEEDOR INTEGRACION ARIBA</t>
  </si>
  <si>
    <t>10567085</t>
  </si>
  <si>
    <t>BLOCK SALIDA VEHICULOS + 1COP 50UN</t>
  </si>
  <si>
    <t>147088     K Y L IMPRESORES SRL</t>
  </si>
  <si>
    <t>OFICFORMT</t>
  </si>
  <si>
    <t>105670851000</t>
  </si>
  <si>
    <t>10567075</t>
  </si>
  <si>
    <t>TUBO PVC 1" X 5M C-10 SP</t>
  </si>
  <si>
    <t>105282     MATTA CUROTTO JOSE FELIX</t>
  </si>
  <si>
    <t>PVCTUBOS</t>
  </si>
  <si>
    <t>2023982-1-MODIFICACIONDETUBERIASENELTABLEROE</t>
  </si>
  <si>
    <t>1056707510</t>
  </si>
  <si>
    <t>10566986</t>
  </si>
  <si>
    <t>2023842-1-CAMBIODERODAMIENTOSVOLANTESCONDUCIDA</t>
  </si>
  <si>
    <t>1056698610</t>
  </si>
  <si>
    <t>10567105</t>
  </si>
  <si>
    <t>V-RING V-45</t>
  </si>
  <si>
    <t>2024078-5-REPARARMOTORP/TKDECANTADACEITPAMA</t>
  </si>
  <si>
    <t>1056710510</t>
  </si>
  <si>
    <t>2023842-2-CAMBIODERODAMIENTOSVOLANTESCONDUCIDA</t>
  </si>
  <si>
    <t>1056698620</t>
  </si>
  <si>
    <t>10566995</t>
  </si>
  <si>
    <t>2023842-7-CAMBIODERODAMIENTOSVOLANTESCONDUCIDA</t>
  </si>
  <si>
    <t>1056699510</t>
  </si>
  <si>
    <t>10562005</t>
  </si>
  <si>
    <t>ABRAZADERA T20-64 91-114MM TITAN</t>
  </si>
  <si>
    <t>2006752-18-CUZC4-CONSUMIBLESMOTORESAUXILIARES</t>
  </si>
  <si>
    <t>1056200510</t>
  </si>
  <si>
    <t>10567107</t>
  </si>
  <si>
    <t>PERNO SOCKET INOX 304 M8 X 50MM</t>
  </si>
  <si>
    <t>151931     PERNOS Y TUERCAS SAN FRANCISCO SRL</t>
  </si>
  <si>
    <t>SUJEPERNO</t>
  </si>
  <si>
    <t>2023597-4-SOLDTUBLINAGUALIMBALDBODEGMARIANG</t>
  </si>
  <si>
    <t>1056710710</t>
  </si>
  <si>
    <t>10567095</t>
  </si>
  <si>
    <t>TUERCA HEX AC 5/8" UNC G8</t>
  </si>
  <si>
    <t>SUJETUERC</t>
  </si>
  <si>
    <t>105670951000</t>
  </si>
  <si>
    <t>10566604</t>
  </si>
  <si>
    <t>PIÑON PASO DOBLE 1 1/2" 15T</t>
  </si>
  <si>
    <t>TRANENGRA</t>
  </si>
  <si>
    <t>4500903112</t>
  </si>
  <si>
    <t>2022576-2-CAMBIODEPIÑONESTHINCLINADOATD</t>
  </si>
  <si>
    <t>1056660420</t>
  </si>
  <si>
    <t>10567005</t>
  </si>
  <si>
    <t>PIÑON PASO DOBLE 1 1/2" 16T</t>
  </si>
  <si>
    <t>105352     MEGA CHAIN INDUSTRIAL PERU SAC</t>
  </si>
  <si>
    <t>2023945-1-CAMBIODEPIÑONESTHINCLINADOATDMAD1</t>
  </si>
  <si>
    <t>1056700510</t>
  </si>
  <si>
    <t>10567092</t>
  </si>
  <si>
    <t>FAJA "V" LISA 5V-800</t>
  </si>
  <si>
    <t>105670921000</t>
  </si>
  <si>
    <t>103828 HLM Y CIA SAC</t>
  </si>
  <si>
    <t>17.10.2024</t>
  </si>
  <si>
    <t>SOLICITUD DE COTIZACION - 151427 - HERRAMIENTAS Y SOLUCIONES INTEGRALE (HERSI) - 29-04-2026</t>
  </si>
  <si>
    <t>Estado Consulta</t>
  </si>
  <si>
    <t>Fecha Consulta</t>
  </si>
  <si>
    <t>Asunto Correo</t>
  </si>
  <si>
    <t>VALIDACIÓN SOLPED 10565184 / ODM 4214666 - 29-04-2026</t>
  </si>
  <si>
    <t>22.11.2021</t>
  </si>
  <si>
    <t>VALIDACIÓN SOLPED 10566604 / ODM 4215752 - 29-04-2026</t>
  </si>
  <si>
    <t>117805 LABEL PERU SAC</t>
  </si>
  <si>
    <t>VALIDACIÓN SOLPED 10567073 / ODM 2023984 - 29-04-2026</t>
  </si>
  <si>
    <t>VALIDACIÓN SOLPED 10565668 / ODM 4214850 - 29-04-2026</t>
  </si>
  <si>
    <t>SIN DATOS</t>
  </si>
  <si>
    <t>VALIDACIÓN SOLPED 10565268 / ODM 4215124 - 29-04-2026</t>
  </si>
  <si>
    <t>SOLICITUD DE COTIZACION - 104104 - INET SAC - 29-04-2026</t>
  </si>
  <si>
    <t>VALIDACIÓN SOLPED 10561938 / ODM 4213917 - 29-04-2026</t>
  </si>
  <si>
    <t>10567139</t>
  </si>
  <si>
    <t>CABLE VULC TTRF-70 NLT 3X18AWG 300/500V</t>
  </si>
  <si>
    <t>M</t>
  </si>
  <si>
    <t>CONDCABLE</t>
  </si>
  <si>
    <t>2024161-3-BOMBADESPACHOAGUACHATAPRENDIDAENVA</t>
  </si>
  <si>
    <t>1056713930</t>
  </si>
  <si>
    <t>10567120</t>
  </si>
  <si>
    <t>CONDENSADOR 48/30 30KVAR 480V R2H66N</t>
  </si>
  <si>
    <t>ELECCONDE</t>
  </si>
  <si>
    <t>2006671-68-Cambiocomponenteseléctricos</t>
  </si>
  <si>
    <t>1056712010</t>
  </si>
  <si>
    <t>10567190</t>
  </si>
  <si>
    <t>TOMACORRIENTE DOBLE P1228 TICINO</t>
  </si>
  <si>
    <t>105671901000</t>
  </si>
  <si>
    <t>10567161</t>
  </si>
  <si>
    <t>CINTA REFLECTIVA P/CONO SEG 28"</t>
  </si>
  <si>
    <t>2023337-4-PRD.-HCH-SSO&amp;P</t>
  </si>
  <si>
    <t>1056716110</t>
  </si>
  <si>
    <t>10567191</t>
  </si>
  <si>
    <t>LIJA AL AGUA Nº 180</t>
  </si>
  <si>
    <t>105671911000</t>
  </si>
  <si>
    <t>10567192</t>
  </si>
  <si>
    <t>LIJA FIERRO Nº 60</t>
  </si>
  <si>
    <t>105671921000</t>
  </si>
  <si>
    <t>FOCO GLOBO LED 900LM E27 10.5W 240V PHIL</t>
  </si>
  <si>
    <t>10567122</t>
  </si>
  <si>
    <t>2017324-8-DORAD-PMCONSUMIBLESSIST.ELECTRICO</t>
  </si>
  <si>
    <t>1056712210</t>
  </si>
  <si>
    <t>10567186</t>
  </si>
  <si>
    <t>CARTUCHO TONER CIAN TN-217C BROTHER</t>
  </si>
  <si>
    <t>IMPRTONER</t>
  </si>
  <si>
    <t>105671861000</t>
  </si>
  <si>
    <t>10567116</t>
  </si>
  <si>
    <t>LIBRO DIARIO MAQ 100HJA+1COP CRETA</t>
  </si>
  <si>
    <t>2005768-16-CRETAAlist.Mat.EconomatoCHD2026-1</t>
  </si>
  <si>
    <t>1056711610</t>
  </si>
  <si>
    <t>10560917</t>
  </si>
  <si>
    <t>CODO 90º PVC 2 1/2" C-10 SP</t>
  </si>
  <si>
    <t>PVCCODOS</t>
  </si>
  <si>
    <t>2010280-4-FABRICACIONDEBANDEJASPARATUNELN¬4,5</t>
  </si>
  <si>
    <t>1056091730</t>
  </si>
  <si>
    <t>UNION UNIVERSAL PVC 2 1/2" C-10 SP</t>
  </si>
  <si>
    <t>PVCCONEC</t>
  </si>
  <si>
    <t>2010280-2-FABRICACIONDEBANDEJASPARATUNELN¬4,5</t>
  </si>
  <si>
    <t>1056091710</t>
  </si>
  <si>
    <t>REDUCC PVC 2 1/2" A 2" SP</t>
  </si>
  <si>
    <t>2010280-3-FABRICACIONDEBANDEJASPARATUNELN¬4,5</t>
  </si>
  <si>
    <t>1056091720</t>
  </si>
  <si>
    <t>TEE PVC 2 1/2" SP</t>
  </si>
  <si>
    <t>2010280-5-FABRICACIONDEBANDEJASPARATUNELN¬4,5</t>
  </si>
  <si>
    <t>1056091740</t>
  </si>
  <si>
    <t>10567158</t>
  </si>
  <si>
    <t>RETEN TSNG 524</t>
  </si>
  <si>
    <t>2021810-1-INSTALRETENCHUMACERPRENSA#1</t>
  </si>
  <si>
    <t>1056715810</t>
  </si>
  <si>
    <t>105333 MEDINA DE JIMENEZ LUISA</t>
  </si>
  <si>
    <t>VALIDACIÓN SOLPED 10566812 / ODM 4215944 - 30-04-2026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</si>
</sst>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S/&quot;\ * #,##0.00_-;\-&quot;S/&quot;\ * #,##0.00_-;_-&quot;S/&quot;\ * &quot;-&quot;??_-;_-@_-"/>
    <numFmt numFmtId="43" formatCode="_-* #,##0.00_-;\-* #,##0.00_-;_-* &quot;-&quot;??_-;_-@_-"/>
    <numFmt numFmtId="164" formatCode="dd\.mm\.yyyy"/>
    <numFmt numFmtId="165" formatCode="_ &quot;S/.&quot;\ * #,##0.00_ ;_ &quot;S/.&quot;\ * \-#,##0.00_ ;_ &quot;S/.&quot;\ * &quot;-&quot;??_ ;_ @_ "/>
    <numFmt numFmtId="166" formatCode="0.0%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2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5" fillId="0" borderId="0"/>
    <xf numFmtId="165" fontId="4" fillId="0" borderId="0" applyFont="0" applyFill="0" applyBorder="0" applyAlignment="0" applyProtection="0"/>
  </cellStyleXfs>
  <cellXfs count="103">
    <xf numFmtId="0" fontId="0" fillId="0" borderId="0" xfId="0"/>
    <xf numFmtId="0" fontId="0" fillId="0" borderId="1" xfId="0" applyBorder="1"/>
    <xf numFmtId="0" fontId="0" fillId="0" borderId="0" xfId="0" pivotButton="1"/>
    <xf numFmtId="1" fontId="0" fillId="0" borderId="0" xfId="0" applyNumberFormat="1"/>
    <xf numFmtId="0" fontId="0" fillId="3" borderId="1" xfId="0" applyFill="1" applyBorder="1"/>
    <xf numFmtId="0" fontId="0" fillId="4" borderId="1" xfId="0" applyFill="1" applyBorder="1"/>
    <xf numFmtId="4" fontId="0" fillId="0" borderId="1" xfId="0" applyNumberFormat="1" applyBorder="1"/>
    <xf numFmtId="164" fontId="1" fillId="2" borderId="1" xfId="0" applyNumberFormat="1" applyFont="1" applyFill="1" applyBorder="1"/>
    <xf numFmtId="0" fontId="1" fillId="2" borderId="1" xfId="0" applyFont="1" applyFill="1" applyBorder="1"/>
    <xf numFmtId="49" fontId="1" fillId="2" borderId="1" xfId="0" applyNumberFormat="1" applyFont="1" applyFill="1" applyBorder="1"/>
    <xf numFmtId="1" fontId="1" fillId="2" borderId="1" xfId="0" applyNumberFormat="1" applyFont="1" applyFill="1" applyBorder="1"/>
    <xf numFmtId="164" fontId="0" fillId="0" borderId="1" xfId="0" applyNumberFormat="1" applyBorder="1"/>
    <xf numFmtId="49" fontId="0" fillId="0" borderId="1" xfId="0" applyNumberFormat="1" applyBorder="1"/>
    <xf numFmtId="1" fontId="0" fillId="0" borderId="1" xfId="0" applyNumberFormat="1" applyBorder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4" fontId="0" fillId="0" borderId="0" xfId="0" applyNumberFormat="1" applyAlignment="1">
      <alignment vertical="center" wrapText="1"/>
    </xf>
    <xf numFmtId="166" fontId="0" fillId="0" borderId="1" xfId="0" applyNumberFormat="1" applyBorder="1"/>
    <xf numFmtId="0" fontId="3" fillId="5" borderId="1" xfId="0" applyFont="1" applyFill="1" applyBorder="1" applyAlignment="1">
      <alignment horizontal="center"/>
    </xf>
    <xf numFmtId="0" fontId="6" fillId="0" borderId="2" xfId="0" applyFont="1" applyBorder="1"/>
    <xf numFmtId="0" fontId="7" fillId="0" borderId="0" xfId="0" applyFont="1"/>
    <xf numFmtId="0" fontId="7" fillId="0" borderId="1" xfId="0" applyFont="1" applyBorder="1"/>
    <xf numFmtId="0" fontId="8" fillId="0" borderId="1" xfId="0" applyFont="1" applyBorder="1"/>
    <xf numFmtId="0" fontId="8" fillId="0" borderId="0" xfId="0" applyFont="1"/>
    <xf numFmtId="164" fontId="7" fillId="0" borderId="1" xfId="0" applyNumberFormat="1" applyFont="1" applyBorder="1"/>
    <xf numFmtId="2" fontId="7" fillId="0" borderId="1" xfId="0" applyNumberFormat="1" applyFont="1" applyBorder="1"/>
    <xf numFmtId="49" fontId="7" fillId="0" borderId="1" xfId="0" applyNumberFormat="1" applyFont="1" applyBorder="1"/>
    <xf numFmtId="1" fontId="7" fillId="0" borderId="1" xfId="0" applyNumberFormat="1" applyFont="1" applyBorder="1"/>
    <xf numFmtId="0" fontId="7" fillId="0" borderId="2" xfId="0" applyFont="1" applyBorder="1"/>
    <xf numFmtId="164" fontId="8" fillId="0" borderId="1" xfId="0" applyNumberFormat="1" applyFont="1" applyBorder="1"/>
    <xf numFmtId="2" fontId="8" fillId="0" borderId="1" xfId="0" applyNumberFormat="1" applyFont="1" applyBorder="1"/>
    <xf numFmtId="164" fontId="6" fillId="0" borderId="1" xfId="0" applyNumberFormat="1" applyFont="1" applyBorder="1"/>
    <xf numFmtId="0" fontId="6" fillId="0" borderId="1" xfId="0" applyFont="1" applyBorder="1"/>
    <xf numFmtId="2" fontId="6" fillId="0" borderId="1" xfId="0" applyNumberFormat="1" applyFont="1" applyBorder="1"/>
    <xf numFmtId="2" fontId="7" fillId="0" borderId="0" xfId="0" applyNumberFormat="1" applyFont="1"/>
    <xf numFmtId="164" fontId="3" fillId="6" borderId="1" xfId="0" applyNumberFormat="1" applyFont="1" applyFill="1" applyBorder="1"/>
    <xf numFmtId="0" fontId="3" fillId="6" borderId="1" xfId="0" applyFont="1" applyFill="1" applyBorder="1"/>
    <xf numFmtId="49" fontId="3" fillId="6" borderId="1" xfId="0" applyNumberFormat="1" applyFont="1" applyFill="1" applyBorder="1"/>
    <xf numFmtId="1" fontId="3" fillId="6" borderId="1" xfId="0" applyNumberFormat="1" applyFont="1" applyFill="1" applyBorder="1"/>
    <xf numFmtId="164" fontId="0" fillId="7" borderId="1" xfId="0" applyNumberFormat="1" applyFill="1" applyBorder="1"/>
    <xf numFmtId="0" fontId="0" fillId="7" borderId="1" xfId="0" applyFill="1" applyBorder="1"/>
    <xf numFmtId="49" fontId="0" fillId="7" borderId="1" xfId="0" applyNumberFormat="1" applyFill="1" applyBorder="1"/>
    <xf numFmtId="1" fontId="0" fillId="7" borderId="1" xfId="0" applyNumberFormat="1" applyFill="1" applyBorder="1"/>
    <xf numFmtId="164" fontId="10" fillId="7" borderId="1" xfId="0" applyNumberFormat="1" applyFont="1" applyFill="1" applyBorder="1"/>
    <xf numFmtId="0" fontId="10" fillId="7" borderId="1" xfId="0" applyFont="1" applyFill="1" applyBorder="1"/>
    <xf numFmtId="49" fontId="10" fillId="7" borderId="1" xfId="0" applyNumberFormat="1" applyFont="1" applyFill="1" applyBorder="1"/>
    <xf numFmtId="1" fontId="10" fillId="7" borderId="1" xfId="0" applyNumberFormat="1" applyFont="1" applyFill="1" applyBorder="1"/>
    <xf numFmtId="0" fontId="10" fillId="0" borderId="1" xfId="0" applyFont="1" applyBorder="1"/>
    <xf numFmtId="0" fontId="10" fillId="0" borderId="0" xfId="0" applyFont="1"/>
    <xf numFmtId="0" fontId="1" fillId="8" borderId="0" xfId="0" applyFont="1" applyFill="1" applyAlignment="1">
      <alignment horizontal="center" vertical="center" wrapText="1"/>
    </xf>
    <xf numFmtId="0" fontId="0" fillId="8" borderId="0" xfId="0" applyFill="1" applyAlignment="1">
      <alignment vertical="center" wrapText="1"/>
    </xf>
    <xf numFmtId="0" fontId="1" fillId="8" borderId="0" xfId="0" applyFont="1" applyFill="1" applyAlignment="1">
      <alignment vertical="center" wrapText="1"/>
    </xf>
    <xf numFmtId="4" fontId="0" fillId="8" borderId="0" xfId="0" applyNumberFormat="1" applyFill="1" applyAlignment="1">
      <alignment vertical="center" wrapText="1"/>
    </xf>
    <xf numFmtId="4" fontId="1" fillId="8" borderId="0" xfId="0" applyNumberFormat="1" applyFont="1" applyFill="1" applyAlignment="1">
      <alignment vertical="center" wrapText="1"/>
    </xf>
    <xf numFmtId="4" fontId="0" fillId="7" borderId="1" xfId="0" applyNumberFormat="1" applyFill="1" applyBorder="1"/>
    <xf numFmtId="0" fontId="7" fillId="7" borderId="1" xfId="0" applyFont="1" applyFill="1" applyBorder="1"/>
    <xf numFmtId="0" fontId="7" fillId="7" borderId="0" xfId="0" applyFont="1" applyFill="1"/>
    <xf numFmtId="164" fontId="3" fillId="7" borderId="1" xfId="0" applyNumberFormat="1" applyFont="1" applyFill="1" applyBorder="1"/>
    <xf numFmtId="0" fontId="3" fillId="7" borderId="1" xfId="0" applyFont="1" applyFill="1" applyBorder="1"/>
    <xf numFmtId="49" fontId="3" fillId="7" borderId="1" xfId="0" applyNumberFormat="1" applyFont="1" applyFill="1" applyBorder="1"/>
    <xf numFmtId="1" fontId="3" fillId="7" borderId="1" xfId="0" applyNumberFormat="1" applyFont="1" applyFill="1" applyBorder="1"/>
    <xf numFmtId="0" fontId="9" fillId="2" borderId="1" xfId="0" applyFont="1" applyFill="1" applyBorder="1"/>
    <xf numFmtId="0" fontId="10" fillId="0" borderId="2" xfId="0" applyFont="1" applyBorder="1"/>
    <xf numFmtId="0" fontId="7" fillId="7" borderId="2" xfId="0" applyFont="1" applyFill="1" applyBorder="1"/>
    <xf numFmtId="0" fontId="8" fillId="0" borderId="2" xfId="0" applyFont="1" applyBorder="1"/>
    <xf numFmtId="22" fontId="7" fillId="0" borderId="1" xfId="0" applyNumberFormat="1" applyFont="1" applyBorder="1"/>
    <xf numFmtId="164" fontId="0" fillId="9" borderId="1" xfId="0" applyNumberFormat="1" applyFill="1" applyBorder="1"/>
    <xf numFmtId="0" fontId="0" fillId="9" borderId="1" xfId="0" applyFill="1" applyBorder="1"/>
    <xf numFmtId="49" fontId="0" fillId="9" borderId="1" xfId="0" applyNumberFormat="1" applyFill="1" applyBorder="1"/>
    <xf numFmtId="1" fontId="0" fillId="9" borderId="1" xfId="0" applyNumberFormat="1" applyFill="1" applyBorder="1"/>
    <xf numFmtId="0" fontId="7" fillId="9" borderId="2" xfId="0" applyFont="1" applyFill="1" applyBorder="1"/>
    <xf numFmtId="0" fontId="7" fillId="9" borderId="1" xfId="0" applyFont="1" applyFill="1" applyBorder="1"/>
    <xf numFmtId="22" fontId="7" fillId="9" borderId="1" xfId="0" applyNumberFormat="1" applyFont="1" applyFill="1" applyBorder="1"/>
    <xf numFmtId="0" fontId="9" fillId="0" borderId="1" xfId="0" applyFont="1" applyBorder="1"/>
    <xf numFmtId="22" fontId="7" fillId="7" borderId="1" xfId="0" applyNumberFormat="1" applyFont="1" applyFill="1" applyBorder="1"/>
    <xf numFmtId="0" fontId="9" fillId="9" borderId="1" xfId="0" applyFont="1" applyFill="1" applyBorder="1"/>
    <xf numFmtId="164" fontId="10" fillId="10" borderId="1" xfId="0" applyNumberFormat="1" applyFont="1" applyFill="1" applyBorder="1"/>
    <xf numFmtId="0" fontId="10" fillId="10" borderId="1" xfId="0" applyFont="1" applyFill="1" applyBorder="1"/>
    <xf numFmtId="49" fontId="10" fillId="10" borderId="1" xfId="0" applyNumberFormat="1" applyFont="1" applyFill="1" applyBorder="1"/>
    <xf numFmtId="1" fontId="10" fillId="10" borderId="1" xfId="0" applyNumberFormat="1" applyFont="1" applyFill="1" applyBorder="1"/>
    <xf numFmtId="0" fontId="10" fillId="10" borderId="2" xfId="0" applyFont="1" applyFill="1" applyBorder="1"/>
    <xf numFmtId="0" fontId="10" fillId="10" borderId="0" xfId="0" applyFont="1" applyFill="1"/>
    <xf numFmtId="0" fontId="9" fillId="11" borderId="1" xfId="0" applyFont="1" applyFill="1" applyBorder="1"/>
    <xf numFmtId="0" fontId="6" fillId="0" borderId="2" xfId="0" applyFont="1" applyFill="1" applyBorder="1"/>
    <xf numFmtId="0" fontId="7" fillId="0" borderId="1" xfId="0" applyFont="1" applyFill="1" applyBorder="1"/>
    <xf numFmtId="0" fontId="7" fillId="0" borderId="0" xfId="0" applyFont="1" applyFill="1"/>
    <xf numFmtId="0" fontId="7" fillId="0" borderId="2" xfId="0" applyFont="1" applyFill="1" applyBorder="1"/>
    <xf numFmtId="22" fontId="7" fillId="0" borderId="1" xfId="0" applyNumberFormat="1" applyFont="1" applyFill="1" applyBorder="1"/>
    <xf numFmtId="164" fontId="7" fillId="0" borderId="1" xfId="0" applyNumberFormat="1" applyFont="1" applyFill="1" applyBorder="1"/>
    <xf numFmtId="49" fontId="7" fillId="0" borderId="1" xfId="0" applyNumberFormat="1" applyFont="1" applyFill="1" applyBorder="1"/>
    <xf numFmtId="1" fontId="7" fillId="0" borderId="1" xfId="0" applyNumberFormat="1" applyFont="1" applyFill="1" applyBorder="1"/>
    <xf numFmtId="0" fontId="8" fillId="0" borderId="2" xfId="0" applyFont="1" applyFill="1" applyBorder="1"/>
    <xf numFmtId="0" fontId="8" fillId="0" borderId="1" xfId="0" applyFont="1" applyFill="1" applyBorder="1"/>
    <xf numFmtId="0" fontId="8" fillId="0" borderId="0" xfId="0" applyFont="1" applyFill="1"/>
    <xf numFmtId="164" fontId="6" fillId="0" borderId="1" xfId="0" applyNumberFormat="1" applyFont="1" applyFill="1" applyBorder="1"/>
    <xf numFmtId="0" fontId="6" fillId="0" borderId="1" xfId="0" applyFont="1" applyFill="1" applyBorder="1"/>
    <xf numFmtId="2" fontId="7" fillId="0" borderId="1" xfId="0" applyNumberFormat="1" applyFont="1" applyFill="1" applyBorder="1"/>
    <xf numFmtId="164" fontId="8" fillId="0" borderId="1" xfId="0" applyNumberFormat="1" applyFont="1" applyFill="1" applyBorder="1"/>
    <xf numFmtId="2" fontId="8" fillId="0" borderId="1" xfId="0" applyNumberFormat="1" applyFont="1" applyFill="1" applyBorder="1"/>
    <xf numFmtId="2" fontId="6" fillId="0" borderId="1" xfId="0" applyNumberFormat="1" applyFont="1" applyFill="1" applyBorder="1"/>
    <xf numFmtId="2" fontId="7" fillId="0" borderId="0" xfId="0" applyNumberFormat="1" applyFont="1" applyFill="1"/>
    <xf numFmtId="0" fontId="0" fillId="11" borderId="1" xfId="0" applyFill="1" applyBorder="1"/>
    <xf numFmtId="2" fontId="1" fillId="7" borderId="3" xfId="1" applyNumberFormat="1" applyFont="1" applyFill="1" applyBorder="1" applyAlignment="1">
      <alignment horizontal="right" vertical="center"/>
    </xf>
  </cellXfs>
  <cellStyles count="5">
    <cellStyle name="Millares 2" xfId="1" xr:uid="{6E005D35-4EFD-437D-A218-7B6CD9DEED3E}"/>
    <cellStyle name="Moneda 2" xfId="2" xr:uid="{9A65675F-0F64-43EB-8217-7F2E213459B2}"/>
    <cellStyle name="Moneda 2 2" xfId="4" xr:uid="{7E91D5E1-2C4E-4FEF-B36B-9822147987B7}"/>
    <cellStyle name="Normal" xfId="0" builtinId="0"/>
    <cellStyle name="Normal 2" xfId="3" xr:uid="{17342F11-3555-4BF5-A8EF-8CB5BDB30A57}"/>
  </cellStyles>
  <dxfs count="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Análisis de Pareto - Materiales por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c/IGV USD</c:v>
          </c:tx>
          <c:spPr>
            <a:solidFill>
              <a:srgbClr val="4472C4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Pareto!$A$2:$A$10</c:f>
              <c:strCache>
                <c:ptCount val="9"/>
                <c:pt idx="0">
                  <c:v>UPS 3KVA</c:v>
                </c:pt>
                <c:pt idx="1">
                  <c:v>PC Lenovo</c:v>
                </c:pt>
                <c:pt idx="2">
                  <c:v>Tablet Samsung</c:v>
                </c:pt>
                <c:pt idx="3">
                  <c:v>RAM 16GB DDR5</c:v>
                </c:pt>
                <c:pt idx="4">
                  <c:v>Monitor 21.5”</c:v>
                </c:pt>
                <c:pt idx="5">
                  <c:v>Impresora L5590</c:v>
                </c:pt>
                <c:pt idx="6">
                  <c:v>Switch POE 24P</c:v>
                </c:pt>
                <c:pt idx="7">
                  <c:v>Switch POE 12P</c:v>
                </c:pt>
                <c:pt idx="8">
                  <c:v>Soporte Laptop</c:v>
                </c:pt>
              </c:strCache>
            </c:strRef>
          </c:cat>
          <c:val>
            <c:numRef>
              <c:f>Pareto!$B$2:$B$10</c:f>
              <c:numCache>
                <c:formatCode>#,##0.00</c:formatCode>
                <c:ptCount val="9"/>
                <c:pt idx="0">
                  <c:v>3308.38</c:v>
                </c:pt>
                <c:pt idx="1">
                  <c:v>2426.44</c:v>
                </c:pt>
                <c:pt idx="2">
                  <c:v>1594.89</c:v>
                </c:pt>
                <c:pt idx="3">
                  <c:v>1561.8</c:v>
                </c:pt>
                <c:pt idx="4">
                  <c:v>1069</c:v>
                </c:pt>
                <c:pt idx="5">
                  <c:v>847.31999999999994</c:v>
                </c:pt>
                <c:pt idx="6">
                  <c:v>563.55999999999995</c:v>
                </c:pt>
                <c:pt idx="7">
                  <c:v>226.96</c:v>
                </c:pt>
                <c:pt idx="8">
                  <c:v>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8-4E85-90E9-AD1B0ABD9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0820191"/>
        <c:axId val="1190821631"/>
      </c:barChart>
      <c:lineChart>
        <c:grouping val="standard"/>
        <c:varyColors val="0"/>
        <c:ser>
          <c:idx val="1"/>
          <c:order val="1"/>
          <c:tx>
            <c:v>% Acumulado</c:v>
          </c:tx>
          <c:spPr>
            <a:ln w="28575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ED7D3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Pareto!$A$2:$A$10</c:f>
              <c:strCache>
                <c:ptCount val="9"/>
                <c:pt idx="0">
                  <c:v>UPS 3KVA</c:v>
                </c:pt>
                <c:pt idx="1">
                  <c:v>PC Lenovo</c:v>
                </c:pt>
                <c:pt idx="2">
                  <c:v>Tablet Samsung</c:v>
                </c:pt>
                <c:pt idx="3">
                  <c:v>RAM 16GB DDR5</c:v>
                </c:pt>
                <c:pt idx="4">
                  <c:v>Monitor 21.5”</c:v>
                </c:pt>
                <c:pt idx="5">
                  <c:v>Impresora L5590</c:v>
                </c:pt>
                <c:pt idx="6">
                  <c:v>Switch POE 24P</c:v>
                </c:pt>
                <c:pt idx="7">
                  <c:v>Switch POE 12P</c:v>
                </c:pt>
                <c:pt idx="8">
                  <c:v>Soporte Laptop</c:v>
                </c:pt>
              </c:strCache>
            </c:strRef>
          </c:cat>
          <c:val>
            <c:numRef>
              <c:f>Pareto!$D$2:$D$10</c:f>
              <c:numCache>
                <c:formatCode>0.0%</c:formatCode>
                <c:ptCount val="9"/>
                <c:pt idx="0">
                  <c:v>0.28436067025084988</c:v>
                </c:pt>
                <c:pt idx="1">
                  <c:v>0.49291715551659088</c:v>
                </c:pt>
                <c:pt idx="2">
                  <c:v>0.63000055868562765</c:v>
                </c:pt>
                <c:pt idx="3">
                  <c:v>0.76423982225201881</c:v>
                </c:pt>
                <c:pt idx="4">
                  <c:v>0.85612212008302935</c:v>
                </c:pt>
                <c:pt idx="5">
                  <c:v>0.92895065946391975</c:v>
                </c:pt>
                <c:pt idx="6">
                  <c:v>0.9773895628929602</c:v>
                </c:pt>
                <c:pt idx="7">
                  <c:v>0.99689714597595935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48-4E85-90E9-AD1B0ABD9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142175"/>
        <c:axId val="716147455"/>
      </c:lineChart>
      <c:catAx>
        <c:axId val="1190820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190821631"/>
        <c:crosses val="autoZero"/>
        <c:auto val="1"/>
        <c:lblAlgn val="ctr"/>
        <c:lblOffset val="100"/>
        <c:noMultiLvlLbl val="0"/>
      </c:catAx>
      <c:valAx>
        <c:axId val="1190821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/>
                  <a:t>Total c/IGV (USD)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190820191"/>
        <c:crosses val="autoZero"/>
        <c:crossBetween val="between"/>
      </c:valAx>
      <c:valAx>
        <c:axId val="716147455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/>
                  <a:t>% Acumulado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716142175"/>
        <c:crosses val="max"/>
        <c:crossBetween val="between"/>
      </c:valAx>
      <c:catAx>
        <c:axId val="7161421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147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565150</xdr:colOff>
          <xdr:row>274</xdr:row>
          <xdr:rowOff>107950</xdr:rowOff>
        </xdr:from>
        <xdr:to>
          <xdr:col>4</xdr:col>
          <xdr:colOff>514350</xdr:colOff>
          <xdr:row>277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565150</xdr:colOff>
          <xdr:row>274</xdr:row>
          <xdr:rowOff>107950</xdr:rowOff>
        </xdr:from>
        <xdr:to>
          <xdr:col>4</xdr:col>
          <xdr:colOff>514350</xdr:colOff>
          <xdr:row>277</xdr:row>
          <xdr:rowOff>146050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A9ED6BB1-1306-48A8-A797-B8CD48468F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6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565150</xdr:colOff>
          <xdr:row>281</xdr:row>
          <xdr:rowOff>107950</xdr:rowOff>
        </xdr:from>
        <xdr:to>
          <xdr:col>4</xdr:col>
          <xdr:colOff>514350</xdr:colOff>
          <xdr:row>284</xdr:row>
          <xdr:rowOff>146050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6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565150</xdr:colOff>
          <xdr:row>281</xdr:row>
          <xdr:rowOff>107950</xdr:rowOff>
        </xdr:from>
        <xdr:to>
          <xdr:col>4</xdr:col>
          <xdr:colOff>514350</xdr:colOff>
          <xdr:row>284</xdr:row>
          <xdr:rowOff>146050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6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15</xdr:row>
      <xdr:rowOff>31750</xdr:rowOff>
    </xdr:from>
    <xdr:to>
      <xdr:col>8</xdr:col>
      <xdr:colOff>0</xdr:colOff>
      <xdr:row>42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55146F5-C18B-E893-69FC-425140C3CF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565150</xdr:colOff>
          <xdr:row>281</xdr:row>
          <xdr:rowOff>107950</xdr:rowOff>
        </xdr:from>
        <xdr:to>
          <xdr:col>4</xdr:col>
          <xdr:colOff>514350</xdr:colOff>
          <xdr:row>284</xdr:row>
          <xdr:rowOff>146050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6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jamin Lapa" refreshedDate="46121.658386111114" createdVersion="8" refreshedVersion="8" minRefreshableVersion="3" recordCount="182" xr:uid="{6DDAAB77-4830-41AC-A706-3CD8D4011879}">
  <cacheSource type="worksheet">
    <worksheetSource ref="A1:AS138" sheet="Solped_Hoy"/>
  </cacheSource>
  <cacheFields count="45">
    <cacheField name="Fecha de solicitud" numFmtId="164">
      <sharedItems containsSemiMixedTypes="0" containsNonDate="0" containsDate="1" containsString="0" minDate="2025-11-04T00:00:00" maxDate="2026-04-10T00:00:00"/>
    </cacheField>
    <cacheField name="Solicitud de pedido" numFmtId="0">
      <sharedItems/>
    </cacheField>
    <cacheField name="Pos.solicitud pedido" numFmtId="0">
      <sharedItems/>
    </cacheField>
    <cacheField name="Material" numFmtId="0">
      <sharedItems containsSemiMixedTypes="0" containsString="0" containsNumber="1" containsInteger="1" minValue="14009182" maxValue="14906059" count="141">
        <n v="14070416"/>
        <n v="14906059"/>
        <n v="14902733"/>
        <n v="14091435"/>
        <n v="14905886"/>
        <n v="14099248"/>
        <n v="14092062"/>
        <n v="14078054"/>
        <n v="14076151"/>
        <n v="14017764"/>
        <n v="14075168"/>
        <n v="14078192"/>
        <n v="14075747"/>
        <n v="14080875"/>
        <n v="14073392"/>
        <n v="14076491"/>
        <n v="14090086"/>
        <n v="14086415"/>
        <n v="14088744"/>
        <n v="14083805"/>
        <n v="14100244"/>
        <n v="14077749"/>
        <n v="14027387"/>
        <n v="14080040"/>
        <n v="14017827"/>
        <n v="14101706"/>
        <n v="14082556"/>
        <n v="14077513"/>
        <n v="14066009"/>
        <n v="14079520"/>
        <n v="14077901"/>
        <n v="14052061"/>
        <n v="14039435"/>
        <n v="14101738"/>
        <n v="14073843"/>
        <n v="14082428"/>
        <n v="14100347"/>
        <n v="14100350"/>
        <n v="14079941"/>
        <n v="14089864"/>
        <n v="14084011"/>
        <n v="14082715"/>
        <n v="14086605"/>
        <n v="14084772"/>
        <n v="14084759"/>
        <n v="14086604"/>
        <n v="14100174"/>
        <n v="14082826"/>
        <n v="14076033"/>
        <n v="14071061"/>
        <n v="14095514"/>
        <n v="14077434"/>
        <n v="14073966"/>
        <n v="14080103"/>
        <n v="14079014"/>
        <n v="14083293"/>
        <n v="14011849"/>
        <n v="14033484"/>
        <n v="14011869"/>
        <n v="14083299"/>
        <n v="14083288"/>
        <n v="14080595"/>
        <n v="14080905"/>
        <n v="14086740"/>
        <n v="14070752"/>
        <n v="14079477"/>
        <n v="14075078"/>
        <n v="14082173"/>
        <n v="14055145"/>
        <n v="14043011"/>
        <n v="14094951"/>
        <n v="14904912"/>
        <n v="14904755"/>
        <n v="14904458"/>
        <n v="14073640"/>
        <n v="14073657"/>
        <n v="14077994"/>
        <n v="14076949"/>
        <n v="14024920"/>
        <n v="14016740"/>
        <n v="14076568"/>
        <n v="14071006"/>
        <n v="14032958"/>
        <n v="14048251"/>
        <n v="14016800"/>
        <n v="14098869"/>
        <n v="14084396"/>
        <n v="14092209"/>
        <n v="14092210"/>
        <n v="14073471"/>
        <n v="14032256"/>
        <n v="14081006"/>
        <n v="14081422"/>
        <n v="14030632"/>
        <n v="14075144"/>
        <n v="14078211"/>
        <n v="14076481"/>
        <n v="14011338"/>
        <n v="14015492"/>
        <n v="14101609"/>
        <n v="14038451"/>
        <n v="14011371"/>
        <n v="14009183"/>
        <n v="14009182"/>
        <n v="14092988"/>
        <n v="14082106"/>
        <n v="14084939"/>
        <n v="14074254"/>
        <n v="14074144"/>
        <n v="14074147"/>
        <n v="14074145"/>
        <n v="14009996"/>
        <n v="14009993"/>
        <n v="14071361"/>
        <n v="14029075"/>
        <n v="14036683"/>
        <n v="14071358"/>
        <n v="14084153"/>
        <n v="14080877"/>
        <n v="14074172"/>
        <n v="14017759"/>
        <n v="14071368"/>
        <n v="14082163"/>
        <n v="14072129"/>
        <n v="14077112"/>
        <n v="14087849"/>
        <n v="14074429"/>
        <n v="14074576"/>
        <n v="14011051"/>
        <n v="14100026"/>
        <n v="14011026"/>
        <n v="14069219"/>
        <n v="14017447"/>
        <n v="14059359"/>
        <n v="14088914"/>
        <n v="14011460"/>
        <n v="14083792"/>
        <n v="14072347"/>
        <n v="14067871"/>
        <n v="14092999"/>
        <n v="14090254"/>
      </sharedItems>
    </cacheField>
    <cacheField name="Texto breve" numFmtId="0">
      <sharedItems count="141">
        <s v="AGUA COMPRADA - SIN CLORO"/>
        <s v="AMPLIFICADOR AV-V8 FREE POWER"/>
        <s v="TELEVISOR SMART TV 4K UHD 50&quot;"/>
        <s v="BALANZA ROMANA RESORTE 25KG"/>
        <s v="VARIADOR 20HP VFD150C43A-21 DELTA"/>
        <s v="CERRADURA TAMBOR CUADRADO 138-22"/>
        <s v="AURICULAR C/MICROFONO P/PC"/>
        <s v="CABLE VULC TTRF-70 NLT 3X16AWG 300/500V"/>
        <s v="PRENSAESTOPA PG11 980 22 LEGRAND"/>
        <s v="CONECTOR RECTO LIQUID TIGHT 1&quot;"/>
        <s v="CONECTOR RECTO LIQUID TIGHT 3/4&quot;"/>
        <s v="TUBO CONDUIT GALV 1/2&quot; FLEXIFORRO PVC"/>
        <s v="TUBO CONDUIT GALV 3/4&quot; FLEXIFORRO PVC"/>
        <s v="CINTA ALUM 1520CW 2&quot; 50YD"/>
        <s v="CINTA 3M CAMBRIC 2520 3/4&quot; 20YD"/>
        <s v="LIMPIA CONTACTO 30893 961 544ML WURTH"/>
        <s v="SIRENA INOX 24VDC 117DB"/>
        <s v="CAJA PASE NAVAL 8 SALIDS CDC/P8 AIBAR"/>
        <s v="TARJETA PANEL CPU ATS48 VX4G481SCHNEIDER"/>
        <s v="DISYUNTOR TERMOMAG GB2CD07 SCHNEIDER"/>
        <s v="CONDENSADOR 48/30 30KVAR 480V R2H66N"/>
        <s v="CONTACTOR LC1DPK12M7 30KVAR SCHNEIDER"/>
        <s v="SENSOR PT100 1/4&quot; X 3 1/4&quot; CNX 1/2&quot; NPT"/>
        <s v="SENSOR PT100 INOX -50-200°C 4.8 X 40MM"/>
        <s v="INTERRUPTOR NAVAL SIMPLE 15A C/TAPA"/>
        <s v="DIG PANEL METER MT4W-AV-41 AUTONICS"/>
        <s v="INTERRUPTOR PEDAL IND SF2C KAP"/>
        <s v="PULSADOR 237 26 LEGRAND"/>
        <s v="RESISTENCIA FLEX3X6MM 30W/M 220V200°C"/>
        <s v="TERMINAL COMP CU-CD CL 70MM2"/>
        <s v="TERMINAL AISLADO ANILLO 22-16AWG 3/16&quot;"/>
        <s v="TOMACORRIENTE IND 3P+T 63A 131A MENNEKES"/>
        <s v="TOMACORRIENTE DOBLE IDROBOX TICINO"/>
        <s v="FUENTE PODER HCS-3602 MANSON"/>
        <s v="COLLARIN CERVICAL STIFNICK AJUSTE 4PTO"/>
        <s v="OREJERA 3M X5P3E NRR 31DB P/CASCO"/>
        <s v="LENTE ZONA SECA CL510PF CLARO"/>
        <s v="LENTE MULTIPROPOSITO BK112AF OSCURO"/>
        <s v="BOTIN SEG BATA WARRIOR PTA AC T=40"/>
        <s v="ZAPATO SEG ACTIVE N39 PTA COMPOSITE T=43"/>
        <s v="BOTIN SEG MANRIQUE N08-12 HUSKY PU T=42"/>
        <s v="CEMENTO PVC AZUL RAIN-R-SHINE OATEY237ML"/>
        <s v="ABRAZADERA UNISTRUT INOX 3/4&quot;"/>
        <s v="ENGRASADORA MANUAL 14861 TRUPER"/>
        <s v="ENGRASADORA NEUMAT 35LB 9911-H1 ALEMITE"/>
        <s v="ABRAZADERA UNISTRUT INOX 1/2&quot;"/>
        <s v="CEMENTO PVC GRIS HEAVY DUTY OATEY 473ML"/>
        <s v="ABRAZADERA T20-16 21-38MM TITAN"/>
        <s v="APLICADOR SILICONA AMARILLO F3C"/>
        <s v="SILICONA ULTRA COOPER PERMATEX 80ML"/>
        <s v="RECUBRIMIENTO UW COATING 0.5 KG WENCON"/>
        <s v="GRASERA RECTA 5/16&quot; NPT"/>
        <s v="LIJA FIERRO Nº 40"/>
        <s v="RODILLO PINTURA N° 7&quot;"/>
        <s v="LIJA AL AGUA N° 600"/>
        <s v="SARTEN ALUM N° 36"/>
        <s v="FUNDA ALGODON P/ALMOHADA"/>
        <s v="TABLA PLAST P/PICAR 50 X 30 X 2CM"/>
        <s v="TABLA PLAST P/PICAR 50 X 40CM"/>
        <s v="COLADOR INOX N° 26 P/ARROZ"/>
        <s v="COLADOR INOX P/FRITURA N° 24"/>
        <s v="RAYADOR VERDURA INOX 4 CARAS"/>
        <s v="JARRA PLAST MEDIDORA 0.5LT"/>
        <s v="FOCO GLOBO LED E27 12W 240V PHILIPS"/>
        <s v="REFLECTOR LED 20W 24V"/>
        <s v="TUBO FLUORESCENTE LED T8 8W/765 PHILIPS"/>
        <s v="PILOTO LUMINOSO XB4BVM4 ROJO"/>
        <s v="LINTERNA FRONTAL LED P/CASCO"/>
        <s v="CINTA CERA P/PELICULA 110MMX450M"/>
        <s v="CINTA CERA P/PELICULA 110MMX91M"/>
        <s v="CARTUCHO TONER NEGRO W1510X 151X HP"/>
        <s v="SILLA EJECUTIVA CAJERO CUERO C/BRAZOS"/>
        <s v="SILLA GIRA EJECUTIVA C/MALLA C/BRAZO"/>
        <s v="SILLA GIRA GERENCIAL C/MALLA C/BRAZO"/>
        <s v="CUADERNO ESPIRAL CUADRICULADO A-4 160HJA"/>
        <s v="LAPICERO ROJO"/>
        <s v="PLUMON INDELEBLE WINNER 23 AZUL"/>
        <s v="CUCHILLA SIMPLE CORTA PAPEL 18MM"/>
        <s v="BLOCK ACTA CONFORMIDAD SERVICIO A-4 1COP"/>
        <s v="BLOCK CTRL OP SEPARADORA REG6 A4 1COP"/>
        <s v="BLOCK CTRL DOSIFICA A/O ENVASA R-12 1COP"/>
        <s v="BLOCK BOLETA COMISION DE TRABAJO+1COP"/>
        <s v="BLOCK CTRL PERMISO-LICENCIA + TICKET"/>
        <s v="BLOCK FORMATO ANALISIS SEGURO TRABAJO A4"/>
        <s v="BLOCK PARTE ASISTENCIA FLOTA +1COP"/>
        <s v="LIBRO DIARIO NAVEGAC 400HJA VS"/>
        <s v="BLOCK BOLETA DE PERMISO"/>
        <s v="STICKER IDENTIFICA INVENTARIO 120X100MM"/>
        <s v="STICKER IDENTIFICA INVENTARIO 95X60MM"/>
        <s v="PAPEL BOND A4 75GR"/>
        <s v="UNION SIMPLE MIXTA PVC 1 1/2&quot; C-10"/>
        <s v="UNION UNIVERSAL PVC 1&quot; ROSC"/>
        <s v="CANALETA RANURADA 60MM X 80MM X 2M"/>
        <s v="TUBO PVC SAP 1 1/2&quot; x 3m"/>
        <s v="TUBO PVC 3/4&quot; X 5M C-10 ROSC"/>
        <s v="TUBO PVC 1/2&quot; X 5M C-10 ROSC"/>
        <s v="TUBO PVC 1/2&quot; X 3M SAP SP"/>
        <s v="FAJA &quot;V&quot; LISA 5V-800"/>
        <s v="RODAMIENTO 22218-EA-K-E4-C3"/>
        <s v="RETEN 1 9/16&quot; X 2 1/2&quot; X 1/2&quot;"/>
        <s v="FAJA &quot;V&quot; DENTADA 3VX-750"/>
        <s v="FAJA &quot;V&quot; LISA A-37"/>
        <s v="MANGUITO FIJACION H-318"/>
        <s v="MANGUITO FIJACION H-317"/>
        <s v="SEGURO SEEGER INTERIOR INOX 304 J-32"/>
        <s v="ABRAZADERA CREMALLERA GALV 5/8&quot;"/>
        <s v="ABRAZADERA T809 57-62MM TITAN"/>
        <s v="INSTANT ADHESIVE LOCTITE 495 1ONZ"/>
        <s v="BROCHA NYLON 2 1/2&quot; TUMI"/>
        <s v="BROCHA NYLON 4&quot; TUMI"/>
        <s v="BROCHA NYLON 2&quot; TUMI"/>
        <s v="ABRAZADERA T20-64 91-114MM TITAN"/>
        <s v="ABRAZADERA T12-12 18-32MM TITAN"/>
        <s v="ANILLO PRESION FONO 1 1/4&quot;"/>
        <s v="PASADOR GALV 5/16&quot; X 2&quot;"/>
        <s v="ANILLO PRESION AC 3/8&quot; G8"/>
        <s v="ANILLO PLANO INOX 304 1/4&quot;"/>
        <s v="PRECINTO DUAL STRAP I-II 12&quot; VERDE AGUA"/>
        <s v="CINTILLO PLAST 4.8 X 200MM"/>
        <s v="CINTILLO PLAST 4.8 X 300MM"/>
        <s v="CINTILLO PLAST 9 X 550MM"/>
        <s v="ANILLO PRESION INOX 304 1/4&quot;"/>
        <s v="GRAPA GALV 3/4&quot; P/CABLE ACERO"/>
        <s v="ESPARRAGO INOX 304 M12 X 1M UNC"/>
        <s v="PERNO HEX AC 5/8&quot; X 1 1/2&quot; UNC G8"/>
        <s v="PERNO HEX INOX 304 7/8&quot; X 9&quot; UNC"/>
        <s v="PERNO HEX INOX 304 5/8&quot; X 2&quot; UNC"/>
        <s v="TUERCA HEX INOX 304 3/8&quot; UNC"/>
        <s v="TUERCA HEX INOX 316 1/4&quot; UNC"/>
        <s v="TUERCA AUTOBLOCANTE INOX 304 M12"/>
        <s v="TUERCA HEX AC 1&quot; UNC G5"/>
        <s v="PERNO HEX AC M14 X 70MM G8.8"/>
        <s v="PERNO SOCKET INOX304 5/16&quot;X 1 1/4&quot;UNC"/>
        <s v="PIÑON PASO DOBLE 1 1/2&quot; 22T"/>
        <s v="PIÑON PASO DOBLE 1 1/2&quot; 16T"/>
        <s v="FAJA &quot;V&quot; LISA B-74"/>
        <s v="RODAMIENTO 22217-EK"/>
        <s v="RETEN 15 X 32 X 7MM DOBLE LABIO"/>
        <s v="FAJA &quot;V&quot; DENTADA XPB-3350"/>
        <s v="RODAMIENTO 6002-H-2RS EZO"/>
        <s v="LLANTA 275/65 R17 AT/S YOKOHAMA"/>
      </sharedItems>
    </cacheField>
    <cacheField name="Cantidad solicitada" numFmtId="0">
      <sharedItems containsSemiMixedTypes="0" containsString="0" containsNumber="1" minValue="1" maxValue="40000" count="39">
        <n v="6000"/>
        <n v="40000"/>
        <n v="20000"/>
        <n v="79.81"/>
        <n v="2"/>
        <n v="1"/>
        <n v="10"/>
        <n v="25"/>
        <n v="3"/>
        <n v="6"/>
        <n v="12"/>
        <n v="4"/>
        <n v="8"/>
        <n v="24"/>
        <n v="27"/>
        <n v="5"/>
        <n v="18"/>
        <n v="200"/>
        <n v="30"/>
        <n v="40"/>
        <n v="150"/>
        <n v="120"/>
        <n v="62"/>
        <n v="20"/>
        <n v="7"/>
        <n v="100"/>
        <n v="4000"/>
        <n v="65"/>
        <n v="36"/>
        <n v="96"/>
        <n v="78"/>
        <n v="360"/>
        <n v="60"/>
        <n v="400"/>
        <n v="700"/>
        <n v="1000"/>
        <n v="300"/>
        <n v="110"/>
        <n v="50"/>
      </sharedItems>
    </cacheField>
    <cacheField name="Unidad de medida" numFmtId="0">
      <sharedItems/>
    </cacheField>
    <cacheField name="Centro" numFmtId="0">
      <sharedItems/>
    </cacheField>
    <cacheField name="Precio" numFmtId="0">
      <sharedItems containsBlank="1" containsMixedTypes="1" containsNumber="1" minValue="2E-3" maxValue="227.78"/>
    </cacheField>
    <cacheField name="Proveedor" numFmtId="0">
      <sharedItems containsBlank="1" containsMixedTypes="1" containsNumber="1" containsInteger="1" minValue="102842" maxValue="151931"/>
    </cacheField>
    <cacheField name="Fecha Documento (última)" numFmtId="0">
      <sharedItems containsNonDate="0" containsDate="1" containsString="0" containsBlank="1" minDate="2025-08-08T00:00:00" maxDate="2026-04-09T00:00:00"/>
    </cacheField>
    <cacheField name="Proveedor / Centro Suministrador" numFmtId="0">
      <sharedItems containsBlank="1"/>
    </cacheField>
    <cacheField name="Precio Neto" numFmtId="0">
      <sharedItems containsString="0" containsBlank="1" containsNumber="1" minValue="0.01" maxValue="4334.57"/>
    </cacheField>
    <cacheField name="Moneda" numFmtId="0">
      <sharedItems containsBlank="1"/>
    </cacheField>
    <cacheField name="Cantidad Base" numFmtId="0">
      <sharedItems containsString="0" containsBlank="1" containsNumber="1" containsInteger="1" minValue="1" maxValue="100"/>
    </cacheField>
    <cacheField name="UM Almacén" numFmtId="0">
      <sharedItems containsBlank="1"/>
    </cacheField>
    <cacheField name="Centro2" numFmtId="0">
      <sharedItems containsString="0" containsBlank="1" containsNumber="1" containsInteger="1" minValue="1101" maxValue="1611"/>
    </cacheField>
    <cacheField name="Cantidad de pedido" numFmtId="0">
      <sharedItems containsString="0" containsBlank="1" containsNumber="1" containsInteger="1" minValue="1" maxValue="6500"/>
    </cacheField>
    <cacheField name="Documento compras" numFmtId="0">
      <sharedItems containsString="0" containsBlank="1" containsNumber="1" containsInteger="1" minValue="4500857445" maxValue="4500899286"/>
    </cacheField>
    <cacheField name="Grupo de artículos" numFmtId="0">
      <sharedItems/>
    </cacheField>
    <cacheField name="Solicitante" numFmtId="0">
      <sharedItems containsBlank="1"/>
    </cacheField>
    <cacheField name="Grupo de compras" numFmtId="0">
      <sharedItems/>
    </cacheField>
    <cacheField name="Creado por" numFmtId="0">
      <sharedItems/>
    </cacheField>
    <cacheField name="Almacén" numFmtId="0">
      <sharedItems containsBlank="1"/>
    </cacheField>
    <cacheField name="Cantidad pedida" numFmtId="0">
      <sharedItems containsSemiMixedTypes="0" containsString="0" containsNumber="1" containsInteger="1" minValue="0" maxValue="20000"/>
    </cacheField>
    <cacheField name="Status tratamiento" numFmtId="0">
      <sharedItems/>
    </cacheField>
    <cacheField name="Planif.necesidades" numFmtId="0">
      <sharedItems containsBlank="1"/>
    </cacheField>
    <cacheField name="Clase documento" numFmtId="0">
      <sharedItems/>
    </cacheField>
    <cacheField name="Pedido" numFmtId="0">
      <sharedItems containsBlank="1"/>
    </cacheField>
    <cacheField name="Posición de pedido" numFmtId="0">
      <sharedItems/>
    </cacheField>
    <cacheField name="Fecha de pedido" numFmtId="0">
      <sharedItems containsString="0" containsBlank="1" containsNumber="1" containsInteger="1" minValue="46002" maxValue="46120"/>
    </cacheField>
    <cacheField name="Fecha de liberación" numFmtId="0">
      <sharedItems containsSemiMixedTypes="0" containsString="0" containsNumber="1" containsInteger="1" minValue="45965" maxValue="46121"/>
    </cacheField>
    <cacheField name="Modificado el" numFmtId="0">
      <sharedItems containsSemiMixedTypes="0" containsString="0" containsNumber="1" containsInteger="1" minValue="45965" maxValue="46121"/>
    </cacheField>
    <cacheField name="Entregas (de/a)" numFmtId="0">
      <sharedItems containsSemiMixedTypes="0" containsString="0" containsNumber="1" containsInteger="1" minValue="45995" maxValue="46150"/>
    </cacheField>
    <cacheField name="Plazo entrega prev." numFmtId="0">
      <sharedItems containsSemiMixedTypes="0" containsString="0" containsNumber="1" containsInteger="1" minValue="0" maxValue="29"/>
    </cacheField>
    <cacheField name="Precio de valoración" numFmtId="0">
      <sharedItems containsSemiMixedTypes="0" containsString="0" containsNumber="1" minValue="0.01" maxValue="4798.72"/>
    </cacheField>
    <cacheField name="Moneda2" numFmtId="0">
      <sharedItems/>
    </cacheField>
    <cacheField name="Valor total" numFmtId="0">
      <sharedItems containsSemiMixedTypes="0" containsString="0" containsNumber="1" minValue="0.06" maxValue="380000"/>
    </cacheField>
    <cacheField name="Texto bloqueo" numFmtId="0">
      <sharedItems containsBlank="1"/>
    </cacheField>
    <cacheField name="Número de necesidad" numFmtId="0">
      <sharedItems containsString="0" containsBlank="1" containsNumber="1" containsInteger="1" minValue="1989516" maxValue="6400000018"/>
    </cacheField>
    <cacheField name="Libera" numFmtId="0">
      <sharedItems containsBlank="1"/>
    </cacheField>
    <cacheField name="ID Posicion" numFmtId="49">
      <sharedItems/>
    </cacheField>
    <cacheField name="Dias Disponibles" numFmtId="1">
      <sharedItems containsSemiMixedTypes="0" containsString="0" containsNumber="1" containsInteger="1" minValue="-153" maxValue="3"/>
    </cacheField>
    <cacheField name="Estado" numFmtId="0">
      <sharedItems/>
    </cacheField>
    <cacheField name="Comprado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jamin Lapa" refreshedDate="46133.758284837961" createdVersion="8" refreshedVersion="8" minRefreshableVersion="3" recordCount="93" xr:uid="{86FE757C-65DD-4797-8896-7A69CC076A34}">
  <cacheSource type="worksheet">
    <worksheetSource ref="B1:H87" sheet="Solped_Hoy"/>
  </cacheSource>
  <cacheFields count="7">
    <cacheField name="Solicitud de pedido" numFmtId="0">
      <sharedItems containsMixedTypes="1" containsNumber="1" containsInteger="1" minValue="10564706" maxValue="10564722"/>
    </cacheField>
    <cacheField name="Pos.solicitud pedido" numFmtId="0">
      <sharedItems containsMixedTypes="1" containsNumber="1" containsInteger="1" minValue="10" maxValue="10"/>
    </cacheField>
    <cacheField name="Material" numFmtId="0">
      <sharedItems containsSemiMixedTypes="0" containsString="0" containsNumber="1" containsInteger="1" minValue="12000640" maxValue="14906677" count="48">
        <n v="14070416"/>
        <n v="14906677"/>
        <n v="14091435"/>
        <n v="14101461"/>
        <n v="14092062"/>
        <n v="14905873"/>
        <n v="14076151"/>
        <n v="14087422"/>
        <n v="14034062"/>
        <n v="14039435"/>
        <n v="14086741"/>
        <n v="14099281"/>
        <n v="14099652"/>
        <n v="14079941"/>
        <n v="14079946"/>
        <n v="14079943"/>
        <n v="14086872"/>
        <n v="14086871"/>
        <n v="14100174"/>
        <n v="14095514"/>
        <n v="14099877"/>
        <n v="14080103"/>
        <n v="14074144"/>
        <n v="14074142"/>
        <n v="14078808"/>
        <n v="12000640"/>
        <n v="14904893"/>
        <n v="14073724"/>
        <n v="14083311"/>
        <n v="14082344"/>
        <n v="14088410"/>
        <n v="14090911"/>
        <n v="14086740"/>
        <n v="14077305"/>
        <n v="14013754"/>
        <n v="14070752"/>
        <n v="14079477"/>
        <n v="14082173"/>
        <n v="14079384"/>
        <n v="14089502"/>
        <n v="14055145"/>
        <n v="14043011"/>
        <n v="14073941"/>
        <n v="14905383"/>
        <n v="14090929"/>
        <n v="14904755"/>
        <n v="14904912"/>
        <n v="14904458"/>
      </sharedItems>
    </cacheField>
    <cacheField name="Texto breve" numFmtId="0">
      <sharedItems count="48">
        <s v="AGUA COMPRADA - SIN CLORO"/>
        <s v="TELEVISOR SMART TV 4K UHD 42&quot;"/>
        <s v="BALANZA ROMANA RESORTE 25KG"/>
        <s v="BOBINA STANDAR 22MM BO4012220 AIRWORK"/>
        <s v="AURICULAR C/MICROFONO P/PC"/>
        <s v="TABLET TAB S8 11&quot; 8GB 128GB SAMSUNG"/>
        <s v="PRENSAESTOPA PG11 980 22 LEGRAND"/>
        <s v="RELE CONTROL 72.01.8.240.0000 FINDER"/>
        <s v="TABLERO ADOSABLE F107N12D BTICINO"/>
        <s v="TOMACORRIENTE DOBLE IDROBOX TICINO"/>
        <s v="TOMACORRIENTE NAVAL TRT/15 TRIPLE AIBAR"/>
        <s v="CONJUNTO POLIPROPILENO ACTIVEX T=M"/>
        <s v="GUANTE DESECHABLE NITRILO 7555L-06 T=L"/>
        <s v="BOTIN SEG BATA WARRIOR PTA AC T=40"/>
        <s v="BOTIN SEG BATA WARRIOR PTA AC T=45"/>
        <s v="BOTIN SEG BATA WARRIOR PTA AC T=42"/>
        <s v="MANGUERA PVC CNX BCE 30.4M 484225 MSA"/>
        <s v="CONEXION SNAP TITE NPT-H 3/4&quot; 455019 MSA"/>
        <s v="CEMENTO PVC GRIS HEAVY DUTY OATEY 473ML"/>
        <s v="RECUBRIMIENTO UW COATING 0.5 KG WENCON"/>
        <s v="ADHESIVO SIKAFLEX 545 BLANCO 600ML"/>
        <s v="RODILLO PINTURA N° 7&quot;"/>
        <s v="BROCHA NYLON 2 1/2&quot; TUMI"/>
        <s v="BROCHA NYLON 1 1/2&quot; TUMI"/>
        <s v="NIPLE GALV 1/4&quot; X 6&quot;"/>
        <s v="HIELO EN BARRA COMPRADO"/>
        <s v="TERMOHERVIDOR 2.5LT"/>
        <s v="CUCHARON PLAST MEDIANO"/>
        <s v="VASO PLAST 250ML"/>
        <s v="SET COLADOR PLASTICO 4UN"/>
        <s v="JARRA PLAST MEDIDORA 1LT C/TAPA"/>
        <s v="VASO PLAST DESCARTABLE"/>
        <s v="FOCO GLOBO LED E27 12W 240V PHILIPS"/>
        <s v="FOCO GLOBO LED BLANCO E27 10W 240V"/>
        <s v="FOCO LED TIPO VELA E-14 5W X 220V"/>
        <s v="REFLECTOR LED 20W 24V"/>
        <s v="TUBO FLUORESCENTE LED T8 8W/765 PHILIPS"/>
        <s v="LINTERNA FRONTAL LED P/CASCO"/>
        <s v="LINTERNA RECARGABLE 3W 12 LED OPALUX"/>
        <s v="LINTERNA RECARGABLE 5W 1 LED OPALUX"/>
        <s v="CINTA CERA P/PELICULA 110MMX450M"/>
        <s v="CINTA CERA P/PELICULA 110MMX91M"/>
        <s v="CINTA EPSON ERC-38"/>
        <s v="LOCKER PLAST 2CASILLA0.38X0.50X0.9X1.93M"/>
        <s v="BANDEJA PLAST DIVISION P/LOCKER"/>
        <s v="SILLA GIRA EJECUTIVA C/MALLA C/BRAZO"/>
        <s v="SILLA EJECUTIVA CAJERO CUERO C/BRAZOS"/>
        <s v="SILLA GIRA GERENCIAL C/MALLA C/BRAZO"/>
      </sharedItems>
    </cacheField>
    <cacheField name="Cantidad solicitada" numFmtId="0">
      <sharedItems containsSemiMixedTypes="0" containsString="0" containsNumber="1" containsInteger="1" minValue="1" maxValue="200000"/>
    </cacheField>
    <cacheField name="Unidad de medida" numFmtId="0">
      <sharedItems/>
    </cacheField>
    <cacheField name="Centro" numFmtId="0">
      <sharedItems containsMixedTypes="1" containsNumber="1" containsInteger="1" minValue="1207" maxValue="12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2">
  <r>
    <d v="2026-03-26T00:00:00"/>
    <s v="10562988"/>
    <s v="10"/>
    <x v="0"/>
    <x v="0"/>
    <x v="0"/>
    <s v="M3"/>
    <s v="1208"/>
    <s v="ND"/>
    <s v="ND"/>
    <d v="2026-04-08T00:00:00"/>
    <s v="147991     GUERRA FLORES LIZETH CAROLINA"/>
    <n v="7.5"/>
    <s v="PEN"/>
    <n v="1"/>
    <s v="M3"/>
    <n v="1103"/>
    <n v="6500"/>
    <n v="4500899286"/>
    <s v="AGUACOMPR"/>
    <s v="JCHIGNE"/>
    <s v="180"/>
    <s v="FTORRES"/>
    <s v="0050"/>
    <n v="0"/>
    <s v="N"/>
    <m/>
    <s v="ZEX3"/>
    <m/>
    <s v="0"/>
    <m/>
    <n v="46107"/>
    <n v="46107"/>
    <n v="46107"/>
    <n v="0"/>
    <n v="6"/>
    <s v="PEN"/>
    <n v="36000"/>
    <m/>
    <m/>
    <m/>
    <s v="1056298810"/>
    <n v="-11"/>
    <s v="ATRASADO"/>
    <s v="BLAPA"/>
  </r>
  <r>
    <d v="2026-03-30T00:00:00"/>
    <s v="10563529"/>
    <s v="20"/>
    <x v="0"/>
    <x v="0"/>
    <x v="1"/>
    <s v="M3"/>
    <s v="1207"/>
    <s v="ND"/>
    <s v="ND"/>
    <d v="2026-04-08T00:00:00"/>
    <s v="147991     GUERRA FLORES LIZETH CAROLINA"/>
    <n v="7.5"/>
    <s v="PEN"/>
    <n v="1"/>
    <s v="M3"/>
    <n v="1103"/>
    <n v="6500"/>
    <n v="4500899286"/>
    <s v="AGUACOMPR"/>
    <s v="RANTEPARRA"/>
    <s v="180"/>
    <s v="FTORRES"/>
    <s v="0050"/>
    <n v="20000"/>
    <s v="B"/>
    <m/>
    <s v="ZEX3"/>
    <s v="4500899356"/>
    <s v="10"/>
    <n v="46120"/>
    <n v="46111"/>
    <n v="46111"/>
    <n v="46111"/>
    <n v="0"/>
    <n v="9.5"/>
    <s v="PEN"/>
    <n v="380000"/>
    <m/>
    <m/>
    <m/>
    <s v="1056352920"/>
    <n v="-7"/>
    <s v="ATRASADO"/>
    <s v="BLAPA"/>
  </r>
  <r>
    <d v="2026-03-30T00:00:00"/>
    <s v="10563529"/>
    <s v="30"/>
    <x v="0"/>
    <x v="0"/>
    <x v="2"/>
    <s v="M3"/>
    <s v="1208"/>
    <s v="ND"/>
    <s v="ND"/>
    <d v="2026-04-08T00:00:00"/>
    <s v="147991     GUERRA FLORES LIZETH CAROLINA"/>
    <n v="7.5"/>
    <s v="PEN"/>
    <n v="1"/>
    <s v="M3"/>
    <n v="1103"/>
    <n v="6500"/>
    <n v="4500899286"/>
    <s v="AGUACOMPR"/>
    <s v="JCHIGNE"/>
    <s v="180"/>
    <s v="FTORRES"/>
    <s v="0050"/>
    <n v="3000"/>
    <s v="B"/>
    <m/>
    <s v="ZEX3"/>
    <s v="4500898282"/>
    <s v="10"/>
    <n v="46112"/>
    <n v="46111"/>
    <n v="46111"/>
    <n v="46111"/>
    <n v="0"/>
    <n v="6"/>
    <s v="PEN"/>
    <n v="120000"/>
    <m/>
    <m/>
    <m/>
    <s v="1056352930"/>
    <n v="-7"/>
    <s v="ATRASADO"/>
    <s v="BLAPA"/>
  </r>
  <r>
    <d v="2026-04-08T00:00:00"/>
    <s v="10564709"/>
    <s v="10"/>
    <x v="0"/>
    <x v="0"/>
    <x v="3"/>
    <s v="M3"/>
    <s v="1208"/>
    <s v="ND"/>
    <s v="ND"/>
    <d v="2026-04-08T00:00:00"/>
    <s v="147991     GUERRA FLORES LIZETH CAROLINA"/>
    <n v="7.5"/>
    <s v="PEN"/>
    <n v="1"/>
    <s v="M3"/>
    <n v="1103"/>
    <n v="6500"/>
    <n v="4500899286"/>
    <s v="AGUACOMPR"/>
    <m/>
    <s v="185"/>
    <s v="EJIMENEZ"/>
    <s v="0050"/>
    <n v="0"/>
    <s v="N"/>
    <m/>
    <s v="ZEX3"/>
    <m/>
    <s v="0"/>
    <m/>
    <n v="46120"/>
    <n v="46120"/>
    <n v="46120"/>
    <n v="0"/>
    <n v="6"/>
    <s v="PEN"/>
    <n v="478.86"/>
    <m/>
    <n v="2017654"/>
    <m/>
    <s v="1056470910"/>
    <n v="2"/>
    <s v="A TIEMPO"/>
    <s v="BLAPA"/>
  </r>
  <r>
    <d v="2026-04-09T00:00:00"/>
    <s v="10564777"/>
    <s v="1000"/>
    <x v="1"/>
    <x v="1"/>
    <x v="4"/>
    <s v="UN"/>
    <s v="1207"/>
    <s v="ND"/>
    <s v="ND"/>
    <d v="2025-11-07T00:00:00"/>
    <s v="103828     HLM Y CIA SAC"/>
    <n v="380"/>
    <s v="PEN"/>
    <n v="1"/>
    <s v="UN"/>
    <n v="1207"/>
    <n v="2"/>
    <n v="4500872550"/>
    <s v="AUTVPARLA"/>
    <s v="MRP-ALM.CENT"/>
    <s v="185"/>
    <s v="MRP-ALM.CENT"/>
    <s v="0050"/>
    <n v="0"/>
    <s v="N"/>
    <s v="I07"/>
    <s v="ZEX1"/>
    <m/>
    <s v="0"/>
    <m/>
    <n v="46121"/>
    <n v="46121"/>
    <n v="46150"/>
    <n v="29"/>
    <n v="380"/>
    <s v="PEN"/>
    <n v="760"/>
    <m/>
    <m/>
    <m/>
    <s v="105647771000"/>
    <n v="3"/>
    <s v="A TIEMPO"/>
    <s v="BLAPA"/>
  </r>
  <r>
    <d v="2026-04-08T00:00:00"/>
    <s v="10564621"/>
    <s v="10"/>
    <x v="2"/>
    <x v="2"/>
    <x v="5"/>
    <s v="UN"/>
    <s v="1207"/>
    <s v="ND"/>
    <s v="ND"/>
    <d v="2026-01-22T00:00:00"/>
    <s v="150214     CONEXION PERU TI SAC"/>
    <n v="444.92"/>
    <s v="USD"/>
    <n v="1"/>
    <s v="UN"/>
    <n v="1301"/>
    <n v="1"/>
    <n v="4500887106"/>
    <s v="AUTVTELEV"/>
    <s v="RTOLENTINO"/>
    <s v="180"/>
    <s v="MRP-ALM.CENT"/>
    <s v="0050"/>
    <n v="0"/>
    <s v="N"/>
    <s v="Z01"/>
    <s v="ZEX2"/>
    <m/>
    <s v="0"/>
    <m/>
    <n v="46120"/>
    <n v="46120"/>
    <n v="46121"/>
    <n v="0"/>
    <n v="1230.03"/>
    <s v="PEN"/>
    <n v="1230.03"/>
    <s v="2018780-1-CBRAVRWTelevisoresdeTripulante"/>
    <n v="4214872"/>
    <m/>
    <s v="1056462110"/>
    <n v="2"/>
    <s v="A TIEMPO"/>
    <s v="BLAPA"/>
  </r>
  <r>
    <d v="2026-04-08T00:00:00"/>
    <s v="10564673"/>
    <s v="10"/>
    <x v="3"/>
    <x v="3"/>
    <x v="5"/>
    <s v="UN"/>
    <s v="1207"/>
    <s v="ND"/>
    <s v="ND"/>
    <d v="2026-02-17T00:00:00"/>
    <s v="152454     RVM CORPORACION SAC"/>
    <n v="2.69"/>
    <s v="USD"/>
    <n v="1"/>
    <s v="UN"/>
    <n v="1207"/>
    <n v="6"/>
    <n v="4500891087"/>
    <s v="BALAMECAN"/>
    <s v="RTOLENTINO"/>
    <s v="180"/>
    <s v="MRP-ALM.CENT"/>
    <s v="0050"/>
    <n v="0"/>
    <s v="N"/>
    <s v="Z01"/>
    <s v="ZEX2"/>
    <m/>
    <s v="0"/>
    <m/>
    <n v="46120"/>
    <n v="46120"/>
    <n v="46121"/>
    <n v="0"/>
    <n v="25.27"/>
    <s v="PEN"/>
    <n v="25.27"/>
    <s v="2016862-9-CUZC4Alist.Mat.Ut.MenajeTemp.26-1"/>
    <n v="4214406"/>
    <m/>
    <s v="1056467310"/>
    <n v="2"/>
    <s v="A TIEMPO"/>
    <s v="BLAPA"/>
  </r>
  <r>
    <d v="2026-04-08T00:00:00"/>
    <s v="10564703"/>
    <s v="10"/>
    <x v="3"/>
    <x v="3"/>
    <x v="5"/>
    <s v="UN"/>
    <s v="1207"/>
    <s v="ND"/>
    <s v="ND"/>
    <d v="2026-02-17T00:00:00"/>
    <s v="152454     RVM CORPORACION SAC"/>
    <n v="2.69"/>
    <s v="USD"/>
    <n v="1"/>
    <s v="UN"/>
    <n v="1207"/>
    <n v="6"/>
    <n v="4500891087"/>
    <s v="BALAMECAN"/>
    <s v="RTOLENTINO"/>
    <s v="180"/>
    <s v="MRP-ALM.CENT"/>
    <s v="0050"/>
    <n v="0"/>
    <s v="N"/>
    <s v="Z01"/>
    <s v="ZEX2"/>
    <m/>
    <s v="0"/>
    <m/>
    <n v="46120"/>
    <n v="46120"/>
    <n v="46121"/>
    <n v="0"/>
    <n v="25.27"/>
    <s v="PEN"/>
    <n v="25.27"/>
    <s v="2019063-2-GUANAKITDEMUESTREOTEMP26-1"/>
    <n v="4214945"/>
    <m/>
    <s v="1056470310"/>
    <n v="2"/>
    <s v="A TIEMPO"/>
    <s v="BLAPA"/>
  </r>
  <r>
    <d v="2026-04-08T00:00:00"/>
    <s v="10564704"/>
    <s v="10"/>
    <x v="3"/>
    <x v="3"/>
    <x v="5"/>
    <s v="UN"/>
    <s v="1207"/>
    <s v="ND"/>
    <s v="ND"/>
    <d v="2026-02-17T00:00:00"/>
    <s v="152454     RVM CORPORACION SAC"/>
    <n v="2.69"/>
    <s v="USD"/>
    <n v="1"/>
    <s v="UN"/>
    <n v="1207"/>
    <n v="6"/>
    <n v="4500891087"/>
    <s v="BALAMECAN"/>
    <s v="RTOLENTINO"/>
    <s v="180"/>
    <s v="MRP-ALM.CENT"/>
    <s v="0050"/>
    <n v="0"/>
    <s v="N"/>
    <s v="Z01"/>
    <s v="ZEX2"/>
    <m/>
    <s v="0"/>
    <m/>
    <n v="46120"/>
    <n v="46120"/>
    <n v="46121"/>
    <n v="0"/>
    <n v="25.27"/>
    <s v="PEN"/>
    <n v="25.27"/>
    <s v="2019066-4-CARIBKITDEMUESTREOTEMP26-1"/>
    <n v="4214948"/>
    <m/>
    <s v="1056470410"/>
    <n v="2"/>
    <s v="A TIEMPO"/>
    <s v="BLAPA"/>
  </r>
  <r>
    <d v="2026-04-08T00:00:00"/>
    <s v="10564705"/>
    <s v="10"/>
    <x v="3"/>
    <x v="3"/>
    <x v="5"/>
    <s v="UN"/>
    <s v="1207"/>
    <s v="ND"/>
    <s v="ND"/>
    <d v="2026-02-17T00:00:00"/>
    <s v="152454     RVM CORPORACION SAC"/>
    <n v="2.69"/>
    <s v="USD"/>
    <n v="1"/>
    <s v="UN"/>
    <n v="1207"/>
    <n v="6"/>
    <n v="4500891087"/>
    <s v="BALAMECAN"/>
    <s v="RTOLENTINO"/>
    <s v="180"/>
    <s v="MRP-ALM.CENT"/>
    <s v="0050"/>
    <n v="0"/>
    <s v="N"/>
    <s v="Z01"/>
    <s v="ZEX2"/>
    <m/>
    <s v="0"/>
    <m/>
    <n v="46120"/>
    <n v="46120"/>
    <n v="46121"/>
    <n v="0"/>
    <n v="25.27"/>
    <s v="PEN"/>
    <n v="25.27"/>
    <s v="2019068-3-ANTA3KITDEMUESTREOTEMP26-1"/>
    <n v="4214949"/>
    <m/>
    <s v="1056470510"/>
    <n v="2"/>
    <s v="A TIEMPO"/>
    <s v="BLAPA"/>
  </r>
  <r>
    <d v="2026-04-08T00:00:00"/>
    <s v="10564706"/>
    <s v="10"/>
    <x v="3"/>
    <x v="3"/>
    <x v="5"/>
    <s v="UN"/>
    <s v="1207"/>
    <s v="ND"/>
    <s v="ND"/>
    <d v="2026-02-17T00:00:00"/>
    <s v="152454     RVM CORPORACION SAC"/>
    <n v="2.69"/>
    <s v="USD"/>
    <n v="1"/>
    <s v="UN"/>
    <n v="1207"/>
    <n v="6"/>
    <n v="4500891087"/>
    <s v="BALAMECAN"/>
    <s v="RTOLENTINO"/>
    <s v="180"/>
    <s v="MRP-ALM.CENT"/>
    <s v="0050"/>
    <n v="0"/>
    <s v="N"/>
    <s v="Z01"/>
    <s v="ZEX2"/>
    <m/>
    <s v="0"/>
    <m/>
    <n v="46120"/>
    <n v="46120"/>
    <n v="46121"/>
    <n v="0"/>
    <n v="25.27"/>
    <s v="PEN"/>
    <n v="25.27"/>
    <s v="2019071-2-MICONKITDEMUESTREOTEMP26-1"/>
    <n v="4214950"/>
    <m/>
    <s v="1056470610"/>
    <n v="2"/>
    <s v="A TIEMPO"/>
    <s v="BLAPA"/>
  </r>
  <r>
    <d v="2026-04-08T00:00:00"/>
    <s v="10564707"/>
    <s v="10"/>
    <x v="3"/>
    <x v="3"/>
    <x v="5"/>
    <s v="UN"/>
    <s v="1207"/>
    <s v="ND"/>
    <s v="ND"/>
    <d v="2026-02-17T00:00:00"/>
    <s v="152454     RVM CORPORACION SAC"/>
    <n v="2.69"/>
    <s v="USD"/>
    <n v="1"/>
    <s v="UN"/>
    <n v="1207"/>
    <n v="6"/>
    <n v="4500891087"/>
    <s v="BALAMECAN"/>
    <s v="RTOLENTINO"/>
    <s v="180"/>
    <s v="MRP-ALM.CENT"/>
    <s v="0050"/>
    <n v="0"/>
    <s v="N"/>
    <s v="Z01"/>
    <s v="ZEX2"/>
    <m/>
    <s v="0"/>
    <m/>
    <n v="46120"/>
    <n v="46120"/>
    <n v="46121"/>
    <n v="0"/>
    <n v="25.27"/>
    <s v="PEN"/>
    <n v="25.27"/>
    <s v="2019072-4-ANCS2KITDEMUESTREOTEMP26-1"/>
    <n v="4214951"/>
    <m/>
    <s v="1056470710"/>
    <n v="2"/>
    <s v="A TIEMPO"/>
    <s v="BLAPA"/>
  </r>
  <r>
    <d v="2026-04-08T00:00:00"/>
    <s v="10564719"/>
    <s v="10"/>
    <x v="3"/>
    <x v="3"/>
    <x v="5"/>
    <s v="UN"/>
    <s v="1207"/>
    <s v="ND"/>
    <s v="ND"/>
    <d v="2026-02-17T00:00:00"/>
    <s v="152454     RVM CORPORACION SAC"/>
    <n v="2.69"/>
    <s v="USD"/>
    <n v="1"/>
    <s v="UN"/>
    <n v="1207"/>
    <n v="6"/>
    <n v="4500891087"/>
    <s v="BALAMECAN"/>
    <s v="RTOLENTINO"/>
    <s v="180"/>
    <s v="MRP-ALM.CENT"/>
    <s v="0050"/>
    <n v="0"/>
    <s v="N"/>
    <s v="Z01"/>
    <s v="ZEX2"/>
    <m/>
    <s v="0"/>
    <m/>
    <n v="46120"/>
    <n v="46120"/>
    <n v="46121"/>
    <n v="0"/>
    <n v="25.27"/>
    <s v="PEN"/>
    <n v="25.27"/>
    <s v="2016883-18-CARMTAlist.Mat.Ut.MenajeTemp.26-1"/>
    <n v="4214418"/>
    <m/>
    <s v="1056471910"/>
    <n v="2"/>
    <s v="A TIEMPO"/>
    <s v="BLAPA"/>
  </r>
  <r>
    <d v="2026-04-08T00:00:00"/>
    <s v="10564720"/>
    <s v="10"/>
    <x v="3"/>
    <x v="3"/>
    <x v="5"/>
    <s v="UN"/>
    <s v="1207"/>
    <s v="ND"/>
    <s v="ND"/>
    <d v="2026-02-17T00:00:00"/>
    <s v="152454     RVM CORPORACION SAC"/>
    <n v="2.69"/>
    <s v="USD"/>
    <n v="1"/>
    <s v="UN"/>
    <n v="1207"/>
    <n v="6"/>
    <n v="4500891087"/>
    <s v="BALAMECAN"/>
    <s v="RTOLENTINO"/>
    <s v="180"/>
    <s v="MRP-ALM.CENT"/>
    <s v="0050"/>
    <n v="0"/>
    <s v="N"/>
    <s v="Z01"/>
    <s v="ZEX2"/>
    <m/>
    <s v="0"/>
    <m/>
    <n v="46120"/>
    <n v="46120"/>
    <n v="46121"/>
    <n v="0"/>
    <n v="25.27"/>
    <s v="PEN"/>
    <n v="25.27"/>
    <s v="2016896-8-CBRAVAlist.Mat.Ut.MenajeTemp.26-1"/>
    <n v="4214426"/>
    <m/>
    <s v="1056472010"/>
    <n v="2"/>
    <s v="A TIEMPO"/>
    <s v="BLAPA"/>
  </r>
  <r>
    <d v="2026-04-08T00:00:00"/>
    <s v="10564722"/>
    <s v="10"/>
    <x v="3"/>
    <x v="3"/>
    <x v="5"/>
    <s v="UN"/>
    <s v="1207"/>
    <s v="ND"/>
    <s v="ND"/>
    <d v="2026-02-17T00:00:00"/>
    <s v="152454     RVM CORPORACION SAC"/>
    <n v="2.69"/>
    <s v="USD"/>
    <n v="1"/>
    <s v="UN"/>
    <n v="1207"/>
    <n v="6"/>
    <n v="4500891087"/>
    <s v="BALAMECAN"/>
    <s v="RTOLENTINO"/>
    <s v="180"/>
    <s v="MRP-ALM.CENT"/>
    <s v="0050"/>
    <n v="0"/>
    <s v="N"/>
    <s v="Z01"/>
    <s v="ZEX2"/>
    <m/>
    <s v="0"/>
    <m/>
    <n v="46120"/>
    <n v="46120"/>
    <n v="46121"/>
    <n v="0"/>
    <n v="25.27"/>
    <s v="PEN"/>
    <n v="25.27"/>
    <s v="2016892-8-CRETAAlist.Mat.Ut.MenajeTemp.26-1"/>
    <n v="4214422"/>
    <m/>
    <s v="1056472210"/>
    <n v="2"/>
    <s v="A TIEMPO"/>
    <s v="BLAPA"/>
  </r>
  <r>
    <d v="2026-04-06T00:00:00"/>
    <s v="10564192"/>
    <s v="10"/>
    <x v="4"/>
    <x v="4"/>
    <x v="5"/>
    <s v="UN"/>
    <s v="1101"/>
    <s v="ND"/>
    <s v="ND"/>
    <d v="2025-10-23T00:00:00"/>
    <s v="113232     TECTRONICA SAC"/>
    <n v="4334.57"/>
    <s v="PEN"/>
    <n v="1"/>
    <s v="UN"/>
    <n v="1101"/>
    <n v="1"/>
    <n v="4500870349"/>
    <s v="BOBIVARIA"/>
    <s v="LBELLODAS"/>
    <s v="180"/>
    <s v="MRP-T.MORA"/>
    <s v="TRAN"/>
    <n v="0"/>
    <s v="N"/>
    <s v="I01"/>
    <s v="ZEX2"/>
    <m/>
    <s v="0"/>
    <m/>
    <n v="46118"/>
    <n v="46118"/>
    <n v="46119"/>
    <n v="29"/>
    <n v="4334.57"/>
    <s v="PEN"/>
    <n v="4334.57"/>
    <s v="2009002-30-COMPRADEBOMBA30M3PARAESPUMA"/>
    <n v="4211936"/>
    <m/>
    <s v="1056419210"/>
    <n v="0"/>
    <s v="A TIEMPO"/>
    <s v="BLAPA"/>
  </r>
  <r>
    <d v="2026-04-06T00:00:00"/>
    <s v="10564199"/>
    <s v="10"/>
    <x v="4"/>
    <x v="4"/>
    <x v="5"/>
    <s v="UN"/>
    <s v="1101"/>
    <s v="ND"/>
    <s v="ND"/>
    <d v="2025-10-23T00:00:00"/>
    <s v="113232     TECTRONICA SAC"/>
    <n v="4334.57"/>
    <s v="PEN"/>
    <n v="1"/>
    <s v="UN"/>
    <n v="1101"/>
    <n v="1"/>
    <n v="4500870349"/>
    <s v="BOBIVARIA"/>
    <s v="LBELLODAS"/>
    <s v="180"/>
    <s v="MRP-T.MORA"/>
    <s v="TRAN"/>
    <n v="0"/>
    <s v="N"/>
    <s v="I01"/>
    <s v="ZEX2"/>
    <m/>
    <s v="0"/>
    <m/>
    <n v="46118"/>
    <n v="46118"/>
    <n v="46119"/>
    <n v="29"/>
    <n v="4334.57"/>
    <s v="PEN"/>
    <n v="4334.57"/>
    <s v="2009003-34-COMPRABOMBALICORDEESPUMA"/>
    <n v="4211937"/>
    <m/>
    <s v="1056419910"/>
    <n v="0"/>
    <s v="A TIEMPO"/>
    <s v="BLAPA"/>
  </r>
  <r>
    <d v="2026-03-31T00:00:00"/>
    <s v="10563670"/>
    <s v="10"/>
    <x v="5"/>
    <x v="5"/>
    <x v="6"/>
    <s v="UN"/>
    <s v="1101"/>
    <n v="8.1999999999999993"/>
    <n v="107912"/>
    <d v="2026-01-12T00:00:00"/>
    <s v="107912     CORPORACION LA SIRENA SAC"/>
    <n v="8.1999999999999993"/>
    <s v="PEN"/>
    <n v="1"/>
    <s v="UN"/>
    <n v="1101"/>
    <n v="36"/>
    <n v="4500885450"/>
    <s v="CERRADURA"/>
    <s v="MMAGALLANES"/>
    <s v="180"/>
    <s v="MRP-T.MORA"/>
    <s v="TRAN"/>
    <n v="0"/>
    <s v="N"/>
    <s v="I01"/>
    <s v="ZEX2"/>
    <m/>
    <s v="0"/>
    <m/>
    <n v="46112"/>
    <n v="46112"/>
    <n v="46113"/>
    <n v="0"/>
    <n v="8.1999999999999993"/>
    <s v="PEN"/>
    <n v="82"/>
    <s v="2017486-1-PRD.-TM-ADMINIST."/>
    <n v="2017486"/>
    <m/>
    <s v="1056367010"/>
    <n v="-6"/>
    <s v="ATRASADO"/>
    <s v="BLAPA"/>
  </r>
  <r>
    <d v="2026-03-31T00:00:00"/>
    <s v="10563651"/>
    <s v="10"/>
    <x v="6"/>
    <x v="6"/>
    <x v="5"/>
    <s v="UN"/>
    <s v="1208"/>
    <s v="ND"/>
    <s v="ND"/>
    <m/>
    <m/>
    <m/>
    <m/>
    <m/>
    <m/>
    <m/>
    <m/>
    <m/>
    <s v="COMPHARDW"/>
    <s v="ASAGASTEGUI1"/>
    <s v="206"/>
    <s v="MRP-C.DIST C"/>
    <s v="TRAN"/>
    <n v="0"/>
    <s v="N"/>
    <s v="I08"/>
    <s v="ZEX2"/>
    <m/>
    <s v="0"/>
    <m/>
    <n v="46112"/>
    <n v="46112"/>
    <n v="46113"/>
    <n v="29"/>
    <n v="108.75"/>
    <s v="PEN"/>
    <n v="108.75"/>
    <s v="2017463-1-PRD.-CHBT-HP"/>
    <n v="2017463"/>
    <m/>
    <s v="1056365110"/>
    <n v="-6"/>
    <s v="ATRASADO"/>
    <s v="BLAPA"/>
  </r>
  <r>
    <d v="2026-04-06T00:00:00"/>
    <s v="10564338"/>
    <s v="10"/>
    <x v="7"/>
    <x v="7"/>
    <x v="7"/>
    <s v="M"/>
    <s v="1103"/>
    <s v="ND"/>
    <s v="ND"/>
    <d v="2025-08-27T00:00:00"/>
    <s v="103474     GLOBALTEC SAC"/>
    <n v="89.53"/>
    <s v="USD"/>
    <n v="100"/>
    <s v="M"/>
    <n v="1601"/>
    <n v="100"/>
    <n v="4500861216"/>
    <s v="CONDCABLE"/>
    <s v="SCP_FIORI"/>
    <s v="180"/>
    <s v="MRP-CHICAMA"/>
    <s v="TRAN"/>
    <n v="0"/>
    <s v="N"/>
    <s v="I03"/>
    <s v="ZEX2"/>
    <m/>
    <s v="0"/>
    <m/>
    <n v="46118"/>
    <n v="46118"/>
    <n v="46119"/>
    <n v="0"/>
    <n v="3.34"/>
    <s v="PEN"/>
    <n v="83.5"/>
    <s v="2017691-1-CPINSTALTARJETNEUMATEXTRACTPOZ#2"/>
    <n v="4214619"/>
    <m/>
    <s v="1056433810"/>
    <n v="0"/>
    <s v="A TIEMPO"/>
    <s v="BLAPA"/>
  </r>
  <r>
    <d v="2026-04-07T00:00:00"/>
    <s v="10564441"/>
    <s v="10"/>
    <x v="8"/>
    <x v="8"/>
    <x v="8"/>
    <s v="UN"/>
    <s v="1101"/>
    <s v="ND"/>
    <s v="ND"/>
    <m/>
    <m/>
    <m/>
    <m/>
    <m/>
    <m/>
    <m/>
    <m/>
    <m/>
    <s v="CONDCONEC"/>
    <s v="SCP_FIORI"/>
    <s v="180"/>
    <s v="MRP-T.MORA"/>
    <s v="TRAN"/>
    <n v="0"/>
    <s v="N"/>
    <s v="I01"/>
    <s v="ZEX2"/>
    <m/>
    <s v="0"/>
    <m/>
    <n v="46119"/>
    <n v="46119"/>
    <n v="46120"/>
    <n v="0"/>
    <n v="5.39"/>
    <s v="PEN"/>
    <n v="16.170000000000002"/>
    <s v="2006828-6-CAMBIARAUTOMATICOMOTORBBASANGUAPAMA"/>
    <n v="4211146"/>
    <m/>
    <s v="1056444110"/>
    <n v="1"/>
    <s v="A TIEMPO"/>
    <s v="BLAPA"/>
  </r>
  <r>
    <d v="2026-04-08T00:00:00"/>
    <s v="10564554"/>
    <s v="1000"/>
    <x v="9"/>
    <x v="9"/>
    <x v="9"/>
    <s v="UN"/>
    <s v="1101"/>
    <s v="ND"/>
    <s v="ND"/>
    <d v="2026-04-07T00:00:00"/>
    <s v="104104     INET SAC"/>
    <n v="2.79"/>
    <s v="USD"/>
    <n v="1"/>
    <s v="UN"/>
    <n v="1101"/>
    <n v="6"/>
    <n v="4500899148"/>
    <s v="CONDCONEC"/>
    <s v="MRP-T.MORA"/>
    <s v="185"/>
    <s v="MRP-T.MORA"/>
    <m/>
    <n v="0"/>
    <s v="N"/>
    <s v="I01"/>
    <s v="ZEX1"/>
    <m/>
    <s v="0"/>
    <m/>
    <n v="46120"/>
    <n v="46120"/>
    <n v="46149"/>
    <n v="29"/>
    <n v="4.24"/>
    <s v="PEN"/>
    <n v="25.44"/>
    <m/>
    <m/>
    <m/>
    <s v="105645541000"/>
    <n v="2"/>
    <s v="A TIEMPO"/>
    <s v="BLAPA"/>
  </r>
  <r>
    <d v="2026-04-09T00:00:00"/>
    <s v="10564775"/>
    <s v="1000"/>
    <x v="10"/>
    <x v="10"/>
    <x v="10"/>
    <s v="UN"/>
    <s v="1207"/>
    <s v="ND"/>
    <s v="ND"/>
    <d v="2026-04-06T00:00:00"/>
    <s v="108561     SONEPAR PERU SAC"/>
    <n v="0.56999999999999995"/>
    <s v="USD"/>
    <n v="1"/>
    <s v="UN"/>
    <n v="1606"/>
    <n v="20"/>
    <n v="4500898939"/>
    <s v="CONDCONEC"/>
    <s v="MRP-ALM.CENT"/>
    <s v="185"/>
    <s v="MRP-ALM.CENT"/>
    <s v="0050"/>
    <n v="0"/>
    <s v="N"/>
    <s v="I07"/>
    <s v="ZEX1"/>
    <m/>
    <s v="0"/>
    <m/>
    <n v="46121"/>
    <n v="46121"/>
    <n v="46150"/>
    <n v="29"/>
    <n v="1.96"/>
    <s v="PEN"/>
    <n v="23.52"/>
    <m/>
    <m/>
    <m/>
    <s v="105647751000"/>
    <n v="3"/>
    <s v="A TIEMPO"/>
    <s v="BLAPA"/>
  </r>
  <r>
    <d v="2026-04-06T00:00:00"/>
    <s v="10564338"/>
    <s v="30"/>
    <x v="11"/>
    <x v="11"/>
    <x v="11"/>
    <s v="M"/>
    <s v="1103"/>
    <s v="ND"/>
    <s v="ND"/>
    <d v="2026-03-27T00:00:00"/>
    <s v="108561     SONEPAR PERU SAC"/>
    <n v="4.04"/>
    <s v="USD"/>
    <n v="6"/>
    <s v="M"/>
    <n v="1103"/>
    <n v="4"/>
    <n v="4500897814"/>
    <s v="CONDTUBOS"/>
    <s v="SCP_FIORI"/>
    <s v="180"/>
    <s v="MRP-CHICAMA"/>
    <s v="TRAN"/>
    <n v="0"/>
    <s v="N"/>
    <s v="I03"/>
    <s v="ZEX2"/>
    <m/>
    <s v="0"/>
    <m/>
    <n v="46118"/>
    <n v="46118"/>
    <n v="46119"/>
    <n v="0"/>
    <n v="3.35"/>
    <s v="PEN"/>
    <n v="13.4"/>
    <s v="2017691-6-CPINSTALTARJETNEUMATEXTRACTPOZ#2"/>
    <n v="4214619"/>
    <m/>
    <s v="1056433830"/>
    <n v="0"/>
    <s v="A TIEMPO"/>
    <s v="BLAPA"/>
  </r>
  <r>
    <d v="2026-04-06T00:00:00"/>
    <s v="10564338"/>
    <s v="40"/>
    <x v="12"/>
    <x v="12"/>
    <x v="11"/>
    <s v="M"/>
    <s v="1103"/>
    <s v="ND"/>
    <s v="ND"/>
    <d v="2026-03-27T00:00:00"/>
    <s v="108561     SONEPAR PERU SAC"/>
    <n v="1.08"/>
    <s v="USD"/>
    <n v="1"/>
    <s v="M"/>
    <n v="1101"/>
    <n v="10"/>
    <n v="4500897814"/>
    <s v="CONDTUBOS"/>
    <s v="SCP_FIORI"/>
    <s v="180"/>
    <s v="MRP-CHICAMA"/>
    <s v="TRAN"/>
    <n v="0"/>
    <s v="N"/>
    <s v="I03"/>
    <s v="ZEX2"/>
    <m/>
    <s v="0"/>
    <m/>
    <n v="46118"/>
    <n v="46118"/>
    <n v="46119"/>
    <n v="0"/>
    <n v="3.63"/>
    <s v="PEN"/>
    <n v="14.52"/>
    <s v="2017691-9-CPINSTALTARJETNEUMATEXTRACTPOZ#2"/>
    <n v="4214619"/>
    <m/>
    <s v="1056433840"/>
    <n v="0"/>
    <s v="A TIEMPO"/>
    <s v="BLAPA"/>
  </r>
  <r>
    <d v="2026-03-25T00:00:00"/>
    <s v="10562920"/>
    <s v="10"/>
    <x v="13"/>
    <x v="13"/>
    <x v="12"/>
    <s v="ROL"/>
    <s v="1606"/>
    <s v="ND"/>
    <s v="ND"/>
    <m/>
    <m/>
    <m/>
    <m/>
    <m/>
    <m/>
    <m/>
    <m/>
    <m/>
    <s v="ELECAISLA"/>
    <s v="OMARTINEZ"/>
    <s v="198"/>
    <s v="MRP-PAITA CH"/>
    <s v="TRAN"/>
    <n v="0"/>
    <s v="N"/>
    <s v="D06"/>
    <s v="ZEX2"/>
    <m/>
    <s v="0"/>
    <m/>
    <n v="46106"/>
    <n v="46106"/>
    <n v="46107"/>
    <n v="29"/>
    <n v="39"/>
    <s v="PEN"/>
    <n v="312"/>
    <s v="2015193-1-CAMBRESISTBANDEJ/DRENAJEEVAPORADN°2"/>
    <n v="6200000130"/>
    <m/>
    <s v="1056292010"/>
    <n v="-12"/>
    <s v="ATRASADO"/>
    <s v="BLAPA"/>
  </r>
  <r>
    <d v="2026-04-08T00:00:00"/>
    <s v="10564565"/>
    <s v="1000"/>
    <x v="14"/>
    <x v="14"/>
    <x v="13"/>
    <s v="ROL"/>
    <s v="1207"/>
    <s v="ND"/>
    <s v="ND"/>
    <d v="2026-03-18T00:00:00"/>
    <s v="105012     M ELECTRO S.A."/>
    <n v="85.28"/>
    <s v="USD"/>
    <n v="1"/>
    <s v="ROL"/>
    <n v="1207"/>
    <n v="24"/>
    <n v="4500896391"/>
    <s v="ELECAISLA"/>
    <s v="MRP-ALM.CENT"/>
    <s v="185"/>
    <s v="MRP-ALM.CENT"/>
    <s v="0050"/>
    <n v="0"/>
    <s v="N"/>
    <s v="I07"/>
    <s v="ZEX1"/>
    <m/>
    <s v="0"/>
    <m/>
    <n v="46120"/>
    <n v="46120"/>
    <n v="46149"/>
    <n v="29"/>
    <n v="262.67"/>
    <s v="PEN"/>
    <n v="6304.08"/>
    <m/>
    <m/>
    <m/>
    <s v="105645651000"/>
    <n v="2"/>
    <s v="A TIEMPO"/>
    <s v="BLAPA"/>
  </r>
  <r>
    <d v="2026-04-08T00:00:00"/>
    <s v="10564576"/>
    <s v="1000"/>
    <x v="15"/>
    <x v="15"/>
    <x v="14"/>
    <s v="UN"/>
    <s v="1207"/>
    <s v="ND"/>
    <s v="ND"/>
    <d v="2026-02-26T00:00:00"/>
    <s v="108864     WURTH PERU SAC"/>
    <n v="40.54"/>
    <s v="PEN"/>
    <n v="1"/>
    <s v="UN"/>
    <n v="1207"/>
    <n v="28"/>
    <n v="4500893064"/>
    <s v="ELECAISLA"/>
    <s v="MRP-ALM.CENT"/>
    <s v="180"/>
    <s v="MRP-ALM.CENT"/>
    <s v="0050"/>
    <n v="0"/>
    <s v="N"/>
    <s v="I07"/>
    <s v="ZEX1"/>
    <m/>
    <s v="0"/>
    <m/>
    <n v="46121"/>
    <n v="46120"/>
    <n v="46150"/>
    <n v="29"/>
    <n v="54.34"/>
    <s v="PEN"/>
    <n v="1467.18"/>
    <m/>
    <m/>
    <m/>
    <s v="105645761000"/>
    <n v="2"/>
    <s v="A TIEMPO"/>
    <s v="BLAPA"/>
  </r>
  <r>
    <d v="2026-04-03T00:00:00"/>
    <s v="10564024"/>
    <s v="10"/>
    <x v="16"/>
    <x v="16"/>
    <x v="5"/>
    <s v="UN"/>
    <s v="1207"/>
    <s v="ND"/>
    <s v="ND"/>
    <d v="2025-12-10T00:00:00"/>
    <s v="105748     NAVALES SAC"/>
    <n v="138"/>
    <s v="USD"/>
    <n v="1"/>
    <s v="UN"/>
    <n v="1208"/>
    <n v="1"/>
    <n v="4500879312"/>
    <s v="ELECALARM"/>
    <s v="NALVAREZ"/>
    <s v="180"/>
    <s v="MRP-ALM.CENT"/>
    <s v="0050"/>
    <n v="0"/>
    <s v="N"/>
    <s v="Z01"/>
    <s v="ZEX2"/>
    <m/>
    <s v="0"/>
    <m/>
    <n v="46115"/>
    <n v="46115"/>
    <n v="46116"/>
    <n v="0"/>
    <n v="484.24"/>
    <s v="PEN"/>
    <n v="484.24"/>
    <s v="2017317-11-ANCS2-PMCONSUMIBLESSIST.ELECTRICO"/>
    <n v="4214531"/>
    <m/>
    <s v="1056402410"/>
    <n v="-3"/>
    <s v="ATRASADO"/>
    <s v="BLAPA"/>
  </r>
  <r>
    <d v="2026-03-25T00:00:00"/>
    <s v="10562835"/>
    <s v="10"/>
    <x v="17"/>
    <x v="17"/>
    <x v="5"/>
    <s v="UN"/>
    <s v="1207"/>
    <s v="ND"/>
    <s v="ND"/>
    <m/>
    <m/>
    <m/>
    <m/>
    <m/>
    <m/>
    <m/>
    <m/>
    <m/>
    <s v="ELECCAJAS"/>
    <s v="EFIESTAS"/>
    <s v="180"/>
    <s v="MRP-ALM.CENT"/>
    <s v="0050"/>
    <n v="0"/>
    <s v="N"/>
    <s v="Z01"/>
    <s v="ZEX2"/>
    <m/>
    <s v="0"/>
    <m/>
    <n v="46106"/>
    <n v="46106"/>
    <n v="46107"/>
    <n v="0"/>
    <n v="106.94"/>
    <s v="PEN"/>
    <n v="106.94"/>
    <s v="2009793-21-AREQ5-PMLUMINARIASEXTERIORYARBOLADUR"/>
    <n v="4212243"/>
    <m/>
    <s v="1056283510"/>
    <n v="-12"/>
    <s v="ATRASADO"/>
    <s v="BLAPA"/>
  </r>
  <r>
    <d v="2026-04-06T00:00:00"/>
    <s v="10564322"/>
    <s v="10"/>
    <x v="18"/>
    <x v="18"/>
    <x v="5"/>
    <s v="UN"/>
    <s v="1208"/>
    <s v="ND"/>
    <s v="ND"/>
    <d v="2026-02-18T00:00:00"/>
    <s v="108561     SONEPAR PERU SAC"/>
    <n v="889.19"/>
    <s v="USD"/>
    <n v="1"/>
    <s v="UN"/>
    <n v="1207"/>
    <n v="3"/>
    <n v="4500891475"/>
    <s v="ELECCOMPO"/>
    <s v="SCP_FIORI"/>
    <s v="180"/>
    <s v="MRP-C.DIST C"/>
    <s v="TRAN"/>
    <n v="0"/>
    <s v="N"/>
    <s v="I08"/>
    <s v="ZEX2"/>
    <m/>
    <s v="0"/>
    <m/>
    <n v="46118"/>
    <n v="46118"/>
    <n v="46119"/>
    <n v="0"/>
    <n v="3255.13"/>
    <s v="PEN"/>
    <n v="3255.13"/>
    <s v="2018359-1-CAMBIODETARJETAARRANCMOLINOSECO#1"/>
    <n v="4214806"/>
    <m/>
    <s v="1056432210"/>
    <n v="0"/>
    <s v="A TIEMPO"/>
    <s v="BLAPA"/>
  </r>
  <r>
    <d v="2026-04-06T00:00:00"/>
    <s v="10564384"/>
    <s v="10"/>
    <x v="19"/>
    <x v="19"/>
    <x v="5"/>
    <s v="UN"/>
    <s v="1601"/>
    <s v="ND"/>
    <s v="ND"/>
    <m/>
    <m/>
    <m/>
    <m/>
    <m/>
    <m/>
    <m/>
    <m/>
    <m/>
    <s v="ELECCOMPO"/>
    <s v="MGARCIAM"/>
    <s v="198"/>
    <s v="MRP-T.MORA C"/>
    <s v="TRAN"/>
    <n v="0"/>
    <s v="N"/>
    <s v="D01"/>
    <s v="ZEX2"/>
    <m/>
    <s v="0"/>
    <m/>
    <n v="46118"/>
    <n v="46118"/>
    <n v="46119"/>
    <n v="0"/>
    <n v="160.6"/>
    <s v="PEN"/>
    <n v="160.6"/>
    <s v="2018481-1-cambiodedisyuntorenenzunchador4,po"/>
    <n v="6100000045"/>
    <m/>
    <s v="1056438410"/>
    <n v="0"/>
    <s v="A TIEMPO"/>
    <s v="BLAPA"/>
  </r>
  <r>
    <d v="2026-04-07T00:00:00"/>
    <s v="10564475"/>
    <s v="10"/>
    <x v="20"/>
    <x v="20"/>
    <x v="6"/>
    <s v="UN"/>
    <s v="1207"/>
    <s v="ND"/>
    <s v="ND"/>
    <d v="2026-03-20T00:00:00"/>
    <s v="103474     GLOBALTEC SAC"/>
    <n v="151.27000000000001"/>
    <s v="USD"/>
    <n v="1"/>
    <s v="UN"/>
    <n v="1207"/>
    <n v="4"/>
    <n v="4500896709"/>
    <s v="ELECCONDE"/>
    <s v="JEQUISPE"/>
    <s v="180"/>
    <s v="MRP-ALM.CENT"/>
    <s v="0050"/>
    <n v="0"/>
    <s v="N"/>
    <s v="Z02"/>
    <s v="ZEX2"/>
    <m/>
    <s v="0"/>
    <m/>
    <n v="46119"/>
    <n v="46119"/>
    <n v="46120"/>
    <n v="0"/>
    <n v="555.86"/>
    <s v="PEN"/>
    <n v="5558.6"/>
    <s v="2006671-37-Cambiocomponenteseléctricos"/>
    <n v="4211058"/>
    <m/>
    <s v="1056447510"/>
    <n v="1"/>
    <s v="A TIEMPO"/>
    <s v="BLAPA"/>
  </r>
  <r>
    <d v="2026-04-07T00:00:00"/>
    <s v="10564475"/>
    <s v="30"/>
    <x v="21"/>
    <x v="21"/>
    <x v="4"/>
    <s v="UN"/>
    <s v="1207"/>
    <s v="ND"/>
    <s v="ND"/>
    <d v="2026-02-24T00:00:00"/>
    <s v="108561     SONEPAR PERU SAC"/>
    <n v="160.22"/>
    <s v="USD"/>
    <n v="1"/>
    <s v="UN"/>
    <n v="1207"/>
    <n v="3"/>
    <n v="4500892385"/>
    <s v="ELECCONMU"/>
    <s v="JEQUISPE"/>
    <s v="180"/>
    <s v="MRP-ALM.CENT"/>
    <s v="0050"/>
    <n v="0"/>
    <s v="N"/>
    <s v="Z02"/>
    <s v="ZEX2"/>
    <m/>
    <s v="0"/>
    <m/>
    <n v="46119"/>
    <n v="46119"/>
    <n v="46120"/>
    <n v="0"/>
    <n v="538.82000000000005"/>
    <s v="PEN"/>
    <n v="1077.6400000000001"/>
    <s v="2006671-40-Cambiocomponenteseléctricos"/>
    <n v="4211058"/>
    <m/>
    <s v="1056447530"/>
    <n v="1"/>
    <s v="A TIEMPO"/>
    <s v="BLAPA"/>
  </r>
  <r>
    <d v="2026-03-20T00:00:00"/>
    <s v="10562338"/>
    <s v="10"/>
    <x v="22"/>
    <x v="22"/>
    <x v="4"/>
    <s v="UN"/>
    <s v="1207"/>
    <s v="ND"/>
    <s v="ND"/>
    <d v="2026-03-17T00:00:00"/>
    <s v="113232     TECTRONICA SAC"/>
    <n v="87"/>
    <s v="USD"/>
    <n v="1"/>
    <s v="UN"/>
    <n v="1102"/>
    <n v="5"/>
    <n v="4500896299"/>
    <s v="ELECDETEC"/>
    <s v="SCP_FIORI"/>
    <s v="180"/>
    <s v="MRP-ALM.CENT"/>
    <s v="0050"/>
    <n v="0"/>
    <s v="N"/>
    <s v="Z02"/>
    <s v="ZEX2"/>
    <m/>
    <s v="0"/>
    <m/>
    <n v="46101"/>
    <n v="46101"/>
    <n v="46102"/>
    <n v="0"/>
    <n v="293.10000000000002"/>
    <s v="PEN"/>
    <n v="586.20000000000005"/>
    <s v="2015762-1-CAMBIODESENSORESYCONTROLADORPAC1M"/>
    <n v="4214065"/>
    <m/>
    <s v="1056233810"/>
    <n v="-17"/>
    <s v="ATRASADO"/>
    <s v="BLAPA"/>
  </r>
  <r>
    <d v="2026-04-07T00:00:00"/>
    <s v="10564386"/>
    <s v="10"/>
    <x v="23"/>
    <x v="23"/>
    <x v="15"/>
    <s v="UN"/>
    <s v="1601"/>
    <s v="ND"/>
    <s v="ND"/>
    <m/>
    <m/>
    <m/>
    <m/>
    <m/>
    <m/>
    <m/>
    <m/>
    <m/>
    <s v="ELECDETEC"/>
    <s v="MGARCIAM"/>
    <s v="198"/>
    <s v="MRP-T.MORA C"/>
    <s v="TRAN"/>
    <n v="0"/>
    <s v="N"/>
    <s v="D01"/>
    <s v="ZEX2"/>
    <m/>
    <s v="0"/>
    <m/>
    <n v="46119"/>
    <n v="46119"/>
    <n v="46120"/>
    <n v="0"/>
    <n v="209.71"/>
    <s v="PEN"/>
    <n v="1048.55"/>
    <s v="1972535-2-cambiodesensordeambienteentunel8,"/>
    <n v="6200000118"/>
    <m/>
    <s v="1056438610"/>
    <n v="1"/>
    <s v="A TIEMPO"/>
    <s v="BLAPA"/>
  </r>
  <r>
    <d v="2026-03-26T00:00:00"/>
    <s v="10562969"/>
    <s v="1000"/>
    <x v="24"/>
    <x v="24"/>
    <x v="16"/>
    <s v="UN"/>
    <s v="1207"/>
    <s v="ND"/>
    <s v="ND"/>
    <m/>
    <m/>
    <m/>
    <m/>
    <m/>
    <m/>
    <m/>
    <m/>
    <m/>
    <s v="ELECINTER"/>
    <s v="MRP-ALM.CENT"/>
    <s v="185"/>
    <s v="MRP-ALM.CENT"/>
    <s v="0050"/>
    <n v="0"/>
    <s v="N"/>
    <s v="I07"/>
    <s v="ZEX1"/>
    <m/>
    <s v="0"/>
    <m/>
    <n v="46120"/>
    <n v="46107"/>
    <n v="46149"/>
    <n v="29"/>
    <n v="78.66"/>
    <s v="PEN"/>
    <n v="1415.88"/>
    <m/>
    <m/>
    <m/>
    <s v="105629691000"/>
    <n v="-11"/>
    <s v="ATRASADO"/>
    <s v="BLAPA"/>
  </r>
  <r>
    <d v="2026-03-28T00:00:00"/>
    <s v="10563349"/>
    <s v="10"/>
    <x v="25"/>
    <x v="25"/>
    <x v="5"/>
    <s v="UN"/>
    <s v="1102"/>
    <s v="ND"/>
    <s v="ND"/>
    <m/>
    <m/>
    <m/>
    <m/>
    <m/>
    <m/>
    <m/>
    <m/>
    <m/>
    <s v="ELECINTER"/>
    <s v="RPAUCAR"/>
    <s v="180"/>
    <s v="MRP-HUACHO"/>
    <s v="TRAN"/>
    <n v="0"/>
    <s v="N"/>
    <s v="I02"/>
    <s v="ZEX2"/>
    <m/>
    <s v="0"/>
    <m/>
    <n v="46109"/>
    <n v="46109"/>
    <n v="46110"/>
    <n v="0"/>
    <n v="550.19000000000005"/>
    <s v="PEN"/>
    <n v="550.19000000000005"/>
    <s v="2003576-121-OI-01-INSTALC.PACWHE3128"/>
    <n v="4210008"/>
    <s v="ASESEXTER"/>
    <s v="1056334910"/>
    <n v="-9"/>
    <s v="ATRASADO"/>
    <s v="BLAPA"/>
  </r>
  <r>
    <d v="2026-03-30T00:00:00"/>
    <s v="10563435"/>
    <s v="10"/>
    <x v="26"/>
    <x v="26"/>
    <x v="8"/>
    <s v="UN"/>
    <s v="1101"/>
    <s v="ND"/>
    <s v="ND"/>
    <m/>
    <m/>
    <m/>
    <m/>
    <m/>
    <m/>
    <m/>
    <m/>
    <m/>
    <s v="ELECINTER"/>
    <s v="SCP_FIORI"/>
    <s v="180"/>
    <s v="MRP-T.MORA"/>
    <s v="TRAN"/>
    <n v="0"/>
    <s v="N"/>
    <s v="I01"/>
    <s v="ZEX2"/>
    <m/>
    <s v="0"/>
    <m/>
    <n v="46111"/>
    <n v="46113"/>
    <n v="46112"/>
    <n v="0"/>
    <n v="262.60000000000002"/>
    <s v="PEN"/>
    <n v="787.8"/>
    <s v="2001051-12-PMBOMBASANGUAZAVERTICAL1"/>
    <n v="4208848"/>
    <m/>
    <s v="1056343510"/>
    <n v="-7"/>
    <s v="ATRASADO"/>
    <s v="BLAPA"/>
  </r>
  <r>
    <d v="2026-04-09T00:00:00"/>
    <s v="10564769"/>
    <s v="1000"/>
    <x v="27"/>
    <x v="27"/>
    <x v="4"/>
    <s v="UN"/>
    <s v="1101"/>
    <s v="ND"/>
    <s v="ND"/>
    <d v="2026-02-18T00:00:00"/>
    <s v="108561     SONEPAR PERU SAC"/>
    <n v="14.75"/>
    <s v="USD"/>
    <n v="1"/>
    <s v="UN"/>
    <n v="1207"/>
    <n v="2"/>
    <n v="4500891475"/>
    <s v="ELECINTER"/>
    <s v="MRP-T.MORA"/>
    <s v="185"/>
    <s v="MRP-T.MORA"/>
    <s v="TRAN"/>
    <n v="0"/>
    <s v="N"/>
    <s v="I01"/>
    <s v="ZEX1"/>
    <m/>
    <s v="0"/>
    <m/>
    <n v="46121"/>
    <n v="46121"/>
    <n v="46150"/>
    <n v="29"/>
    <n v="45.9"/>
    <s v="PEN"/>
    <n v="91.8"/>
    <m/>
    <m/>
    <m/>
    <s v="105647691000"/>
    <n v="3"/>
    <s v="A TIEMPO"/>
    <s v="BLAPA"/>
  </r>
  <r>
    <d v="2026-03-25T00:00:00"/>
    <s v="10562920"/>
    <s v="20"/>
    <x v="28"/>
    <x v="28"/>
    <x v="17"/>
    <s v="UN"/>
    <s v="1606"/>
    <s v="ND"/>
    <s v="ND"/>
    <d v="2025-12-10T00:00:00"/>
    <s v="111987     CORPORACION RIM SAC"/>
    <n v="4.3"/>
    <s v="USD"/>
    <n v="1"/>
    <s v="UN"/>
    <n v="1606"/>
    <n v="200"/>
    <n v="4500879491"/>
    <s v="ELECRESIS"/>
    <s v="OMARTINEZ"/>
    <s v="198"/>
    <s v="MRP-PAITA CH"/>
    <s v="TRAN"/>
    <n v="0"/>
    <s v="N"/>
    <s v="D06"/>
    <s v="ZEX2"/>
    <m/>
    <s v="0"/>
    <m/>
    <n v="46106"/>
    <n v="46106"/>
    <n v="46107"/>
    <n v="0"/>
    <n v="14.47"/>
    <s v="PEN"/>
    <n v="2894"/>
    <s v="2015193-2-CAMBRESISTBANDEJ/DRENAJEEVAPORADN°2"/>
    <n v="6200000130"/>
    <m/>
    <s v="1056292020"/>
    <n v="-12"/>
    <s v="ATRASADO"/>
    <s v="BLAPA"/>
  </r>
  <r>
    <d v="2026-04-06T00:00:00"/>
    <s v="10564216"/>
    <s v="10"/>
    <x v="29"/>
    <x v="29"/>
    <x v="9"/>
    <s v="UN"/>
    <s v="1102"/>
    <s v="ND"/>
    <s v="ND"/>
    <m/>
    <m/>
    <m/>
    <m/>
    <m/>
    <m/>
    <m/>
    <m/>
    <m/>
    <s v="ELECTERMI"/>
    <s v="SCP_FIORI"/>
    <s v="180"/>
    <s v="MRP-HUACHO"/>
    <s v="TRAN"/>
    <n v="0"/>
    <s v="N"/>
    <s v="I02"/>
    <s v="ZEX2"/>
    <m/>
    <s v="0"/>
    <m/>
    <n v="46118"/>
    <n v="46120"/>
    <n v="46119"/>
    <n v="0"/>
    <n v="7.42"/>
    <s v="PEN"/>
    <n v="44.52"/>
    <s v="2016152-1-M4:FALSOCONTACT.TERMIN.SUP.FASERyS"/>
    <n v="4214215"/>
    <m/>
    <s v="1056421610"/>
    <n v="0"/>
    <s v="A TIEMPO"/>
    <s v="BLAPA"/>
  </r>
  <r>
    <d v="2026-04-06T00:00:00"/>
    <s v="10564217"/>
    <s v="10"/>
    <x v="29"/>
    <x v="29"/>
    <x v="9"/>
    <s v="UN"/>
    <s v="1102"/>
    <s v="ND"/>
    <s v="ND"/>
    <m/>
    <m/>
    <m/>
    <m/>
    <m/>
    <m/>
    <m/>
    <m/>
    <m/>
    <s v="ELECTERMI"/>
    <s v="SCP_FIORI"/>
    <s v="180"/>
    <s v="MRP-HUACHO"/>
    <s v="TRAN"/>
    <n v="0"/>
    <s v="N"/>
    <s v="I02"/>
    <s v="ZEX2"/>
    <m/>
    <s v="0"/>
    <m/>
    <n v="46118"/>
    <n v="46118"/>
    <n v="46119"/>
    <n v="0"/>
    <n v="7.42"/>
    <s v="PEN"/>
    <n v="44.52"/>
    <s v="2016165-1-M4:FALSOCONTACT.TERMINALSUP.FASESTA"/>
    <n v="4214224"/>
    <m/>
    <s v="1056421710"/>
    <n v="0"/>
    <s v="A TIEMPO"/>
    <s v="BLAPA"/>
  </r>
  <r>
    <d v="2026-04-08T00:00:00"/>
    <s v="10564574"/>
    <s v="1000"/>
    <x v="30"/>
    <x v="30"/>
    <x v="17"/>
    <s v="UN"/>
    <s v="1207"/>
    <s v="ND"/>
    <s v="ND"/>
    <d v="2026-03-20T00:00:00"/>
    <s v="108561     SONEPAR PERU SAC"/>
    <n v="0.06"/>
    <s v="USD"/>
    <n v="1"/>
    <s v="UN"/>
    <n v="1102"/>
    <n v="12"/>
    <n v="4500896781"/>
    <s v="ELECTERMI"/>
    <s v="MRP-ALM.CENT"/>
    <s v="185"/>
    <s v="MRP-ALM.CENT"/>
    <s v="0050"/>
    <n v="0"/>
    <s v="N"/>
    <s v="I07"/>
    <s v="ZEX1"/>
    <m/>
    <s v="0"/>
    <m/>
    <n v="46120"/>
    <n v="46120"/>
    <n v="46149"/>
    <n v="29"/>
    <n v="0.16"/>
    <s v="PEN"/>
    <n v="32"/>
    <m/>
    <m/>
    <m/>
    <s v="105645741000"/>
    <n v="2"/>
    <s v="A TIEMPO"/>
    <s v="BLAPA"/>
  </r>
  <r>
    <d v="2026-04-01T00:00:00"/>
    <s v="10563812"/>
    <s v="10"/>
    <x v="31"/>
    <x v="31"/>
    <x v="15"/>
    <s v="UN"/>
    <s v="1102"/>
    <s v="ND"/>
    <s v="ND"/>
    <d v="2025-12-10T00:00:00"/>
    <s v="108561     SONEPAR PERU SAC"/>
    <n v="47.07"/>
    <s v="USD"/>
    <n v="1"/>
    <s v="UN"/>
    <n v="1102"/>
    <n v="1"/>
    <n v="4500879485"/>
    <s v="ELECTOMAC"/>
    <s v="RPAUCAR"/>
    <s v="180"/>
    <s v="MRP-HUACHO"/>
    <s v="TRAN"/>
    <n v="0"/>
    <s v="N"/>
    <s v="I02"/>
    <s v="ZEX2"/>
    <m/>
    <s v="0"/>
    <m/>
    <n v="46113"/>
    <n v="46113"/>
    <n v="46114"/>
    <n v="0"/>
    <n v="158.34"/>
    <s v="PEN"/>
    <n v="791.7"/>
    <s v="2003576-137-OI-01-INSTALC.PACWHE3128"/>
    <n v="4210008"/>
    <s v="ASESEXTER"/>
    <s v="1056381210"/>
    <n v="-5"/>
    <s v="ATRASADO"/>
    <s v="BLAPA"/>
  </r>
  <r>
    <d v="2026-04-09T00:00:00"/>
    <s v="10564724"/>
    <s v="10"/>
    <x v="32"/>
    <x v="32"/>
    <x v="5"/>
    <s v="UN"/>
    <s v="1207"/>
    <s v="ND"/>
    <s v="ND"/>
    <d v="2025-10-21T00:00:00"/>
    <s v="103474     GLOBALTEC SAC"/>
    <n v="2099.59"/>
    <s v="USD"/>
    <n v="100"/>
    <s v="UN"/>
    <n v="1208"/>
    <n v="4"/>
    <n v="4500870027"/>
    <s v="ELECTOMAC"/>
    <s v="JEQUISPE"/>
    <s v="180"/>
    <s v="MRP-ALM.CENT"/>
    <s v="0050"/>
    <n v="0"/>
    <s v="N"/>
    <s v="Z02"/>
    <s v="ZEX2"/>
    <m/>
    <s v="0"/>
    <m/>
    <n v="46121"/>
    <n v="46121"/>
    <n v="46122"/>
    <n v="0"/>
    <n v="78.650000000000006"/>
    <s v="PEN"/>
    <n v="78.650000000000006"/>
    <s v="2006671-41-Cambiocomponenteseléctricos"/>
    <n v="4211058"/>
    <m/>
    <s v="1056472410"/>
    <n v="3"/>
    <s v="A TIEMPO"/>
    <s v="BLAPA"/>
  </r>
  <r>
    <d v="2026-04-08T00:00:00"/>
    <s v="10564693"/>
    <s v="10"/>
    <x v="33"/>
    <x v="33"/>
    <x v="5"/>
    <s v="UN"/>
    <s v="1207"/>
    <s v="ND"/>
    <s v="ND"/>
    <m/>
    <m/>
    <m/>
    <m/>
    <m/>
    <m/>
    <m/>
    <m/>
    <m/>
    <s v="ELECTRANS"/>
    <s v="RCONCO"/>
    <s v="193"/>
    <s v="MRP-ALM.CENT"/>
    <s v="0050"/>
    <n v="0"/>
    <s v="N"/>
    <s v="Z01"/>
    <s v="ZEX2"/>
    <m/>
    <s v="0"/>
    <m/>
    <n v="46120"/>
    <n v="46120"/>
    <n v="46121"/>
    <n v="0"/>
    <n v="1890.9"/>
    <s v="PEN"/>
    <n v="1890.9"/>
    <s v="2017849-3-MAGLA-PMCONSUMIBLESMOTORPRINCIPAL"/>
    <n v="4214699"/>
    <m/>
    <s v="1056469310"/>
    <n v="2"/>
    <s v="A TIEMPO"/>
    <s v="BLAPA"/>
  </r>
  <r>
    <d v="2026-03-23T00:00:00"/>
    <s v="10562518"/>
    <s v="310"/>
    <x v="34"/>
    <x v="34"/>
    <x v="9"/>
    <s v="UN"/>
    <s v="1207"/>
    <s v="ND"/>
    <s v="ND"/>
    <m/>
    <m/>
    <m/>
    <m/>
    <m/>
    <m/>
    <m/>
    <m/>
    <m/>
    <s v="EPPSCABEZ"/>
    <s v="LTRUJILLO"/>
    <s v="216"/>
    <s v="MRP-ALM.CENT"/>
    <s v="0050"/>
    <n v="0"/>
    <s v="N"/>
    <s v="Z01"/>
    <s v="ZEX2"/>
    <m/>
    <s v="0"/>
    <m/>
    <n v="46104"/>
    <n v="46104"/>
    <n v="46105"/>
    <n v="0"/>
    <n v="49.15"/>
    <s v="PEN"/>
    <n v="294.89999999999998"/>
    <s v="2015993-31-PRD.-SSO&amp;PFLOTA-Com"/>
    <n v="2015993"/>
    <m/>
    <s v="10562518310"/>
    <n v="-14"/>
    <s v="ATRASADO"/>
    <s v="BLAPA"/>
  </r>
  <r>
    <d v="2026-04-09T00:00:00"/>
    <s v="10564779"/>
    <s v="1000"/>
    <x v="35"/>
    <x v="35"/>
    <x v="12"/>
    <s v="PAA"/>
    <s v="1207"/>
    <s v="ND"/>
    <s v="ND"/>
    <d v="2026-02-06T00:00:00"/>
    <s v="107672     SEKUR PERU SA"/>
    <n v="37.9"/>
    <s v="USD"/>
    <n v="1"/>
    <s v="PAA"/>
    <n v="1601"/>
    <n v="9"/>
    <n v="4500889705"/>
    <s v="EPPSOIDOS"/>
    <s v="MRP-ALM.CENT"/>
    <s v="185"/>
    <s v="MRP-ALM.CENT"/>
    <s v="0050"/>
    <n v="0"/>
    <s v="N"/>
    <s v="I07"/>
    <s v="ZEX1"/>
    <m/>
    <s v="0"/>
    <m/>
    <n v="46121"/>
    <n v="46121"/>
    <n v="46150"/>
    <n v="29"/>
    <n v="137.93"/>
    <s v="PEN"/>
    <n v="1103.44"/>
    <m/>
    <m/>
    <m/>
    <s v="105647791000"/>
    <n v="3"/>
    <s v="A TIEMPO"/>
    <s v="BLAPA"/>
  </r>
  <r>
    <d v="2026-04-08T00:00:00"/>
    <s v="10564585"/>
    <s v="10"/>
    <x v="36"/>
    <x v="36"/>
    <x v="5"/>
    <s v="UN"/>
    <s v="1208"/>
    <s v="ND"/>
    <s v="ND"/>
    <d v="2026-04-07T00:00:00"/>
    <s v="134139     SOLTRAK SA"/>
    <n v="5.51"/>
    <s v="USD"/>
    <n v="1"/>
    <s v="UN"/>
    <n v="1208"/>
    <n v="1"/>
    <n v="4500899179"/>
    <s v="EPPSOJOS"/>
    <s v="JLIZARRAGA"/>
    <s v="180"/>
    <s v="MRP-C.DIST C"/>
    <s v="TRAN"/>
    <n v="0"/>
    <s v="N"/>
    <s v="I08"/>
    <s v="ZEX2"/>
    <m/>
    <s v="0"/>
    <m/>
    <n v="46120"/>
    <n v="46120"/>
    <n v="46121"/>
    <n v="29"/>
    <n v="19.579999999999998"/>
    <s v="PEN"/>
    <n v="19.579999999999998"/>
    <s v="2018737-1-PRD.-CHBT-SSO&amp;P"/>
    <n v="2018737"/>
    <m/>
    <s v="1056458510"/>
    <n v="2"/>
    <s v="A TIEMPO"/>
    <s v="BLAPA"/>
  </r>
  <r>
    <d v="2026-04-08T00:00:00"/>
    <s v="10564601"/>
    <s v="10"/>
    <x v="37"/>
    <x v="37"/>
    <x v="5"/>
    <s v="UN"/>
    <s v="1207"/>
    <s v="ND"/>
    <s v="ND"/>
    <d v="2026-04-06T00:00:00"/>
    <s v="134139     SOLTRAK SA"/>
    <n v="2.5"/>
    <s v="USD"/>
    <n v="1"/>
    <s v="UN"/>
    <n v="1207"/>
    <n v="1"/>
    <n v="4500898902"/>
    <s v="EPPSOJOS"/>
    <s v="RTEJADA"/>
    <s v="180"/>
    <s v="MRP-ALM.CENT"/>
    <s v="0050"/>
    <n v="0"/>
    <s v="N"/>
    <s v="Z02"/>
    <s v="ZEX2"/>
    <m/>
    <s v="0"/>
    <m/>
    <n v="46120"/>
    <n v="46120"/>
    <n v="46121"/>
    <n v="29"/>
    <n v="8.9700000000000006"/>
    <s v="PEN"/>
    <n v="8.9700000000000006"/>
    <s v="2018840-2-PRD.-CALL-SSO&amp;P"/>
    <n v="2018840"/>
    <m/>
    <s v="1056460110"/>
    <n v="2"/>
    <s v="A TIEMPO"/>
    <s v="BLAPA"/>
  </r>
  <r>
    <d v="2026-04-06T00:00:00"/>
    <s v="10564202"/>
    <s v="80"/>
    <x v="38"/>
    <x v="38"/>
    <x v="18"/>
    <s v="PAA"/>
    <s v="1207"/>
    <s v="ND"/>
    <s v="ND"/>
    <d v="2026-04-06T00:00:00"/>
    <s v="106699     PROSAC SA"/>
    <n v="94.2"/>
    <s v="PEN"/>
    <n v="1"/>
    <s v="PAA"/>
    <n v="1207"/>
    <n v="15"/>
    <n v="4500898927"/>
    <s v="EPPSPIES"/>
    <s v="RANTEPARRA"/>
    <s v="180"/>
    <s v="FTORRES"/>
    <s v="0050"/>
    <n v="15"/>
    <s v="B"/>
    <s v="I07"/>
    <s v="ZEX3"/>
    <s v="4500898927"/>
    <s v="60"/>
    <n v="46118"/>
    <n v="46118"/>
    <n v="46119"/>
    <n v="46147"/>
    <n v="29"/>
    <n v="94.43"/>
    <s v="PEN"/>
    <n v="2832.9"/>
    <m/>
    <m/>
    <m/>
    <s v="1056420280"/>
    <n v="0"/>
    <s v="A TIEMPO"/>
    <s v="BLAPA"/>
  </r>
  <r>
    <d v="2026-04-07T00:00:00"/>
    <s v="10564525"/>
    <s v="10"/>
    <x v="39"/>
    <x v="39"/>
    <x v="5"/>
    <s v="PAA"/>
    <s v="1102"/>
    <s v="ND"/>
    <s v="ND"/>
    <d v="2026-04-06T00:00:00"/>
    <s v="125853     INDUSTRIAS MANRIQUE SAC"/>
    <n v="195"/>
    <s v="PEN"/>
    <n v="1"/>
    <s v="PAA"/>
    <n v="1207"/>
    <n v="1"/>
    <n v="4500898933"/>
    <s v="EPPSPIES"/>
    <s v="HRIVERA"/>
    <s v="216"/>
    <s v="MRP-HUACHO"/>
    <s v="TRAN"/>
    <n v="0"/>
    <s v="N"/>
    <s v="I02"/>
    <s v="ZEX2"/>
    <m/>
    <s v="0"/>
    <m/>
    <n v="46119"/>
    <n v="46119"/>
    <n v="46119"/>
    <n v="0"/>
    <n v="195"/>
    <s v="PEN"/>
    <n v="195"/>
    <s v="2014775-8-PRD.-HCH-SSO&amp;P"/>
    <n v="2014775"/>
    <m/>
    <s v="1056452510"/>
    <n v="1"/>
    <s v="A TIEMPO"/>
    <s v="BLAPA"/>
  </r>
  <r>
    <d v="2026-04-08T00:00:00"/>
    <s v="10564655"/>
    <s v="10"/>
    <x v="40"/>
    <x v="40"/>
    <x v="5"/>
    <s v="PAA"/>
    <s v="1207"/>
    <s v="ND"/>
    <s v="ND"/>
    <d v="2026-04-07T00:00:00"/>
    <s v="125853     INDUSTRIAS MANRIQUE SAC"/>
    <n v="110.9"/>
    <s v="PEN"/>
    <n v="1"/>
    <s v="PAA"/>
    <n v="1208"/>
    <n v="40"/>
    <n v="4500899181"/>
    <s v="EPPSPIES"/>
    <s v="LTRUJILLO"/>
    <s v="180"/>
    <s v="MRP-ALM.CENT"/>
    <s v="0050"/>
    <n v="0"/>
    <s v="N"/>
    <s v="Z01"/>
    <s v="ZEX2"/>
    <m/>
    <s v="0"/>
    <m/>
    <n v="46120"/>
    <n v="46120"/>
    <n v="46150"/>
    <n v="29"/>
    <n v="110.9"/>
    <s v="PEN"/>
    <n v="110.9"/>
    <s v="2018927-4-PRD.-SSO&amp;PFLOTA-Com"/>
    <n v="2018927"/>
    <m/>
    <s v="1056465510"/>
    <n v="2"/>
    <s v="A TIEMPO"/>
    <s v="BLAPA"/>
  </r>
  <r>
    <d v="2026-03-19T00:00:00"/>
    <s v="10562206"/>
    <s v="10"/>
    <x v="41"/>
    <x v="41"/>
    <x v="8"/>
    <s v="UN"/>
    <s v="1101"/>
    <n v="42.18"/>
    <n v="107912"/>
    <d v="2025-12-30T00:00:00"/>
    <s v="107912     CORPORACION LA SIRENA SAC"/>
    <n v="16.5"/>
    <s v="PEN"/>
    <n v="1"/>
    <s v="UN"/>
    <n v="1101"/>
    <n v="1"/>
    <n v="4500883688"/>
    <s v="FERRPEGAM"/>
    <s v="COLAZABAL"/>
    <s v="180"/>
    <s v="MRP-T.MORA"/>
    <s v="TRAN"/>
    <n v="0"/>
    <s v="N"/>
    <s v="I01"/>
    <s v="ZEX2"/>
    <m/>
    <s v="0"/>
    <m/>
    <n v="46100"/>
    <n v="46113"/>
    <n v="46101"/>
    <n v="0"/>
    <n v="16.5"/>
    <s v="PEN"/>
    <n v="49.5"/>
    <s v="2002424-4-REPUESTOSVARIOS-MTTOADM"/>
    <n v="4209556"/>
    <m/>
    <s v="1056220610"/>
    <n v="-18"/>
    <s v="ATRASADO"/>
    <s v="BLAPA"/>
  </r>
  <r>
    <d v="2026-03-23T00:00:00"/>
    <s v="10562382"/>
    <s v="50"/>
    <x v="42"/>
    <x v="42"/>
    <x v="10"/>
    <s v="UN"/>
    <s v="1101"/>
    <n v="5"/>
    <n v="107912"/>
    <d v="2026-03-10T00:00:00"/>
    <s v="107912     CORPORACION LA SIRENA SAC"/>
    <n v="5"/>
    <s v="PEN"/>
    <n v="1"/>
    <s v="UN"/>
    <n v="1103"/>
    <n v="40"/>
    <n v="4500894974"/>
    <s v="SUJEABRAZ"/>
    <s v="LBELLODAS"/>
    <s v="180"/>
    <s v="MRP-T.MORA"/>
    <s v="TRAN"/>
    <n v="0"/>
    <s v="N"/>
    <s v="I01"/>
    <s v="ZEX2"/>
    <m/>
    <s v="0"/>
    <m/>
    <n v="46104"/>
    <n v="46104"/>
    <n v="46105"/>
    <n v="0"/>
    <n v="5.5"/>
    <s v="PEN"/>
    <n v="66"/>
    <s v="2009002-14-COMPRADEBOMBA30M3PARAESPUMA"/>
    <n v="4211936"/>
    <m/>
    <s v="1056238250"/>
    <n v="-14"/>
    <s v="ATRASADO"/>
    <s v="BLAPA"/>
  </r>
  <r>
    <d v="2026-04-06T00:00:00"/>
    <s v="10564289"/>
    <s v="10"/>
    <x v="43"/>
    <x v="43"/>
    <x v="4"/>
    <s v="UN"/>
    <s v="1208"/>
    <n v="43.91"/>
    <n v="107912"/>
    <d v="2025-11-11T00:00:00"/>
    <s v="107912     CORPORACION LA SIRENA SAC"/>
    <n v="45.05"/>
    <s v="PEN"/>
    <n v="1"/>
    <s v="UN"/>
    <n v="1207"/>
    <n v="3"/>
    <n v="4500873493"/>
    <s v="FERRGRASE"/>
    <s v="ASAGASTEGUI1"/>
    <s v="193"/>
    <s v="MRP-C.DIST C"/>
    <s v="TRAN"/>
    <n v="0"/>
    <s v="N"/>
    <s v="I08"/>
    <s v="ZEX2"/>
    <m/>
    <s v="0"/>
    <m/>
    <n v="46118"/>
    <n v="46118"/>
    <n v="46119"/>
    <n v="0"/>
    <n v="44"/>
    <s v="PEN"/>
    <n v="88"/>
    <s v="2006742-65-MODIFIC.SALIDAEFLTRAMPAGRASA"/>
    <n v="4211076"/>
    <s v="ASESEXTER"/>
    <s v="1056428910"/>
    <n v="0"/>
    <s v="A TIEMPO"/>
    <s v="BLAPA"/>
  </r>
  <r>
    <d v="2026-04-08T00:00:00"/>
    <s v="10564671"/>
    <s v="10"/>
    <x v="44"/>
    <x v="44"/>
    <x v="5"/>
    <s v="UN"/>
    <s v="1207"/>
    <s v="ND"/>
    <s v="ND"/>
    <d v="2026-01-02T00:00:00"/>
    <s v="118364     MASTERLUB SAC"/>
    <n v="1799.2"/>
    <s v="USD"/>
    <n v="1"/>
    <s v="UN"/>
    <n v="1208"/>
    <n v="1"/>
    <n v="4500884265"/>
    <s v="FERRGRASE"/>
    <s v="RCONCO"/>
    <s v="180"/>
    <s v="MRP-ALM.CENT"/>
    <s v="0050"/>
    <n v="0"/>
    <s v="N"/>
    <s v="Z01"/>
    <s v="ZEX2"/>
    <m/>
    <s v="0"/>
    <m/>
    <n v="46120"/>
    <n v="46120"/>
    <n v="46121"/>
    <n v="0"/>
    <n v="4798.72"/>
    <s v="PEN"/>
    <n v="4798.72"/>
    <s v="2018412-1-CRETA-CAMBIOENGRASADORANEUMATICA"/>
    <n v="4214814"/>
    <m/>
    <s v="1056467110"/>
    <n v="2"/>
    <s v="A TIEMPO"/>
    <s v="BLAPA"/>
  </r>
  <r>
    <d v="2026-03-23T00:00:00"/>
    <s v="10562433"/>
    <s v="80"/>
    <x v="42"/>
    <x v="42"/>
    <x v="10"/>
    <s v="UN"/>
    <s v="1101"/>
    <n v="5"/>
    <n v="107912"/>
    <d v="2026-03-10T00:00:00"/>
    <s v="107912     CORPORACION LA SIRENA SAC"/>
    <n v="5"/>
    <s v="PEN"/>
    <n v="1"/>
    <s v="UN"/>
    <n v="1103"/>
    <n v="40"/>
    <n v="4500894974"/>
    <s v="SUJEABRAZ"/>
    <s v="LBELLODAS"/>
    <s v="180"/>
    <s v="MRP-T.MORA"/>
    <s v="TRAN"/>
    <n v="0"/>
    <s v="N"/>
    <s v="I01"/>
    <s v="ZEX2"/>
    <m/>
    <s v="0"/>
    <m/>
    <n v="46104"/>
    <n v="46104"/>
    <n v="46105"/>
    <n v="0"/>
    <n v="5.5"/>
    <s v="PEN"/>
    <n v="66"/>
    <s v="2009003-20-COMPRABOMBALICORDEESPUMA"/>
    <n v="4211937"/>
    <m/>
    <s v="1056243380"/>
    <n v="-14"/>
    <s v="ATRASADO"/>
    <s v="BLAPA"/>
  </r>
  <r>
    <d v="2026-04-01T00:00:00"/>
    <s v="10563825"/>
    <s v="20"/>
    <x v="45"/>
    <x v="45"/>
    <x v="16"/>
    <s v="UN"/>
    <s v="1101"/>
    <n v="4.62"/>
    <n v="107912"/>
    <d v="2026-03-13T00:00:00"/>
    <s v="107912     CORPORACION LA SIRENA SAC"/>
    <n v="4.62"/>
    <s v="PEN"/>
    <n v="1"/>
    <s v="UN"/>
    <n v="1101"/>
    <n v="12"/>
    <n v="4500895845"/>
    <s v="SUJEABRAZ"/>
    <s v="SCP_FIORI"/>
    <s v="180"/>
    <s v="MRP-T.MORA"/>
    <s v="TRAN"/>
    <n v="0"/>
    <s v="N"/>
    <s v="I01"/>
    <s v="ZEX2"/>
    <m/>
    <s v="0"/>
    <m/>
    <n v="46113"/>
    <n v="46113"/>
    <n v="46114"/>
    <n v="0"/>
    <n v="4.8600000000000003"/>
    <s v="PEN"/>
    <n v="87.48"/>
    <s v="2000947-30-CAMBIARTUBERIAROTAS-PAMITA"/>
    <n v="4208778"/>
    <m/>
    <s v="1056382520"/>
    <n v="-5"/>
    <s v="ATRASADO"/>
    <s v="BLAPA"/>
  </r>
  <r>
    <d v="2026-03-14T00:00:00"/>
    <s v="10561647"/>
    <s v="10"/>
    <x v="46"/>
    <x v="46"/>
    <x v="4"/>
    <s v="UN"/>
    <s v="1606"/>
    <m/>
    <m/>
    <m/>
    <m/>
    <m/>
    <m/>
    <m/>
    <m/>
    <m/>
    <m/>
    <m/>
    <s v="FERRPEGAM"/>
    <s v="RSILVA"/>
    <s v="198"/>
    <s v="MRP-PAITA CH"/>
    <s v="TRAN"/>
    <n v="0"/>
    <s v="N"/>
    <s v="D06"/>
    <s v="ZEX2"/>
    <m/>
    <s v="0"/>
    <m/>
    <n v="46095"/>
    <n v="46095"/>
    <n v="46096"/>
    <n v="29"/>
    <n v="48.5"/>
    <s v="PEN"/>
    <n v="97"/>
    <s v="2014727-19-MTTODELINEADEAGUA-PLTACONGELADO"/>
    <n v="6200000129"/>
    <m/>
    <s v="1056164710"/>
    <n v="-23"/>
    <s v="ATRASADO"/>
    <s v="BLAPA"/>
  </r>
  <r>
    <d v="2026-04-09T00:00:00"/>
    <s v="10564764"/>
    <s v="1000"/>
    <x v="47"/>
    <x v="47"/>
    <x v="19"/>
    <s v="UN"/>
    <s v="1101"/>
    <n v="2.93"/>
    <n v="107912"/>
    <m/>
    <m/>
    <m/>
    <m/>
    <m/>
    <m/>
    <m/>
    <m/>
    <m/>
    <s v="SUJEABRAZ"/>
    <s v="MRP-T.MORA"/>
    <s v="185"/>
    <s v="MRP-T.MORA"/>
    <s v="TRAN"/>
    <n v="0"/>
    <s v="N"/>
    <s v="I01"/>
    <s v="ZEX1"/>
    <m/>
    <s v="0"/>
    <m/>
    <n v="46121"/>
    <n v="46121"/>
    <n v="46150"/>
    <n v="29"/>
    <n v="4.78"/>
    <s v="PEN"/>
    <n v="191.2"/>
    <m/>
    <m/>
    <m/>
    <s v="105647641000"/>
    <n v="3"/>
    <s v="A TIEMPO"/>
    <s v="BLAPA"/>
  </r>
  <r>
    <d v="2026-04-08T00:00:00"/>
    <s v="10564575"/>
    <s v="1000"/>
    <x v="48"/>
    <x v="48"/>
    <x v="8"/>
    <s v="UN"/>
    <s v="1207"/>
    <n v="16.38"/>
    <n v="107912"/>
    <d v="2026-03-18T00:00:00"/>
    <s v="107912     CORPORACION LA SIRENA SAC"/>
    <n v="16.38"/>
    <s v="PEN"/>
    <n v="1"/>
    <s v="UN"/>
    <n v="1207"/>
    <n v="3"/>
    <n v="4500896414"/>
    <s v="FERRETERO"/>
    <s v="MRP-ALM.CENT"/>
    <s v="185"/>
    <s v="MRP-ALM.CENT"/>
    <s v="0050"/>
    <n v="0"/>
    <s v="N"/>
    <s v="I07"/>
    <s v="ZEX1"/>
    <m/>
    <s v="0"/>
    <m/>
    <n v="46120"/>
    <n v="46120"/>
    <n v="46149"/>
    <n v="29"/>
    <n v="16.38"/>
    <s v="PEN"/>
    <n v="49.14"/>
    <m/>
    <m/>
    <m/>
    <s v="105645751000"/>
    <n v="2"/>
    <s v="A TIEMPO"/>
    <s v="BLAPA"/>
  </r>
  <r>
    <d v="2026-04-02T00:00:00"/>
    <s v="10563990"/>
    <s v="10"/>
    <x v="49"/>
    <x v="49"/>
    <x v="8"/>
    <s v="UN"/>
    <s v="1103"/>
    <m/>
    <m/>
    <d v="2025-11-19T00:00:00"/>
    <s v="150171     COMERCIO PERU FENIX EIRL"/>
    <n v="68.319999999999993"/>
    <s v="PEN"/>
    <n v="1"/>
    <s v="UN"/>
    <n v="1208"/>
    <n v="1"/>
    <n v="4500875108"/>
    <s v="FERRPEGAM"/>
    <s v="SCP_FIORI"/>
    <s v="180"/>
    <s v="MRP-CHICAMA"/>
    <s v="TRAN"/>
    <n v="0"/>
    <s v="N"/>
    <s v="I03"/>
    <s v="ZEX2"/>
    <m/>
    <s v="0"/>
    <m/>
    <n v="46114"/>
    <n v="46114"/>
    <n v="46115"/>
    <n v="0"/>
    <n v="96.83"/>
    <s v="PEN"/>
    <n v="290.49"/>
    <s v="2017769-5-CERRARTAPAABLANDADOR#2"/>
    <n v="4214660"/>
    <m/>
    <s v="1056399010"/>
    <n v="-4"/>
    <s v="ATRASADO"/>
    <s v="BLAPA"/>
  </r>
  <r>
    <d v="2026-04-05T00:00:00"/>
    <s v="10564112"/>
    <s v="1000"/>
    <x v="50"/>
    <x v="50"/>
    <x v="5"/>
    <s v="UN"/>
    <s v="1207"/>
    <s v="ND"/>
    <s v="ND"/>
    <d v="2026-03-20T00:00:00"/>
    <s v="201206     CRUISING GEAR INTERNATIONAL CORP"/>
    <n v="327.25"/>
    <s v="USD"/>
    <n v="1"/>
    <s v="UN"/>
    <n v="1208"/>
    <n v="2"/>
    <n v="4500896757"/>
    <s v="FERRPEGAM"/>
    <s v="MRP-ALM.CENT"/>
    <s v="180"/>
    <s v="MRP-ALM.CENT"/>
    <s v="0050"/>
    <n v="0"/>
    <s v="N"/>
    <s v="I07"/>
    <s v="ZEX1"/>
    <m/>
    <s v="0"/>
    <m/>
    <n v="46121"/>
    <n v="46117"/>
    <n v="46150"/>
    <n v="29"/>
    <n v="2069.12"/>
    <s v="PEN"/>
    <n v="2069.12"/>
    <m/>
    <m/>
    <m/>
    <s v="105641121000"/>
    <n v="-1"/>
    <s v="ATRASADO"/>
    <s v="BLAPA"/>
  </r>
  <r>
    <d v="2026-04-02T00:00:00"/>
    <s v="10563963"/>
    <s v="10"/>
    <x v="51"/>
    <x v="51"/>
    <x v="10"/>
    <s v="UN"/>
    <s v="1207"/>
    <n v="1.49"/>
    <n v="107912"/>
    <m/>
    <m/>
    <m/>
    <m/>
    <m/>
    <m/>
    <m/>
    <m/>
    <m/>
    <s v="FERRGRASE"/>
    <s v="SCP_FIORI"/>
    <s v="180"/>
    <s v="MRP-ALM.CENT"/>
    <s v="0050"/>
    <n v="0"/>
    <s v="N"/>
    <s v="Z01"/>
    <s v="ZEX2"/>
    <m/>
    <s v="0"/>
    <m/>
    <n v="46114"/>
    <n v="46114"/>
    <n v="46115"/>
    <n v="0"/>
    <n v="12.9"/>
    <s v="PEN"/>
    <n v="154.80000000000001"/>
    <s v="2005350-24-ANTA3-CONSUMIBLESAUXILIARES"/>
    <n v="4210670"/>
    <m/>
    <s v="1056396310"/>
    <n v="-4"/>
    <s v="ATRASADO"/>
    <s v="BLAPA"/>
  </r>
  <r>
    <d v="2026-03-25T00:00:00"/>
    <s v="10562773"/>
    <s v="1000"/>
    <x v="52"/>
    <x v="52"/>
    <x v="20"/>
    <s v="UN"/>
    <s v="1207"/>
    <n v="1.65"/>
    <n v="107912"/>
    <d v="2026-02-17T00:00:00"/>
    <s v="152326     FERRETERIA DEL PACIFICO SAC"/>
    <n v="1.43"/>
    <s v="PEN"/>
    <n v="1"/>
    <s v="UN"/>
    <n v="1207"/>
    <n v="150"/>
    <n v="4500891079"/>
    <s v="FERRLIJAS"/>
    <s v="MRP-ALM.CENT"/>
    <s v="185"/>
    <s v="MRP-ALM.CENT"/>
    <s v="0050"/>
    <n v="0"/>
    <s v="N"/>
    <s v="I07"/>
    <s v="ZEX1"/>
    <m/>
    <s v="0"/>
    <m/>
    <n v="46119"/>
    <n v="46106"/>
    <n v="46148"/>
    <n v="29"/>
    <n v="1.43"/>
    <s v="PEN"/>
    <n v="214.5"/>
    <m/>
    <m/>
    <m/>
    <s v="105627731000"/>
    <n v="-12"/>
    <s v="ATRASADO"/>
    <s v="BLAPA"/>
  </r>
  <r>
    <d v="2026-03-25T00:00:00"/>
    <s v="10562777"/>
    <s v="1000"/>
    <x v="53"/>
    <x v="53"/>
    <x v="21"/>
    <s v="UN"/>
    <s v="1207"/>
    <m/>
    <m/>
    <d v="2026-03-10T00:00:00"/>
    <s v="152326     FERRETERIA DEL PACIFICO SAC"/>
    <n v="9.18"/>
    <s v="PEN"/>
    <n v="1"/>
    <s v="UN"/>
    <n v="1207"/>
    <n v="80"/>
    <n v="4500894976"/>
    <s v="FERRPINTA"/>
    <s v="MRP-ALM.CENT"/>
    <s v="185"/>
    <s v="MRP-ALM.CENT"/>
    <s v="0050"/>
    <n v="0"/>
    <s v="N"/>
    <s v="I07"/>
    <s v="ZEX1"/>
    <m/>
    <s v="0"/>
    <m/>
    <n v="46121"/>
    <n v="46106"/>
    <n v="46150"/>
    <n v="29"/>
    <n v="9.18"/>
    <s v="PEN"/>
    <n v="1101.5999999999999"/>
    <m/>
    <m/>
    <m/>
    <s v="105627771000"/>
    <n v="-12"/>
    <s v="ATRASADO"/>
    <s v="BLAPA"/>
  </r>
  <r>
    <d v="2026-04-02T00:00:00"/>
    <s v="10563955"/>
    <s v="1000"/>
    <x v="54"/>
    <x v="54"/>
    <x v="10"/>
    <s v="UN"/>
    <s v="1207"/>
    <n v="0.75"/>
    <n v="107912"/>
    <d v="2025-10-15T00:00:00"/>
    <s v="107912     CORPORACION LA SIRENA SAC"/>
    <n v="0.75"/>
    <s v="PEN"/>
    <n v="1"/>
    <s v="UN"/>
    <n v="1207"/>
    <n v="14"/>
    <n v="4500869271"/>
    <s v="FERRLIJAS"/>
    <s v="MRP-ALM.CENT"/>
    <s v="185"/>
    <s v="MRP-ALM.CENT"/>
    <s v="0050"/>
    <n v="0"/>
    <s v="N"/>
    <s v="I07"/>
    <s v="ZEX1"/>
    <m/>
    <s v="0"/>
    <m/>
    <n v="46114"/>
    <n v="46114"/>
    <n v="46143"/>
    <n v="29"/>
    <n v="1.21"/>
    <s v="PEN"/>
    <n v="14.52"/>
    <m/>
    <m/>
    <m/>
    <s v="105639551000"/>
    <n v="-4"/>
    <s v="ATRASADO"/>
    <s v="BLAPA"/>
  </r>
  <r>
    <d v="2026-04-08T00:00:00"/>
    <s v="10564677"/>
    <s v="10"/>
    <x v="55"/>
    <x v="55"/>
    <x v="5"/>
    <s v="UN"/>
    <s v="1208"/>
    <s v="ND"/>
    <s v="ND"/>
    <d v="2026-04-07T00:00:00"/>
    <s v="119219     UNION YCHICAWA SA"/>
    <n v="73.180000000000007"/>
    <s v="PEN"/>
    <n v="1"/>
    <s v="UN"/>
    <n v="1207"/>
    <n v="1"/>
    <n v="4500899163"/>
    <s v="HOGAOLLAS"/>
    <s v="RTOLENTINO"/>
    <s v="193"/>
    <s v="MRP-C.DIST C"/>
    <s v="TRAN"/>
    <n v="0"/>
    <s v="N"/>
    <s v="I08"/>
    <s v="ZEX2"/>
    <m/>
    <s v="0"/>
    <m/>
    <n v="46120"/>
    <n v="46120"/>
    <n v="46121"/>
    <n v="0"/>
    <n v="69.3"/>
    <s v="PEN"/>
    <n v="69.3"/>
    <s v="2016906-13-DALFRAlist.Mat.Ut.MenajeTemp.26-1"/>
    <n v="4214435"/>
    <m/>
    <s v="1056467710"/>
    <n v="2"/>
    <s v="A TIEMPO"/>
    <s v="BLAPA"/>
  </r>
  <r>
    <d v="2026-04-08T00:00:00"/>
    <s v="10564558"/>
    <s v="1000"/>
    <x v="56"/>
    <x v="56"/>
    <x v="22"/>
    <s v="UN"/>
    <s v="1207"/>
    <s v="ND"/>
    <s v="ND"/>
    <d v="2026-04-06T00:00:00"/>
    <s v="114544     COINBISER SAC"/>
    <n v="9"/>
    <s v="PEN"/>
    <n v="1"/>
    <s v="UN"/>
    <n v="1207"/>
    <n v="78"/>
    <n v="4500898903"/>
    <s v="HOGAOTROS"/>
    <s v="MRP-ALM.CENT"/>
    <s v="185"/>
    <s v="MRP-ALM.CENT"/>
    <s v="0050"/>
    <n v="0"/>
    <s v="N"/>
    <s v="I07"/>
    <s v="ZEX1"/>
    <m/>
    <s v="0"/>
    <m/>
    <n v="46121"/>
    <n v="46120"/>
    <n v="46150"/>
    <n v="29"/>
    <n v="9"/>
    <s v="PEN"/>
    <n v="558"/>
    <m/>
    <m/>
    <m/>
    <s v="105645581000"/>
    <n v="2"/>
    <s v="A TIEMPO"/>
    <s v="BLAPA"/>
  </r>
  <r>
    <d v="2026-04-08T00:00:00"/>
    <s v="10564666"/>
    <s v="10"/>
    <x v="57"/>
    <x v="57"/>
    <x v="23"/>
    <s v="UN"/>
    <s v="1207"/>
    <s v="ND"/>
    <s v="ND"/>
    <d v="2025-10-27T00:00:00"/>
    <s v="119219     UNION YCHICAWA SA"/>
    <n v="66.34"/>
    <s v="PEN"/>
    <n v="1"/>
    <s v="UN"/>
    <n v="1207"/>
    <n v="1"/>
    <n v="4500870823"/>
    <s v="HOGAOTROS"/>
    <s v="RTOLENTINO"/>
    <s v="180"/>
    <s v="FTORRES"/>
    <s v="0050"/>
    <n v="0"/>
    <s v="N"/>
    <s v="I07"/>
    <s v="ZEX3"/>
    <m/>
    <s v="0"/>
    <m/>
    <n v="46120"/>
    <n v="46120"/>
    <n v="46120"/>
    <n v="0"/>
    <n v="53.43"/>
    <s v="PEN"/>
    <n v="1068.5999999999999"/>
    <m/>
    <m/>
    <m/>
    <s v="1056466610"/>
    <n v="2"/>
    <s v="A TIEMPO"/>
    <s v="BLAPA"/>
  </r>
  <r>
    <d v="2026-04-08T00:00:00"/>
    <s v="10564677"/>
    <s v="20"/>
    <x v="58"/>
    <x v="58"/>
    <x v="5"/>
    <s v="UN"/>
    <s v="1208"/>
    <s v="ND"/>
    <s v="ND"/>
    <d v="2026-04-07T00:00:00"/>
    <s v="119219     UNION YCHICAWA SA"/>
    <n v="66.34"/>
    <s v="PEN"/>
    <n v="1"/>
    <s v="UN"/>
    <n v="1207"/>
    <n v="1"/>
    <n v="4500899163"/>
    <s v="HOGAOTROS"/>
    <s v="RTOLENTINO"/>
    <s v="180"/>
    <s v="MRP-C.DIST C"/>
    <s v="TRAN"/>
    <n v="0"/>
    <s v="N"/>
    <s v="I08"/>
    <s v="ZEX2"/>
    <m/>
    <s v="0"/>
    <m/>
    <n v="46120"/>
    <n v="46120"/>
    <n v="46121"/>
    <n v="0"/>
    <n v="60"/>
    <s v="PEN"/>
    <n v="60"/>
    <s v="2016906-15-DALFRAlist.Mat.Ut.MenajeTemp.26-1"/>
    <n v="4214435"/>
    <m/>
    <s v="1056467720"/>
    <n v="2"/>
    <s v="A TIEMPO"/>
    <s v="BLAPA"/>
  </r>
  <r>
    <d v="2026-04-08T00:00:00"/>
    <s v="10564677"/>
    <s v="30"/>
    <x v="59"/>
    <x v="59"/>
    <x v="5"/>
    <s v="UN"/>
    <s v="1208"/>
    <s v="ND"/>
    <s v="ND"/>
    <m/>
    <m/>
    <m/>
    <m/>
    <m/>
    <m/>
    <m/>
    <m/>
    <m/>
    <s v="HOGAOTROS"/>
    <s v="RTOLENTINO"/>
    <s v="180"/>
    <s v="MRP-C.DIST C"/>
    <s v="TRAN"/>
    <n v="0"/>
    <s v="N"/>
    <s v="I08"/>
    <s v="ZEX2"/>
    <m/>
    <s v="0"/>
    <m/>
    <n v="46120"/>
    <n v="46120"/>
    <n v="46121"/>
    <n v="29"/>
    <n v="20.77"/>
    <s v="PEN"/>
    <n v="20.77"/>
    <s v="2016906-16-DALFRAlist.Mat.Ut.MenajeTemp.26-1"/>
    <n v="4214435"/>
    <m/>
    <s v="1056467730"/>
    <n v="2"/>
    <s v="A TIEMPO"/>
    <s v="BLAPA"/>
  </r>
  <r>
    <d v="2026-04-08T00:00:00"/>
    <s v="10564677"/>
    <s v="40"/>
    <x v="60"/>
    <x v="60"/>
    <x v="5"/>
    <s v="UN"/>
    <s v="1208"/>
    <s v="ND"/>
    <s v="ND"/>
    <m/>
    <m/>
    <m/>
    <m/>
    <m/>
    <m/>
    <m/>
    <m/>
    <m/>
    <s v="HOGAOTROS"/>
    <s v="RTOLENTINO"/>
    <s v="193"/>
    <s v="MRP-C.DIST C"/>
    <s v="TRAN"/>
    <n v="0"/>
    <s v="N"/>
    <s v="I08"/>
    <s v="ZEX2"/>
    <m/>
    <s v="0"/>
    <m/>
    <n v="46120"/>
    <n v="46120"/>
    <n v="46121"/>
    <n v="29"/>
    <n v="16.12"/>
    <s v="PEN"/>
    <n v="16.12"/>
    <s v="2016906-17-DALFRAlist.Mat.Ut.MenajeTemp.26-1"/>
    <n v="4214435"/>
    <m/>
    <s v="1056467740"/>
    <n v="2"/>
    <s v="A TIEMPO"/>
    <s v="BLAPA"/>
  </r>
  <r>
    <d v="2026-04-08T00:00:00"/>
    <s v="10564677"/>
    <s v="50"/>
    <x v="61"/>
    <x v="61"/>
    <x v="5"/>
    <s v="UN"/>
    <s v="1208"/>
    <s v="ND"/>
    <s v="ND"/>
    <d v="2026-02-16T00:00:00"/>
    <s v="138667     OLLAS Y MENAJES SAC"/>
    <n v="11.9"/>
    <s v="PEN"/>
    <n v="1"/>
    <s v="UN"/>
    <n v="1207"/>
    <n v="3"/>
    <n v="4500890963"/>
    <s v="HOGAOTROS"/>
    <s v="RTOLENTINO"/>
    <s v="180"/>
    <s v="MRP-C.DIST C"/>
    <s v="TRAN"/>
    <n v="0"/>
    <s v="N"/>
    <s v="I08"/>
    <s v="ZEX2"/>
    <m/>
    <s v="0"/>
    <m/>
    <n v="46120"/>
    <n v="46120"/>
    <n v="46121"/>
    <n v="0"/>
    <n v="10.55"/>
    <s v="PEN"/>
    <n v="10.55"/>
    <s v="2016906-22-DALFRAlist.Mat.Ut.MenajeTemp.26-1"/>
    <n v="4214435"/>
    <m/>
    <s v="1056467750"/>
    <n v="2"/>
    <s v="A TIEMPO"/>
    <s v="BLAPA"/>
  </r>
  <r>
    <d v="2026-04-07T00:00:00"/>
    <s v="10564453"/>
    <s v="10"/>
    <x v="62"/>
    <x v="62"/>
    <x v="6"/>
    <s v="UN"/>
    <s v="1102"/>
    <s v="ND"/>
    <s v="ND"/>
    <d v="2026-04-01T00:00:00"/>
    <s v="152454     RVM CORPORACION SAC"/>
    <n v="1"/>
    <s v="USD"/>
    <n v="1"/>
    <s v="UN"/>
    <n v="1101"/>
    <n v="12"/>
    <n v="4500898632"/>
    <s v="HOGARTICU"/>
    <s v="DALEGRE"/>
    <s v="180"/>
    <s v="MRP-HUACHO"/>
    <s v="TRAN"/>
    <n v="0"/>
    <s v="N"/>
    <s v="I02"/>
    <s v="ZEX2"/>
    <m/>
    <s v="0"/>
    <m/>
    <n v="46119"/>
    <n v="46119"/>
    <n v="46120"/>
    <n v="0"/>
    <n v="2.5"/>
    <s v="PEN"/>
    <n v="25"/>
    <s v="2018541-1-PRD.-HCH-GES.AMBIEMT"/>
    <n v="2018541"/>
    <m/>
    <s v="1056445310"/>
    <n v="1"/>
    <s v="A TIEMPO"/>
    <s v="BLAPA"/>
  </r>
  <r>
    <d v="2026-04-01T00:00:00"/>
    <s v="10563903"/>
    <s v="10"/>
    <x v="63"/>
    <x v="63"/>
    <x v="6"/>
    <s v="UN"/>
    <s v="1208"/>
    <s v="ND"/>
    <s v="ND"/>
    <m/>
    <m/>
    <m/>
    <m/>
    <m/>
    <m/>
    <m/>
    <m/>
    <m/>
    <s v="ILUMFOCOS"/>
    <s v="NALVAREZ"/>
    <s v="193"/>
    <s v="MRP-C.DIST C"/>
    <s v="TRAN"/>
    <n v="0"/>
    <s v="N"/>
    <s v="I08"/>
    <s v="ZEX2"/>
    <m/>
    <s v="0"/>
    <m/>
    <n v="46113"/>
    <n v="46113"/>
    <n v="46114"/>
    <n v="0"/>
    <n v="6.75"/>
    <s v="PEN"/>
    <n v="67.5"/>
    <s v="2017324-2-DORAD-PMCONSUMIBLESSIST.ELECTRICO"/>
    <n v="4214539"/>
    <m/>
    <s v="1056390310"/>
    <n v="-5"/>
    <s v="ATRASADO"/>
    <s v="BLAPA"/>
  </r>
  <r>
    <d v="2026-03-25T00:00:00"/>
    <s v="10562902"/>
    <s v="10"/>
    <x v="64"/>
    <x v="64"/>
    <x v="24"/>
    <s v="UN"/>
    <s v="1207"/>
    <s v="ND"/>
    <s v="ND"/>
    <m/>
    <m/>
    <m/>
    <m/>
    <m/>
    <m/>
    <m/>
    <m/>
    <m/>
    <s v="ILUMLAMPA"/>
    <s v="EFIESTAS"/>
    <s v="180"/>
    <s v="MRP-ALM.CENT"/>
    <s v="0050"/>
    <n v="0"/>
    <s v="N"/>
    <s v="Z01"/>
    <s v="ZEX2"/>
    <m/>
    <s v="0"/>
    <m/>
    <n v="46106"/>
    <n v="46106"/>
    <n v="46107"/>
    <n v="0"/>
    <n v="155.47999999999999"/>
    <s v="PEN"/>
    <n v="1088.3599999999999"/>
    <s v="2008769-9-AREQ5-PM36MPRECARENACASCO#"/>
    <n v="4211794"/>
    <s v="ASESEXTER"/>
    <s v="1056290210"/>
    <n v="-12"/>
    <s v="ATRASADO"/>
    <s v="BLAPA"/>
  </r>
  <r>
    <d v="2026-03-25T00:00:00"/>
    <s v="10562926"/>
    <s v="10"/>
    <x v="64"/>
    <x v="64"/>
    <x v="9"/>
    <s v="UN"/>
    <s v="1207"/>
    <s v="ND"/>
    <s v="ND"/>
    <m/>
    <m/>
    <m/>
    <m/>
    <m/>
    <m/>
    <m/>
    <m/>
    <m/>
    <s v="ILUMLAMPA"/>
    <s v="EFIESTAS"/>
    <s v="180"/>
    <s v="MRP-ALM.CENT"/>
    <s v="0050"/>
    <n v="0"/>
    <s v="N"/>
    <s v="Z01"/>
    <s v="ZEX2"/>
    <m/>
    <s v="0"/>
    <m/>
    <n v="46106"/>
    <n v="46106"/>
    <n v="46107"/>
    <n v="0"/>
    <n v="155.47999999999999"/>
    <s v="PEN"/>
    <n v="932.88"/>
    <s v="2008769-10-AREQ5-PM36MPRECARENACASCO#"/>
    <n v="4211794"/>
    <s v="ASESEXTER"/>
    <s v="1056292610"/>
    <n v="-12"/>
    <s v="ATRASADO"/>
    <s v="BLAPA"/>
  </r>
  <r>
    <d v="2026-04-02T00:00:00"/>
    <s v="10563972"/>
    <s v="20"/>
    <x v="65"/>
    <x v="65"/>
    <x v="6"/>
    <s v="UN"/>
    <s v="1207"/>
    <s v="ND"/>
    <s v="ND"/>
    <d v="2025-11-17T00:00:00"/>
    <s v="103474     GLOBALTEC SAC"/>
    <n v="574.13"/>
    <s v="USD"/>
    <n v="100"/>
    <s v="UN"/>
    <n v="1208"/>
    <n v="8"/>
    <n v="4500874512"/>
    <s v="ILUMLAMPA"/>
    <s v="ANORIEGA"/>
    <s v="180"/>
    <s v="MRP-ALM.CENT"/>
    <s v="0050"/>
    <n v="0"/>
    <s v="N"/>
    <s v="Z01"/>
    <s v="ZEX2"/>
    <m/>
    <s v="0"/>
    <m/>
    <n v="46114"/>
    <n v="46114"/>
    <n v="46115"/>
    <n v="0"/>
    <n v="23.33"/>
    <s v="PEN"/>
    <n v="233.3"/>
    <s v="2017745-2-RODAS-CAMBIARLUMINARIA"/>
    <n v="4214639"/>
    <m/>
    <s v="1056397220"/>
    <n v="-4"/>
    <s v="ATRASADO"/>
    <s v="BLAPA"/>
  </r>
  <r>
    <d v="2026-04-07T00:00:00"/>
    <s v="10564475"/>
    <s v="20"/>
    <x v="66"/>
    <x v="66"/>
    <x v="9"/>
    <s v="UN"/>
    <s v="1207"/>
    <s v="ND"/>
    <s v="ND"/>
    <d v="2026-02-24T00:00:00"/>
    <s v="103474     GLOBALTEC SAC"/>
    <n v="21.87"/>
    <s v="USD"/>
    <n v="1"/>
    <s v="UN"/>
    <n v="1207"/>
    <n v="2"/>
    <n v="4500892612"/>
    <s v="ILUMLAMPA"/>
    <s v="JEQUISPE"/>
    <s v="180"/>
    <s v="MRP-ALM.CENT"/>
    <s v="0050"/>
    <n v="0"/>
    <s v="N"/>
    <s v="Z02"/>
    <s v="ZEX2"/>
    <m/>
    <s v="0"/>
    <m/>
    <n v="46119"/>
    <n v="46119"/>
    <n v="46120"/>
    <n v="0"/>
    <n v="74.95"/>
    <s v="PEN"/>
    <n v="449.7"/>
    <s v="2006671-38-Cambiocomponenteseléctricos"/>
    <n v="4211058"/>
    <m/>
    <s v="1056447520"/>
    <n v="1"/>
    <s v="A TIEMPO"/>
    <s v="BLAPA"/>
  </r>
  <r>
    <d v="2026-04-08T00:00:00"/>
    <s v="10564615"/>
    <s v="10"/>
    <x v="67"/>
    <x v="67"/>
    <x v="5"/>
    <s v="UN"/>
    <s v="1207"/>
    <s v="ND"/>
    <s v="ND"/>
    <m/>
    <m/>
    <m/>
    <m/>
    <m/>
    <m/>
    <m/>
    <m/>
    <m/>
    <s v="ILUMLAMPA"/>
    <s v="NALVAREZ"/>
    <s v="180"/>
    <s v="MRP-ALM.CENT"/>
    <s v="0050"/>
    <n v="0"/>
    <s v="N"/>
    <s v="Z01"/>
    <s v="ZEX2"/>
    <m/>
    <s v="0"/>
    <m/>
    <n v="46120"/>
    <n v="46120"/>
    <n v="46121"/>
    <n v="29"/>
    <n v="13.66"/>
    <s v="PEN"/>
    <n v="13.66"/>
    <s v="2017317-12-ANCS2-PMCONSUMIBLESSIST.ELECTRICO"/>
    <n v="4214531"/>
    <m/>
    <s v="1056461510"/>
    <n v="2"/>
    <s v="A TIEMPO"/>
    <s v="BLAPA"/>
  </r>
  <r>
    <d v="2026-03-02T00:00:00"/>
    <s v="10559999"/>
    <s v="20"/>
    <x v="68"/>
    <x v="68"/>
    <x v="17"/>
    <s v="UN"/>
    <s v="1601"/>
    <s v="ND"/>
    <s v="ND"/>
    <d v="2025-08-08T00:00:00"/>
    <s v="147493     TRANSMARINA DEL PERU SAC"/>
    <n v="30.69"/>
    <s v="PEN"/>
    <n v="1"/>
    <s v="UN"/>
    <n v="1611"/>
    <n v="6"/>
    <n v="4500857445"/>
    <s v="IMPRCINTA"/>
    <m/>
    <s v="185"/>
    <s v="EJIMENEZ"/>
    <s v="0048"/>
    <n v="0"/>
    <s v="N"/>
    <m/>
    <s v="ZEX3"/>
    <m/>
    <s v="0"/>
    <m/>
    <n v="46083"/>
    <n v="46083"/>
    <n v="46083"/>
    <n v="0"/>
    <n v="20.440000000000001"/>
    <s v="PEN"/>
    <n v="4088"/>
    <m/>
    <m/>
    <m/>
    <s v="1055999920"/>
    <n v="-35"/>
    <s v="ATRASADO"/>
    <s v="BLAPA"/>
  </r>
  <r>
    <d v="2026-04-06T00:00:00"/>
    <s v="10564291"/>
    <s v="30"/>
    <x v="69"/>
    <x v="69"/>
    <x v="25"/>
    <s v="UN"/>
    <s v="1601"/>
    <s v="ND"/>
    <s v="ND"/>
    <m/>
    <m/>
    <m/>
    <m/>
    <m/>
    <m/>
    <m/>
    <m/>
    <m/>
    <s v="IMPRCINTA"/>
    <s v="CROJAS"/>
    <s v="200"/>
    <s v="FTORRES"/>
    <s v="0048"/>
    <n v="0"/>
    <s v="N"/>
    <s v="D01"/>
    <s v="ZEX3"/>
    <m/>
    <s v="0"/>
    <m/>
    <n v="46118"/>
    <n v="46118"/>
    <n v="46118"/>
    <n v="0"/>
    <n v="7.43"/>
    <s v="PEN"/>
    <n v="743"/>
    <m/>
    <m/>
    <m/>
    <s v="1056429130"/>
    <n v="0"/>
    <s v="A TIEMPO"/>
    <s v="BLAPA"/>
  </r>
  <r>
    <d v="2026-04-06T00:00:00"/>
    <s v="10564291"/>
    <s v="40"/>
    <x v="68"/>
    <x v="68"/>
    <x v="17"/>
    <s v="UN"/>
    <s v="1601"/>
    <s v="ND"/>
    <s v="ND"/>
    <d v="2025-08-08T00:00:00"/>
    <s v="147493     TRANSMARINA DEL PERU SAC"/>
    <n v="30.69"/>
    <s v="PEN"/>
    <n v="1"/>
    <s v="UN"/>
    <n v="1611"/>
    <n v="6"/>
    <n v="4500857445"/>
    <s v="IMPRCINTA"/>
    <s v="CROJAS"/>
    <s v="200"/>
    <s v="FTORRES"/>
    <s v="0048"/>
    <n v="0"/>
    <s v="N"/>
    <m/>
    <s v="ZEX3"/>
    <m/>
    <s v="0"/>
    <m/>
    <n v="46118"/>
    <n v="46118"/>
    <n v="46118"/>
    <n v="0"/>
    <n v="20.440000000000001"/>
    <s v="PEN"/>
    <n v="4088"/>
    <m/>
    <m/>
    <m/>
    <s v="1056429140"/>
    <n v="0"/>
    <s v="A TIEMPO"/>
    <s v="BLAPA"/>
  </r>
  <r>
    <d v="2026-04-09T00:00:00"/>
    <s v="10564776"/>
    <s v="1000"/>
    <x v="70"/>
    <x v="70"/>
    <x v="11"/>
    <s v="UN"/>
    <s v="1207"/>
    <n v="227.78"/>
    <n v="102842"/>
    <d v="2026-03-13T00:00:00"/>
    <s v="102842     ESQUIVEL CONSULTORES SA"/>
    <n v="227.78"/>
    <s v="USD"/>
    <n v="1"/>
    <s v="UN"/>
    <n v="1207"/>
    <n v="4"/>
    <n v="4500895869"/>
    <s v="IMPRTONER"/>
    <s v="MRP-ALM.CENT"/>
    <s v="206"/>
    <s v="MRP-ALM.CENT"/>
    <s v="0050"/>
    <n v="0"/>
    <s v="N"/>
    <s v="I07"/>
    <s v="ZEX1"/>
    <m/>
    <s v="0"/>
    <m/>
    <n v="46121"/>
    <n v="46121"/>
    <n v="46150"/>
    <n v="29"/>
    <n v="777.55"/>
    <s v="PEN"/>
    <n v="3110.2"/>
    <m/>
    <m/>
    <m/>
    <s v="105647761000"/>
    <n v="3"/>
    <s v="A TIEMPO"/>
    <s v="BLAPA"/>
  </r>
  <r>
    <d v="2026-03-25T00:00:00"/>
    <s v="10562864"/>
    <s v="10"/>
    <x v="71"/>
    <x v="71"/>
    <x v="4"/>
    <s v="UN"/>
    <s v="1102"/>
    <s v="ND"/>
    <s v="ND"/>
    <m/>
    <m/>
    <m/>
    <m/>
    <m/>
    <m/>
    <m/>
    <m/>
    <m/>
    <s v="MOBIOFICI"/>
    <s v="VTASSO"/>
    <s v="180"/>
    <s v="MRP-HUACHO"/>
    <s v="TRAN"/>
    <n v="0"/>
    <s v="N"/>
    <s v="I02"/>
    <s v="ZEX2"/>
    <m/>
    <s v="0"/>
    <m/>
    <n v="46106"/>
    <n v="46106"/>
    <n v="46107"/>
    <n v="29"/>
    <n v="305.08999999999997"/>
    <s v="PEN"/>
    <n v="610.17999999999995"/>
    <s v="2016345-1-SILLAEJECUTIVACAJEROPARALABORATORIO"/>
    <n v="4214275"/>
    <m/>
    <s v="1056286410"/>
    <n v="-12"/>
    <s v="ATRASADO"/>
    <s v="BLAPA"/>
  </r>
  <r>
    <d v="2026-03-25T00:00:00"/>
    <s v="10562865"/>
    <s v="10"/>
    <x v="72"/>
    <x v="72"/>
    <x v="10"/>
    <s v="UN"/>
    <s v="1102"/>
    <s v="ND"/>
    <s v="ND"/>
    <d v="2025-12-16T00:00:00"/>
    <s v="131191     IMAGEN CORPORATIVA FAMAT SAC"/>
    <n v="406.78"/>
    <s v="PEN"/>
    <n v="1"/>
    <s v="UN"/>
    <n v="1101"/>
    <n v="3"/>
    <n v="4500880553"/>
    <s v="MOBIOFICI"/>
    <s v="VTASSO"/>
    <s v="180"/>
    <s v="MRP-HUACHO"/>
    <s v="TRAN"/>
    <n v="0"/>
    <s v="N"/>
    <s v="I02"/>
    <s v="ZEX2"/>
    <m/>
    <s v="0"/>
    <m/>
    <n v="46106"/>
    <n v="46106"/>
    <n v="46107"/>
    <n v="0"/>
    <n v="372.88"/>
    <s v="PEN"/>
    <n v="4474.5600000000004"/>
    <s v="2016354-1-SILLAEJECUTIVASALADEREUNION"/>
    <n v="4214277"/>
    <m/>
    <s v="1056286510"/>
    <n v="-12"/>
    <s v="ATRASADO"/>
    <s v="BLAPA"/>
  </r>
  <r>
    <d v="2026-03-27T00:00:00"/>
    <s v="10563134"/>
    <s v="10"/>
    <x v="72"/>
    <x v="72"/>
    <x v="5"/>
    <s v="UN"/>
    <s v="1601"/>
    <s v="ND"/>
    <s v="ND"/>
    <d v="2025-12-16T00:00:00"/>
    <s v="131191     IMAGEN CORPORATIVA FAMAT SAC"/>
    <n v="406.78"/>
    <s v="PEN"/>
    <n v="1"/>
    <s v="UN"/>
    <n v="1101"/>
    <n v="3"/>
    <n v="4500880553"/>
    <s v="MOBIOFICI"/>
    <s v="LVILCA"/>
    <s v="198"/>
    <s v="MRP-T.MORA C"/>
    <s v="TRAN"/>
    <n v="0"/>
    <s v="N"/>
    <s v="D01"/>
    <s v="ZEX2"/>
    <m/>
    <s v="0"/>
    <m/>
    <n v="46108"/>
    <n v="46108"/>
    <n v="46109"/>
    <n v="0"/>
    <n v="436.44"/>
    <s v="PEN"/>
    <n v="436.44"/>
    <s v="2016428-1-01SILLAOFiCINADESCARGA"/>
    <n v="4214298"/>
    <m/>
    <s v="1056313410"/>
    <n v="-10"/>
    <s v="ATRASADO"/>
    <s v="BLAPA"/>
  </r>
  <r>
    <d v="2026-03-27T00:00:00"/>
    <s v="10563135"/>
    <s v="10"/>
    <x v="72"/>
    <x v="72"/>
    <x v="9"/>
    <s v="UN"/>
    <s v="1601"/>
    <s v="ND"/>
    <s v="ND"/>
    <d v="2025-12-16T00:00:00"/>
    <s v="131191     IMAGEN CORPORATIVA FAMAT SAC"/>
    <n v="406.78"/>
    <s v="PEN"/>
    <n v="1"/>
    <s v="UN"/>
    <n v="1101"/>
    <n v="3"/>
    <n v="4500880553"/>
    <s v="MOBIOFICI"/>
    <s v="LVILCA"/>
    <s v="198"/>
    <s v="MRP-T.MORA C"/>
    <s v="TRAN"/>
    <n v="0"/>
    <s v="N"/>
    <s v="D01"/>
    <s v="ZEX2"/>
    <m/>
    <s v="0"/>
    <m/>
    <n v="46108"/>
    <n v="46108"/>
    <n v="46109"/>
    <n v="0"/>
    <n v="436.44"/>
    <s v="PEN"/>
    <n v="2618.64"/>
    <s v="2016430-1-06SILLASOFICINASCADA"/>
    <n v="4214299"/>
    <m/>
    <s v="1056313510"/>
    <n v="-10"/>
    <s v="ATRASADO"/>
    <s v="BLAPA"/>
  </r>
  <r>
    <d v="2026-03-27T00:00:00"/>
    <s v="10563136"/>
    <s v="10"/>
    <x v="72"/>
    <x v="72"/>
    <x v="11"/>
    <s v="UN"/>
    <s v="1601"/>
    <s v="ND"/>
    <s v="ND"/>
    <d v="2025-12-16T00:00:00"/>
    <s v="131191     IMAGEN CORPORATIVA FAMAT SAC"/>
    <n v="406.78"/>
    <s v="PEN"/>
    <n v="1"/>
    <s v="UN"/>
    <n v="1101"/>
    <n v="3"/>
    <n v="4500880553"/>
    <s v="MOBIOFICI"/>
    <s v="LVILCA"/>
    <s v="198"/>
    <s v="MRP-T.MORA C"/>
    <s v="TRAN"/>
    <n v="0"/>
    <s v="N"/>
    <s v="D01"/>
    <s v="ZEX2"/>
    <m/>
    <s v="0"/>
    <m/>
    <n v="46108"/>
    <n v="46108"/>
    <n v="46109"/>
    <n v="0"/>
    <n v="436.44"/>
    <s v="PEN"/>
    <n v="1745.76"/>
    <s v="2016436-1-04SILLASOFICINAPRODUCCION"/>
    <n v="4214301"/>
    <m/>
    <s v="1056313610"/>
    <n v="-10"/>
    <s v="ATRASADO"/>
    <s v="BLAPA"/>
  </r>
  <r>
    <d v="2026-03-27T00:00:00"/>
    <s v="10563137"/>
    <s v="10"/>
    <x v="72"/>
    <x v="72"/>
    <x v="5"/>
    <s v="UN"/>
    <s v="1601"/>
    <s v="ND"/>
    <s v="ND"/>
    <d v="2025-12-16T00:00:00"/>
    <s v="131191     IMAGEN CORPORATIVA FAMAT SAC"/>
    <n v="406.78"/>
    <s v="PEN"/>
    <n v="1"/>
    <s v="UN"/>
    <n v="1101"/>
    <n v="3"/>
    <n v="4500880553"/>
    <s v="MOBIOFICI"/>
    <s v="LVILCA"/>
    <s v="198"/>
    <s v="MRP-T.MORA C"/>
    <s v="TRAN"/>
    <n v="0"/>
    <s v="N"/>
    <s v="D01"/>
    <s v="ZEX2"/>
    <m/>
    <s v="0"/>
    <m/>
    <n v="46108"/>
    <n v="46108"/>
    <n v="46109"/>
    <n v="0"/>
    <n v="436.44"/>
    <s v="PEN"/>
    <n v="436.44"/>
    <s v="2016439-1-01SILLAOFICINAGARITA"/>
    <n v="4214302"/>
    <m/>
    <s v="1056313710"/>
    <n v="-10"/>
    <s v="ATRASADO"/>
    <s v="BLAPA"/>
  </r>
  <r>
    <d v="2026-03-27T00:00:00"/>
    <s v="10563138"/>
    <s v="10"/>
    <x v="73"/>
    <x v="73"/>
    <x v="5"/>
    <s v="UN"/>
    <s v="1601"/>
    <s v="ND"/>
    <s v="ND"/>
    <m/>
    <m/>
    <m/>
    <m/>
    <m/>
    <m/>
    <m/>
    <m/>
    <m/>
    <s v="MOBIOFICI"/>
    <s v="LVILCA"/>
    <s v="198"/>
    <s v="MRP-T.MORA C"/>
    <s v="TRAN"/>
    <n v="0"/>
    <s v="N"/>
    <s v="D01"/>
    <s v="ZEX2"/>
    <m/>
    <s v="0"/>
    <m/>
    <n v="46108"/>
    <n v="46108"/>
    <n v="46109"/>
    <n v="29"/>
    <n v="826.33"/>
    <s v="PEN"/>
    <n v="826.33"/>
    <s v="2016440-1-01SILLAOFICINAGHU"/>
    <n v="4214305"/>
    <m/>
    <s v="1056313810"/>
    <n v="-10"/>
    <s v="ATRASADO"/>
    <s v="BLAPA"/>
  </r>
  <r>
    <d v="2026-03-27T00:00:00"/>
    <s v="10563139"/>
    <s v="10"/>
    <x v="71"/>
    <x v="71"/>
    <x v="5"/>
    <s v="UN"/>
    <s v="1601"/>
    <s v="ND"/>
    <s v="ND"/>
    <m/>
    <m/>
    <m/>
    <m/>
    <m/>
    <m/>
    <m/>
    <m/>
    <m/>
    <s v="MOBIOFICI"/>
    <s v="LVILCA"/>
    <s v="198"/>
    <s v="MRP-T.MORA C"/>
    <s v="TRAN"/>
    <n v="0"/>
    <s v="N"/>
    <s v="D01"/>
    <s v="ZEX2"/>
    <m/>
    <s v="0"/>
    <m/>
    <n v="46108"/>
    <n v="46108"/>
    <n v="46109"/>
    <n v="29"/>
    <n v="381.36"/>
    <s v="PEN"/>
    <n v="381.36"/>
    <s v="2016636-1-01SILLAOFICINACALIDAD"/>
    <n v="4214358"/>
    <m/>
    <s v="1056313910"/>
    <n v="-10"/>
    <s v="ATRASADO"/>
    <s v="BLAPA"/>
  </r>
  <r>
    <d v="2026-03-27T00:00:00"/>
    <s v="10563142"/>
    <s v="10"/>
    <x v="73"/>
    <x v="73"/>
    <x v="5"/>
    <s v="UN"/>
    <s v="1207"/>
    <s v="ND"/>
    <s v="ND"/>
    <m/>
    <m/>
    <m/>
    <m/>
    <m/>
    <m/>
    <m/>
    <m/>
    <m/>
    <s v="MOBIOFICI"/>
    <s v="IRAMIREZ"/>
    <s v="215"/>
    <s v="MRP-ALM.CENT"/>
    <s v="0050"/>
    <n v="0"/>
    <s v="N"/>
    <s v="Z01"/>
    <s v="ZEX2"/>
    <m/>
    <s v="0"/>
    <m/>
    <n v="46108"/>
    <n v="46108"/>
    <n v="46109"/>
    <n v="29"/>
    <n v="1186.44"/>
    <s v="PEN"/>
    <n v="1186.44"/>
    <s v="2015788-1-FLOTA-GERENCIAFLOTA-SILLAC/CABECERA"/>
    <n v="4214087"/>
    <m/>
    <s v="1056314210"/>
    <n v="-10"/>
    <s v="ATRASADO"/>
    <s v="BLAPA"/>
  </r>
  <r>
    <d v="2026-03-27T00:00:00"/>
    <s v="10563143"/>
    <s v="10"/>
    <x v="73"/>
    <x v="73"/>
    <x v="5"/>
    <s v="UN"/>
    <s v="1207"/>
    <s v="ND"/>
    <s v="ND"/>
    <m/>
    <m/>
    <m/>
    <m/>
    <m/>
    <m/>
    <m/>
    <m/>
    <m/>
    <s v="MOBIOFICI"/>
    <s v="IRAMIREZ"/>
    <s v="215"/>
    <s v="MRP-ALM.CENT"/>
    <s v="0050"/>
    <n v="0"/>
    <s v="N"/>
    <s v="Z01"/>
    <s v="ZEX2"/>
    <m/>
    <s v="0"/>
    <m/>
    <n v="46108"/>
    <n v="46108"/>
    <n v="46109"/>
    <n v="29"/>
    <n v="1186.44"/>
    <s v="PEN"/>
    <n v="1186.44"/>
    <s v="2015790-1-FLOTA-SUPERINTENDENCI-SILLAC/CABECERA"/>
    <n v="4214090"/>
    <m/>
    <s v="1056314310"/>
    <n v="-10"/>
    <s v="ATRASADO"/>
    <s v="BLAPA"/>
  </r>
  <r>
    <d v="2026-03-27T00:00:00"/>
    <s v="10563144"/>
    <s v="10"/>
    <x v="72"/>
    <x v="72"/>
    <x v="8"/>
    <s v="UN"/>
    <s v="1207"/>
    <s v="ND"/>
    <s v="ND"/>
    <d v="2025-12-16T00:00:00"/>
    <s v="131191     IMAGEN CORPORATIVA FAMAT SAC"/>
    <n v="406.78"/>
    <s v="PEN"/>
    <n v="1"/>
    <s v="UN"/>
    <n v="1101"/>
    <n v="3"/>
    <n v="4500880553"/>
    <s v="MOBIOFICI"/>
    <s v="IRAMIREZ"/>
    <s v="180"/>
    <s v="MRP-ALM.CENT"/>
    <s v="0050"/>
    <n v="0"/>
    <s v="N"/>
    <s v="Z01"/>
    <s v="ZEX2"/>
    <m/>
    <s v="0"/>
    <m/>
    <n v="46108"/>
    <n v="46108"/>
    <n v="46109"/>
    <n v="0"/>
    <n v="483.05"/>
    <s v="PEN"/>
    <n v="1449.15"/>
    <s v="2015797-1-FLOTA-OPERACIONES2P-SILLAGIRAEJECU"/>
    <n v="4214092"/>
    <m/>
    <s v="1056314410"/>
    <n v="-10"/>
    <s v="ATRASADO"/>
    <s v="BLAPA"/>
  </r>
  <r>
    <d v="2026-03-27T00:00:00"/>
    <s v="10563145"/>
    <s v="10"/>
    <x v="72"/>
    <x v="72"/>
    <x v="8"/>
    <s v="UN"/>
    <s v="1207"/>
    <s v="ND"/>
    <s v="ND"/>
    <d v="2025-12-16T00:00:00"/>
    <s v="131191     IMAGEN CORPORATIVA FAMAT SAC"/>
    <n v="406.78"/>
    <s v="PEN"/>
    <n v="1"/>
    <s v="UN"/>
    <n v="1101"/>
    <n v="3"/>
    <n v="4500880553"/>
    <s v="MOBIOFICI"/>
    <s v="IRAMIREZ"/>
    <s v="180"/>
    <s v="MRP-ALM.CENT"/>
    <s v="0050"/>
    <n v="0"/>
    <s v="N"/>
    <s v="Z01"/>
    <s v="ZEX2"/>
    <m/>
    <s v="0"/>
    <m/>
    <n v="46108"/>
    <n v="46108"/>
    <n v="46109"/>
    <n v="0"/>
    <n v="483.05"/>
    <s v="PEN"/>
    <n v="1449.15"/>
    <s v="2015799-1-FLOTA-SALAREUNIONPISO2SILLAGIRAEJE"/>
    <n v="4214094"/>
    <m/>
    <s v="1056314510"/>
    <n v="-10"/>
    <s v="ATRASADO"/>
    <s v="BLAPA"/>
  </r>
  <r>
    <d v="2026-03-27T00:00:00"/>
    <s v="10563146"/>
    <s v="10"/>
    <x v="72"/>
    <x v="72"/>
    <x v="9"/>
    <s v="UN"/>
    <s v="1207"/>
    <s v="ND"/>
    <s v="ND"/>
    <d v="2025-12-16T00:00:00"/>
    <s v="131191     IMAGEN CORPORATIVA FAMAT SAC"/>
    <n v="406.78"/>
    <s v="PEN"/>
    <n v="1"/>
    <s v="UN"/>
    <n v="1101"/>
    <n v="3"/>
    <n v="4500880553"/>
    <s v="MOBIOFICI"/>
    <s v="IRAMIREZ"/>
    <s v="180"/>
    <s v="MRP-ALM.CENT"/>
    <s v="0050"/>
    <n v="0"/>
    <s v="N"/>
    <s v="Z01"/>
    <s v="ZEX2"/>
    <m/>
    <s v="0"/>
    <m/>
    <n v="46108"/>
    <n v="46108"/>
    <n v="46109"/>
    <n v="0"/>
    <n v="483.05"/>
    <s v="PEN"/>
    <n v="2898.3"/>
    <s v="2015802-1-FLOTA-OFMNTTOPISO1SILLAGIRAEJE"/>
    <n v="4214095"/>
    <m/>
    <s v="1056314610"/>
    <n v="-10"/>
    <s v="ATRASADO"/>
    <s v="BLAPA"/>
  </r>
  <r>
    <d v="2026-03-27T00:00:00"/>
    <s v="10563147"/>
    <s v="10"/>
    <x v="72"/>
    <x v="72"/>
    <x v="4"/>
    <s v="UN"/>
    <s v="1207"/>
    <s v="ND"/>
    <s v="ND"/>
    <d v="2025-12-16T00:00:00"/>
    <s v="131191     IMAGEN CORPORATIVA FAMAT SAC"/>
    <n v="406.78"/>
    <s v="PEN"/>
    <n v="1"/>
    <s v="UN"/>
    <n v="1101"/>
    <n v="3"/>
    <n v="4500880553"/>
    <s v="MOBIOFICI"/>
    <s v="IRAMIREZ"/>
    <s v="180"/>
    <s v="MRP-ALM.CENT"/>
    <s v="0050"/>
    <n v="0"/>
    <s v="N"/>
    <s v="Z01"/>
    <s v="ZEX2"/>
    <m/>
    <s v="0"/>
    <m/>
    <n v="46108"/>
    <n v="46108"/>
    <n v="46109"/>
    <n v="0"/>
    <n v="483.05"/>
    <s v="PEN"/>
    <n v="966.1"/>
    <s v="2015803-1-FLOTA-OFGHUSILLAGIRAEJECUTIVA"/>
    <n v="4214097"/>
    <m/>
    <s v="1056314710"/>
    <n v="-10"/>
    <s v="ATRASADO"/>
    <s v="BLAPA"/>
  </r>
  <r>
    <d v="2026-03-27T00:00:00"/>
    <s v="10563148"/>
    <s v="10"/>
    <x v="72"/>
    <x v="72"/>
    <x v="5"/>
    <s v="UN"/>
    <s v="1207"/>
    <s v="ND"/>
    <s v="ND"/>
    <d v="2025-12-16T00:00:00"/>
    <s v="131191     IMAGEN CORPORATIVA FAMAT SAC"/>
    <n v="406.78"/>
    <s v="PEN"/>
    <n v="1"/>
    <s v="UN"/>
    <n v="1101"/>
    <n v="3"/>
    <n v="4500880553"/>
    <s v="MOBIOFICI"/>
    <s v="IRAMIREZ"/>
    <s v="180"/>
    <s v="MRP-ALM.CENT"/>
    <s v="0050"/>
    <n v="0"/>
    <s v="N"/>
    <s v="Z01"/>
    <s v="ZEX2"/>
    <m/>
    <s v="0"/>
    <m/>
    <n v="46108"/>
    <n v="46108"/>
    <n v="46109"/>
    <n v="0"/>
    <n v="483.05"/>
    <s v="PEN"/>
    <n v="483.05"/>
    <s v="2015913-1-FLOTA-OFVIGILANCIASILLAGIRAEJECUTIVA"/>
    <n v="4214138"/>
    <m/>
    <s v="1056314810"/>
    <n v="-10"/>
    <s v="ATRASADO"/>
    <s v="BLAPA"/>
  </r>
  <r>
    <d v="2026-03-27T00:00:00"/>
    <s v="10563149"/>
    <s v="10"/>
    <x v="72"/>
    <x v="72"/>
    <x v="8"/>
    <s v="UN"/>
    <s v="1207"/>
    <s v="ND"/>
    <s v="ND"/>
    <d v="2025-12-16T00:00:00"/>
    <s v="131191     IMAGEN CORPORATIVA FAMAT SAC"/>
    <n v="406.78"/>
    <s v="PEN"/>
    <n v="1"/>
    <s v="UN"/>
    <n v="1101"/>
    <n v="3"/>
    <n v="4500880553"/>
    <s v="MOBIOFICI"/>
    <s v="IRAMIREZ"/>
    <s v="180"/>
    <s v="MRP-ALM.CENT"/>
    <s v="0050"/>
    <n v="0"/>
    <s v="N"/>
    <s v="Z01"/>
    <s v="ZEX2"/>
    <m/>
    <s v="0"/>
    <m/>
    <n v="46108"/>
    <n v="46108"/>
    <n v="46109"/>
    <n v="0"/>
    <n v="483.05"/>
    <s v="PEN"/>
    <n v="1449.15"/>
    <s v="2015914-1-FLOTA-OFSSOSILLAGIRAEJECUTIVA"/>
    <n v="4214139"/>
    <m/>
    <s v="1056314910"/>
    <n v="-10"/>
    <s v="ATRASADO"/>
    <s v="BLAPA"/>
  </r>
  <r>
    <d v="2026-03-27T00:00:00"/>
    <s v="10563150"/>
    <s v="10"/>
    <x v="72"/>
    <x v="72"/>
    <x v="11"/>
    <s v="UN"/>
    <s v="1207"/>
    <s v="ND"/>
    <s v="ND"/>
    <d v="2025-12-16T00:00:00"/>
    <s v="131191     IMAGEN CORPORATIVA FAMAT SAC"/>
    <n v="406.78"/>
    <s v="PEN"/>
    <n v="1"/>
    <s v="UN"/>
    <n v="1101"/>
    <n v="3"/>
    <n v="4500880553"/>
    <s v="MOBIOFICI"/>
    <s v="IRAMIREZ"/>
    <s v="180"/>
    <s v="MRP-ALM.CENT"/>
    <s v="0050"/>
    <n v="0"/>
    <s v="N"/>
    <s v="Z01"/>
    <s v="ZEX2"/>
    <m/>
    <s v="0"/>
    <m/>
    <n v="46108"/>
    <n v="46108"/>
    <n v="46109"/>
    <n v="0"/>
    <n v="483.05"/>
    <s v="PEN"/>
    <n v="1932.2"/>
    <s v="2015916-1-FLOTA-OFTOPICOSILLAGIRAEJECUTIVA"/>
    <n v="4214140"/>
    <m/>
    <s v="1056315010"/>
    <n v="-10"/>
    <s v="ATRASADO"/>
    <s v="BLAPA"/>
  </r>
  <r>
    <d v="2026-03-27T00:00:00"/>
    <s v="10563211"/>
    <s v="10"/>
    <x v="72"/>
    <x v="72"/>
    <x v="11"/>
    <s v="UN"/>
    <s v="1207"/>
    <s v="ND"/>
    <s v="ND"/>
    <d v="2025-12-16T00:00:00"/>
    <s v="131191     IMAGEN CORPORATIVA FAMAT SAC"/>
    <n v="406.78"/>
    <s v="PEN"/>
    <n v="1"/>
    <s v="UN"/>
    <n v="1101"/>
    <n v="3"/>
    <n v="4500880553"/>
    <s v="MOBIOFICI"/>
    <s v="EDAVILA"/>
    <s v="180"/>
    <s v="MRP-ALM.CENT"/>
    <s v="0050"/>
    <n v="0"/>
    <s v="N"/>
    <s v="Z02"/>
    <s v="ZEX2"/>
    <m/>
    <s v="0"/>
    <m/>
    <n v="46108"/>
    <n v="46108"/>
    <n v="46109"/>
    <n v="0"/>
    <n v="483.05"/>
    <s v="PEN"/>
    <n v="1932.2"/>
    <s v="2015543-1-4SILLASALMACEN"/>
    <n v="4213979"/>
    <m/>
    <s v="1056321110"/>
    <n v="-10"/>
    <s v="ATRASADO"/>
    <s v="BLAPA"/>
  </r>
  <r>
    <d v="2026-03-27T00:00:00"/>
    <s v="10563212"/>
    <s v="10"/>
    <x v="72"/>
    <x v="72"/>
    <x v="11"/>
    <s v="UN"/>
    <s v="1207"/>
    <s v="ND"/>
    <s v="ND"/>
    <d v="2025-12-16T00:00:00"/>
    <s v="131191     IMAGEN CORPORATIVA FAMAT SAC"/>
    <n v="406.78"/>
    <s v="PEN"/>
    <n v="1"/>
    <s v="UN"/>
    <n v="1101"/>
    <n v="3"/>
    <n v="4500880553"/>
    <s v="MOBIOFICI"/>
    <s v="EDAVILA"/>
    <s v="180"/>
    <s v="MRP-ALM.CENT"/>
    <s v="0050"/>
    <n v="0"/>
    <s v="N"/>
    <s v="Z02"/>
    <s v="ZEX2"/>
    <m/>
    <s v="0"/>
    <m/>
    <n v="46108"/>
    <n v="46108"/>
    <n v="46109"/>
    <n v="0"/>
    <n v="483.05"/>
    <s v="PEN"/>
    <n v="1932.2"/>
    <s v="2015545-1-4SILLASGARITANEOS"/>
    <n v="4213981"/>
    <m/>
    <s v="1056321210"/>
    <n v="-10"/>
    <s v="ATRASADO"/>
    <s v="BLAPA"/>
  </r>
  <r>
    <d v="2026-03-27T00:00:00"/>
    <s v="10563213"/>
    <s v="10"/>
    <x v="72"/>
    <x v="72"/>
    <x v="11"/>
    <s v="UN"/>
    <s v="1207"/>
    <s v="ND"/>
    <s v="ND"/>
    <d v="2025-12-16T00:00:00"/>
    <s v="131191     IMAGEN CORPORATIVA FAMAT SAC"/>
    <n v="406.78"/>
    <s v="PEN"/>
    <n v="1"/>
    <s v="UN"/>
    <n v="1101"/>
    <n v="3"/>
    <n v="4500880553"/>
    <s v="MOBIOFICI"/>
    <s v="EDAVILA"/>
    <s v="180"/>
    <s v="MRP-ALM.CENT"/>
    <s v="0050"/>
    <n v="0"/>
    <s v="N"/>
    <s v="Z02"/>
    <s v="ZEX2"/>
    <m/>
    <s v="0"/>
    <m/>
    <n v="46108"/>
    <n v="46108"/>
    <n v="46109"/>
    <n v="0"/>
    <n v="483.05"/>
    <s v="PEN"/>
    <n v="1932.2"/>
    <s v="2015565-1-4SILLASCCTV"/>
    <n v="4213986"/>
    <m/>
    <s v="1056321310"/>
    <n v="-10"/>
    <s v="ATRASADO"/>
    <s v="BLAPA"/>
  </r>
  <r>
    <d v="2026-03-27T00:00:00"/>
    <s v="10563214"/>
    <s v="10"/>
    <x v="72"/>
    <x v="72"/>
    <x v="4"/>
    <s v="UN"/>
    <s v="1207"/>
    <s v="ND"/>
    <s v="ND"/>
    <d v="2025-12-16T00:00:00"/>
    <s v="131191     IMAGEN CORPORATIVA FAMAT SAC"/>
    <n v="406.78"/>
    <s v="PEN"/>
    <n v="1"/>
    <s v="UN"/>
    <n v="1101"/>
    <n v="3"/>
    <n v="4500880553"/>
    <s v="MOBIOFICI"/>
    <s v="EDAVILA"/>
    <s v="180"/>
    <s v="MRP-ALM.CENT"/>
    <s v="0050"/>
    <n v="0"/>
    <s v="N"/>
    <s v="Z02"/>
    <s v="ZEX2"/>
    <m/>
    <s v="0"/>
    <m/>
    <n v="46108"/>
    <n v="46108"/>
    <n v="46109"/>
    <n v="0"/>
    <n v="483.05"/>
    <s v="PEN"/>
    <n v="966.1"/>
    <s v="2015569-1-2SILLASSSO"/>
    <n v="4213987"/>
    <m/>
    <s v="1056321410"/>
    <n v="-10"/>
    <s v="ATRASADO"/>
    <s v="BLAPA"/>
  </r>
  <r>
    <d v="2026-03-27T00:00:00"/>
    <s v="10563215"/>
    <s v="10"/>
    <x v="72"/>
    <x v="72"/>
    <x v="9"/>
    <s v="UN"/>
    <s v="1207"/>
    <s v="ND"/>
    <s v="ND"/>
    <d v="2025-12-16T00:00:00"/>
    <s v="131191     IMAGEN CORPORATIVA FAMAT SAC"/>
    <n v="406.78"/>
    <s v="PEN"/>
    <n v="1"/>
    <s v="UN"/>
    <n v="1101"/>
    <n v="3"/>
    <n v="4500880553"/>
    <s v="MOBIOFICI"/>
    <s v="EDAVILA"/>
    <s v="180"/>
    <s v="MRP-ALM.CENT"/>
    <s v="0050"/>
    <n v="0"/>
    <s v="N"/>
    <s v="Z02"/>
    <s v="ZEX2"/>
    <m/>
    <s v="0"/>
    <m/>
    <n v="46108"/>
    <n v="46108"/>
    <n v="46109"/>
    <n v="0"/>
    <n v="483.05"/>
    <s v="PEN"/>
    <n v="2898.3"/>
    <s v="2015571-1-6SILLASPARASALADEREUNIONES"/>
    <n v="4213989"/>
    <m/>
    <s v="1056321510"/>
    <n v="-10"/>
    <s v="ATRASADO"/>
    <s v="BLAPA"/>
  </r>
  <r>
    <d v="2026-04-05T00:00:00"/>
    <s v="10564145"/>
    <s v="10"/>
    <x v="74"/>
    <x v="74"/>
    <x v="4"/>
    <s v="UN"/>
    <s v="1102"/>
    <n v="10.1"/>
    <n v="147322"/>
    <d v="2026-01-16T00:00:00"/>
    <s v="147322     DIMERC PERU SAC"/>
    <n v="10.1"/>
    <s v="PEN"/>
    <n v="1"/>
    <s v="UN"/>
    <n v="1207"/>
    <n v="12"/>
    <n v="4500886187"/>
    <s v="OFICCUADE"/>
    <s v="HCALDERON"/>
    <s v="180"/>
    <s v="MRP-HUACHO"/>
    <s v="TRAN"/>
    <n v="0"/>
    <s v="N"/>
    <s v="I02"/>
    <s v="ZEX2"/>
    <m/>
    <s v="0"/>
    <m/>
    <n v="46117"/>
    <n v="46117"/>
    <n v="46118"/>
    <n v="0"/>
    <n v="10.1"/>
    <s v="PEN"/>
    <n v="20.2"/>
    <s v="2017992-6-PRD.-HCH-CALIDAD"/>
    <n v="2017992"/>
    <m/>
    <s v="1056414510"/>
    <n v="-1"/>
    <s v="ATRASADO"/>
    <s v="BLAPA"/>
  </r>
  <r>
    <d v="2026-04-07T00:00:00"/>
    <s v="10564463"/>
    <s v="10"/>
    <x v="74"/>
    <x v="74"/>
    <x v="9"/>
    <s v="UN"/>
    <s v="1103"/>
    <n v="10.1"/>
    <n v="147322"/>
    <d v="2026-01-16T00:00:00"/>
    <s v="147322     DIMERC PERU SAC"/>
    <n v="10.1"/>
    <s v="PEN"/>
    <n v="1"/>
    <s v="UN"/>
    <n v="1207"/>
    <n v="12"/>
    <n v="4500886187"/>
    <s v="OFICCUADE"/>
    <s v="FRAMIREZ"/>
    <s v="185"/>
    <s v="MRP-CHICAMA"/>
    <s v="TRAN"/>
    <n v="0"/>
    <s v="N"/>
    <s v="I03"/>
    <s v="ZEX2"/>
    <m/>
    <s v="0"/>
    <m/>
    <n v="46119"/>
    <n v="46119"/>
    <n v="46120"/>
    <n v="0"/>
    <n v="10.1"/>
    <s v="PEN"/>
    <n v="60.6"/>
    <s v="2018565-2-PRD.-CHCM-HP"/>
    <n v="2018565"/>
    <m/>
    <s v="1056446310"/>
    <n v="1"/>
    <s v="A TIEMPO"/>
    <s v="BLAPA"/>
  </r>
  <r>
    <d v="2026-04-09T00:00:00"/>
    <s v="10564729"/>
    <s v="10"/>
    <x v="74"/>
    <x v="74"/>
    <x v="8"/>
    <s v="UN"/>
    <s v="1101"/>
    <n v="10.1"/>
    <n v="147322"/>
    <d v="2026-01-16T00:00:00"/>
    <s v="147322     DIMERC PERU SAC"/>
    <n v="10.1"/>
    <s v="PEN"/>
    <n v="1"/>
    <s v="UN"/>
    <n v="1207"/>
    <n v="12"/>
    <n v="4500886187"/>
    <s v="OFICCUADE"/>
    <s v="MMAGALLANES"/>
    <s v="180"/>
    <s v="MRP-T.MORA"/>
    <s v="TRAN"/>
    <n v="0"/>
    <s v="N"/>
    <s v="I01"/>
    <s v="ZEX2"/>
    <m/>
    <s v="0"/>
    <m/>
    <n v="46121"/>
    <n v="46121"/>
    <n v="46122"/>
    <n v="0"/>
    <n v="10.1"/>
    <s v="PEN"/>
    <n v="30.3"/>
    <s v="2019135-2-PRD.-TM-ADMINIST."/>
    <n v="2019135"/>
    <m/>
    <s v="1056472910"/>
    <n v="3"/>
    <s v="A TIEMPO"/>
    <s v="BLAPA"/>
  </r>
  <r>
    <d v="2026-04-09T00:00:00"/>
    <s v="10564773"/>
    <s v="1000"/>
    <x v="74"/>
    <x v="74"/>
    <x v="13"/>
    <s v="UN"/>
    <s v="1207"/>
    <n v="10.1"/>
    <n v="147322"/>
    <d v="2026-01-16T00:00:00"/>
    <s v="147322     DIMERC PERU SAC"/>
    <n v="10.1"/>
    <s v="PEN"/>
    <n v="1"/>
    <s v="UN"/>
    <n v="1207"/>
    <n v="12"/>
    <n v="4500886187"/>
    <s v="OFICCUADE"/>
    <s v="MRP-ALM.CENT"/>
    <s v="185"/>
    <s v="MRP-ALM.CENT"/>
    <s v="0050"/>
    <n v="0"/>
    <s v="N"/>
    <s v="I07"/>
    <s v="ZEX1"/>
    <m/>
    <s v="0"/>
    <m/>
    <n v="46121"/>
    <n v="46121"/>
    <n v="46150"/>
    <n v="29"/>
    <n v="10.1"/>
    <s v="PEN"/>
    <n v="242.4"/>
    <m/>
    <m/>
    <m/>
    <s v="105647731000"/>
    <n v="3"/>
    <s v="A TIEMPO"/>
    <s v="BLAPA"/>
  </r>
  <r>
    <d v="2026-04-06T00:00:00"/>
    <s v="10564180"/>
    <s v="1000"/>
    <x v="75"/>
    <x v="75"/>
    <x v="25"/>
    <s v="UN"/>
    <s v="1207"/>
    <n v="0.2"/>
    <n v="147322"/>
    <d v="2026-01-16T00:00:00"/>
    <s v="147322     DIMERC PERU SAC"/>
    <n v="0.2"/>
    <s v="PEN"/>
    <n v="1"/>
    <s v="UN"/>
    <n v="1207"/>
    <n v="100"/>
    <n v="4500886187"/>
    <s v="OFICESCRA"/>
    <s v="MRP-ALM.CENT"/>
    <s v="185"/>
    <s v="MRP-ALM.CENT"/>
    <s v="0050"/>
    <n v="0"/>
    <s v="N"/>
    <s v="I07"/>
    <s v="ZEX1"/>
    <m/>
    <s v="0"/>
    <m/>
    <n v="46121"/>
    <n v="46118"/>
    <n v="46150"/>
    <n v="29"/>
    <n v="0.2"/>
    <s v="PEN"/>
    <n v="20"/>
    <m/>
    <m/>
    <m/>
    <s v="105641801000"/>
    <n v="0"/>
    <s v="A TIEMPO"/>
    <s v="BLAPA"/>
  </r>
  <r>
    <d v="2026-04-08T00:00:00"/>
    <s v="10564713"/>
    <s v="10"/>
    <x v="76"/>
    <x v="76"/>
    <x v="4"/>
    <s v="UN"/>
    <s v="1208"/>
    <n v="1.03"/>
    <n v="147322"/>
    <d v="2026-03-30T00:00:00"/>
    <s v="106556     PLANETA SRL"/>
    <n v="2.0299999999999998"/>
    <s v="PEN"/>
    <n v="1"/>
    <s v="UN"/>
    <n v="1208"/>
    <n v="2"/>
    <n v="4500898166"/>
    <s v="OFICESCRA"/>
    <s v="RTOLENTINO"/>
    <s v="185"/>
    <s v="MRP-C.DIST C"/>
    <s v="TRAN"/>
    <n v="0"/>
    <s v="N"/>
    <s v="I08"/>
    <s v="ZEX2"/>
    <m/>
    <s v="0"/>
    <m/>
    <n v="46120"/>
    <n v="46120"/>
    <n v="46121"/>
    <n v="0"/>
    <n v="2.0299999999999998"/>
    <s v="PEN"/>
    <n v="4.0599999999999996"/>
    <s v="2016915-28-MME11Alist.Mat.Ut.MenajeTemp.26-1"/>
    <n v="4214444"/>
    <m/>
    <s v="1056471310"/>
    <n v="2"/>
    <s v="A TIEMPO"/>
    <s v="BLAPA"/>
  </r>
  <r>
    <d v="2026-04-08T00:00:00"/>
    <s v="10564568"/>
    <s v="1000"/>
    <x v="77"/>
    <x v="77"/>
    <x v="13"/>
    <s v="UN"/>
    <s v="1207"/>
    <n v="2.09"/>
    <n v="147322"/>
    <d v="2026-03-30T00:00:00"/>
    <s v="106556     PLANETA SRL"/>
    <n v="2.54"/>
    <s v="PEN"/>
    <n v="1"/>
    <s v="UN"/>
    <n v="1207"/>
    <n v="36"/>
    <n v="4500898166"/>
    <s v="OFICESCRT"/>
    <s v="MRP-ALM.CENT"/>
    <s v="185"/>
    <s v="MRP-ALM.CENT"/>
    <s v="0050"/>
    <n v="0"/>
    <s v="N"/>
    <s v="I07"/>
    <s v="ZEX1"/>
    <m/>
    <s v="0"/>
    <m/>
    <n v="46121"/>
    <n v="46120"/>
    <n v="46150"/>
    <n v="29"/>
    <n v="2.54"/>
    <s v="PEN"/>
    <n v="60.96"/>
    <m/>
    <m/>
    <m/>
    <s v="105645681000"/>
    <n v="2"/>
    <s v="A TIEMPO"/>
    <s v="BLAPA"/>
  </r>
  <r>
    <d v="2025-11-04T00:00:00"/>
    <s v="10547968"/>
    <s v="10"/>
    <x v="78"/>
    <x v="78"/>
    <x v="5"/>
    <s v="UN"/>
    <s v="1208"/>
    <s v="ND"/>
    <s v="ND"/>
    <d v="2025-11-21T00:00:00"/>
    <s v="147584     JA INDUSTRIA DEL PAPEL EIRL"/>
    <n v="101.69"/>
    <s v="PEN"/>
    <n v="2"/>
    <s v="UN"/>
    <n v="1208"/>
    <n v="2"/>
    <n v="4500875569"/>
    <s v="OFICFORMT"/>
    <s v="RTOLENTINO"/>
    <s v="193"/>
    <s v="MRP-C.DIST C"/>
    <s v="TRAN"/>
    <n v="0"/>
    <s v="B"/>
    <s v="I08"/>
    <s v="ZEX2"/>
    <s v="4500879707"/>
    <s v="10"/>
    <n v="46002"/>
    <n v="45965"/>
    <n v="45965"/>
    <n v="45995"/>
    <n v="29"/>
    <n v="19.61"/>
    <s v="PEN"/>
    <n v="19.61"/>
    <s v="1989085-2-CRETAAList.Mat.EconomatoTemp.25-2"/>
    <n v="4206205"/>
    <m/>
    <s v="1054796810"/>
    <n v="-153"/>
    <s v="ATRASADO"/>
    <s v="BLAPA"/>
  </r>
  <r>
    <d v="2025-11-06T00:00:00"/>
    <s v="10548236"/>
    <s v="20"/>
    <x v="79"/>
    <x v="79"/>
    <x v="5"/>
    <s v="UN"/>
    <s v="1208"/>
    <s v="ND"/>
    <s v="ND"/>
    <m/>
    <m/>
    <m/>
    <m/>
    <m/>
    <m/>
    <m/>
    <m/>
    <m/>
    <s v="OFICFORMT"/>
    <s v="JLIZARRAGA"/>
    <s v="140"/>
    <s v="MRP-C.DIST C"/>
    <s v="TRAN"/>
    <n v="0"/>
    <s v="B"/>
    <s v="I08"/>
    <s v="ZEX2"/>
    <s v="4500879707"/>
    <s v="20"/>
    <n v="46002"/>
    <n v="45967"/>
    <n v="45967"/>
    <n v="45997"/>
    <n v="29"/>
    <n v="12"/>
    <s v="PEN"/>
    <n v="12"/>
    <s v="1989516-2-PRD.-CHBT-HP"/>
    <n v="1989516"/>
    <m/>
    <s v="1054823620"/>
    <n v="-151"/>
    <s v="ATRASADO"/>
    <s v="BLAPA"/>
  </r>
  <r>
    <d v="2025-11-06T00:00:00"/>
    <s v="10548239"/>
    <s v="10"/>
    <x v="80"/>
    <x v="80"/>
    <x v="15"/>
    <s v="UN"/>
    <s v="1208"/>
    <s v="ND"/>
    <s v="ND"/>
    <d v="2025-12-11T00:00:00"/>
    <s v="147584     JA INDUSTRIA DEL PAPEL EIRL"/>
    <n v="2372.88"/>
    <s v="PEN"/>
    <n v="100"/>
    <s v="UN"/>
    <n v="1102"/>
    <n v="1"/>
    <n v="4500879636"/>
    <s v="OFICFORMT"/>
    <s v="JLIZARRAGA"/>
    <s v="193"/>
    <s v="MRP-C.DIST C"/>
    <s v="TRAN"/>
    <n v="0"/>
    <s v="B"/>
    <s v="I08"/>
    <s v="ZEX2"/>
    <s v="4500879707"/>
    <s v="30"/>
    <n v="46002"/>
    <n v="45967"/>
    <n v="45967"/>
    <n v="45997"/>
    <n v="29"/>
    <n v="11"/>
    <s v="PEN"/>
    <n v="55"/>
    <s v="1989526-1-PRD.-CHBT-GES.AMBIEN"/>
    <n v="1989526"/>
    <m/>
    <s v="1054823910"/>
    <n v="-151"/>
    <s v="ATRASADO"/>
    <s v="BLAPA"/>
  </r>
  <r>
    <d v="2026-03-11T00:00:00"/>
    <s v="10561313"/>
    <s v="10"/>
    <x v="81"/>
    <x v="81"/>
    <x v="23"/>
    <s v="UN"/>
    <s v="1208"/>
    <s v="ND"/>
    <s v="ND"/>
    <d v="2026-01-09T00:00:00"/>
    <s v="131560     HS IMPRESORES EIRL"/>
    <n v="30"/>
    <s v="PEN"/>
    <n v="1"/>
    <s v="UN"/>
    <n v="1208"/>
    <n v="2"/>
    <n v="4500885108"/>
    <s v="OFICFORMT"/>
    <s v="JFLORES"/>
    <s v="193"/>
    <s v="MRP-C.DIST C"/>
    <s v="TRAN"/>
    <n v="0"/>
    <s v="N"/>
    <s v="I08"/>
    <s v="ZEX2"/>
    <m/>
    <s v="0"/>
    <m/>
    <n v="46092"/>
    <n v="46105"/>
    <n v="46093"/>
    <n v="29"/>
    <n v="30"/>
    <s v="PEN"/>
    <n v="600"/>
    <s v="2014505-2-PRD.-CHBT-ADMINIST."/>
    <n v="2014505"/>
    <m/>
    <s v="1056131310"/>
    <n v="-26"/>
    <s v="ATRASADO"/>
    <s v="BLAPA"/>
  </r>
  <r>
    <d v="2026-03-17T00:00:00"/>
    <s v="10561759"/>
    <s v="1000"/>
    <x v="82"/>
    <x v="82"/>
    <x v="23"/>
    <s v="UN"/>
    <s v="1208"/>
    <s v="ND"/>
    <s v="ND"/>
    <d v="2025-12-30T00:00:00"/>
    <s v="131560     HS IMPRESORES EIRL"/>
    <n v="13"/>
    <s v="PEN"/>
    <n v="1"/>
    <s v="UN"/>
    <n v="1208"/>
    <n v="10"/>
    <n v="4500883768"/>
    <s v="OFICFORMT"/>
    <s v="MRP-C.DIST C"/>
    <s v="180"/>
    <s v="MRP-C.DIST C"/>
    <s v="TRAN"/>
    <n v="0"/>
    <s v="N"/>
    <s v="I08"/>
    <s v="ZEX1"/>
    <m/>
    <s v="0"/>
    <m/>
    <n v="46108"/>
    <n v="46098"/>
    <n v="46137"/>
    <n v="29"/>
    <n v="12.96"/>
    <s v="PEN"/>
    <n v="259.2"/>
    <m/>
    <m/>
    <m/>
    <s v="105617591000"/>
    <n v="-20"/>
    <s v="ATRASADO"/>
    <s v="BLAPA"/>
  </r>
  <r>
    <d v="2026-03-25T00:00:00"/>
    <s v="10562758"/>
    <s v="1000"/>
    <x v="83"/>
    <x v="83"/>
    <x v="6"/>
    <s v="UN"/>
    <s v="1606"/>
    <s v="ND"/>
    <s v="ND"/>
    <d v="2026-02-13T00:00:00"/>
    <s v="147584     JA INDUSTRIA DEL PAPEL EIRL"/>
    <n v="127.11"/>
    <s v="PEN"/>
    <n v="10"/>
    <s v="UN"/>
    <n v="1102"/>
    <n v="10"/>
    <n v="4500890694"/>
    <s v="OFICFORMT"/>
    <s v="MRP-PAITA CH"/>
    <s v="198"/>
    <s v="MRP-PAITA CH"/>
    <s v="TRAN"/>
    <n v="0"/>
    <s v="N"/>
    <s v="D06"/>
    <s v="ZEX1"/>
    <m/>
    <s v="0"/>
    <m/>
    <n v="46106"/>
    <n v="46106"/>
    <n v="46135"/>
    <n v="29"/>
    <n v="13.03"/>
    <s v="PEN"/>
    <n v="130.30000000000001"/>
    <m/>
    <m/>
    <m/>
    <s v="105627581000"/>
    <n v="-12"/>
    <s v="ATRASADO"/>
    <s v="BLAPA"/>
  </r>
  <r>
    <d v="2026-04-02T00:00:00"/>
    <s v="10563993"/>
    <s v="10"/>
    <x v="84"/>
    <x v="84"/>
    <x v="5"/>
    <s v="UN"/>
    <s v="1207"/>
    <s v="ND"/>
    <s v="ND"/>
    <d v="2026-03-31T00:00:00"/>
    <s v="147584     JA INDUSTRIA DEL PAPEL EIRL"/>
    <n v="24.36"/>
    <s v="PEN"/>
    <n v="1"/>
    <s v="UN"/>
    <n v="1207"/>
    <n v="1"/>
    <n v="4500898456"/>
    <s v="OFICFORMT"/>
    <s v="RTOLENTINO"/>
    <s v="180"/>
    <s v="MRP-ALM.CENT"/>
    <s v="0050"/>
    <n v="0"/>
    <s v="N"/>
    <s v="Z01"/>
    <s v="ZEX2"/>
    <m/>
    <s v="0"/>
    <m/>
    <n v="46114"/>
    <n v="46114"/>
    <n v="46115"/>
    <n v="0"/>
    <n v="25.77"/>
    <s v="PEN"/>
    <n v="25.77"/>
    <s v="2017766-7-CARMTReq.MaterialesEconomato"/>
    <n v="4214658"/>
    <m/>
    <s v="1056399310"/>
    <n v="-4"/>
    <s v="ATRASADO"/>
    <s v="BLAPA"/>
  </r>
  <r>
    <d v="2026-04-05T00:00:00"/>
    <s v="10564131"/>
    <s v="10"/>
    <x v="85"/>
    <x v="85"/>
    <x v="5"/>
    <s v="UN"/>
    <s v="1207"/>
    <s v="ND"/>
    <s v="ND"/>
    <d v="2025-12-29T00:00:00"/>
    <s v="105333     MEDINA DE JIMENEZ LUISA"/>
    <n v="350"/>
    <s v="PEN"/>
    <n v="1"/>
    <s v="UN"/>
    <n v="1207"/>
    <n v="1"/>
    <n v="4500882832"/>
    <s v="OFICFORMT"/>
    <s v="RTOLENTINO"/>
    <s v="180"/>
    <s v="MRP-ALM.CENT"/>
    <s v="0050"/>
    <n v="0"/>
    <s v="N"/>
    <s v="Z01"/>
    <s v="ZEX2"/>
    <m/>
    <s v="0"/>
    <m/>
    <n v="46117"/>
    <n v="46117"/>
    <n v="46118"/>
    <n v="0"/>
    <n v="350"/>
    <s v="PEN"/>
    <n v="350"/>
    <s v="2008359-11-VICSAReq.MaterialEconomatoVeda2026-1"/>
    <n v="4211609"/>
    <m/>
    <s v="1056413110"/>
    <n v="-1"/>
    <s v="ATRASADO"/>
    <s v="BLAPA"/>
  </r>
  <r>
    <d v="2026-04-08T00:00:00"/>
    <s v="10564626"/>
    <s v="10"/>
    <x v="86"/>
    <x v="86"/>
    <x v="5"/>
    <s v="UN"/>
    <s v="1207"/>
    <s v="ND"/>
    <s v="ND"/>
    <d v="2026-03-04T00:00:00"/>
    <s v="147584     JA INDUSTRIA DEL PAPEL EIRL"/>
    <n v="135.59"/>
    <s v="PEN"/>
    <n v="20"/>
    <s v="UN"/>
    <n v="1207"/>
    <n v="20"/>
    <n v="4500894087"/>
    <s v="OFICFORMT"/>
    <s v="HCULQUI"/>
    <s v="180"/>
    <s v="MRP-ALM.CENT"/>
    <s v="0050"/>
    <n v="0"/>
    <s v="N"/>
    <s v="Z02"/>
    <s v="ZEX2"/>
    <m/>
    <s v="0"/>
    <m/>
    <n v="46120"/>
    <n v="46120"/>
    <n v="46121"/>
    <n v="0"/>
    <n v="7.86"/>
    <s v="PEN"/>
    <n v="7.86"/>
    <s v="2018883-2-PRD.-CALL-CALIDAD"/>
    <n v="2018883"/>
    <m/>
    <s v="1056462610"/>
    <n v="2"/>
    <s v="A TIEMPO"/>
    <s v="BLAPA"/>
  </r>
  <r>
    <d v="2026-03-05T00:00:00"/>
    <s v="10560579"/>
    <s v="10"/>
    <x v="87"/>
    <x v="87"/>
    <x v="26"/>
    <s v="UN"/>
    <s v="1207"/>
    <s v="ND"/>
    <s v="ND"/>
    <m/>
    <m/>
    <m/>
    <m/>
    <m/>
    <m/>
    <m/>
    <m/>
    <m/>
    <s v="OFICINVEN"/>
    <s v="RANTEPARRA"/>
    <s v="180"/>
    <s v="FTORRES"/>
    <s v="0050"/>
    <n v="0"/>
    <s v="N"/>
    <s v="I07"/>
    <s v="ZEX3"/>
    <m/>
    <s v="0"/>
    <m/>
    <n v="46086"/>
    <n v="46086"/>
    <n v="46086"/>
    <n v="0"/>
    <n v="0.08"/>
    <s v="PEN"/>
    <n v="320"/>
    <m/>
    <m/>
    <m/>
    <s v="1056057910"/>
    <n v="-32"/>
    <s v="ATRASADO"/>
    <s v="BLAPA"/>
  </r>
  <r>
    <d v="2026-03-05T00:00:00"/>
    <s v="10560579"/>
    <s v="20"/>
    <x v="88"/>
    <x v="88"/>
    <x v="26"/>
    <s v="UN"/>
    <s v="1207"/>
    <s v="ND"/>
    <s v="ND"/>
    <m/>
    <m/>
    <m/>
    <m/>
    <m/>
    <m/>
    <m/>
    <m/>
    <m/>
    <s v="OFICINVEN"/>
    <s v="RANTEPARRA"/>
    <s v="180"/>
    <s v="FTORRES"/>
    <s v="0050"/>
    <n v="0"/>
    <s v="N"/>
    <s v="I07"/>
    <s v="ZEX3"/>
    <m/>
    <s v="0"/>
    <m/>
    <n v="46086"/>
    <n v="46086"/>
    <n v="46086"/>
    <n v="0"/>
    <n v="0.08"/>
    <s v="PEN"/>
    <n v="320"/>
    <m/>
    <m/>
    <m/>
    <s v="1056057920"/>
    <n v="-32"/>
    <s v="ATRASADO"/>
    <s v="BLAPA"/>
  </r>
  <r>
    <d v="2026-03-31T00:00:00"/>
    <s v="10563583"/>
    <s v="1000"/>
    <x v="89"/>
    <x v="89"/>
    <x v="27"/>
    <s v="MIL"/>
    <s v="1207"/>
    <n v="10.55"/>
    <n v="147322"/>
    <d v="2026-03-30T00:00:00"/>
    <s v="106556     PLANETA SRL"/>
    <n v="17.96"/>
    <s v="PEN"/>
    <n v="1"/>
    <s v="MIL"/>
    <n v="1606"/>
    <n v="15"/>
    <n v="4500898166"/>
    <s v="OFICPAPEL"/>
    <s v="MRP-ALM.CENT"/>
    <s v="185"/>
    <s v="MRP-ALM.CENT"/>
    <s v="0050"/>
    <n v="0"/>
    <s v="N"/>
    <s v="I07"/>
    <s v="ZEX1"/>
    <m/>
    <s v="0"/>
    <m/>
    <n v="46121"/>
    <n v="46112"/>
    <n v="46150"/>
    <n v="29"/>
    <n v="21.1"/>
    <s v="PEN"/>
    <n v="1371.5"/>
    <m/>
    <m/>
    <m/>
    <s v="105635831000"/>
    <n v="-6"/>
    <s v="ATRASADO"/>
    <s v="BLAPA"/>
  </r>
  <r>
    <d v="2026-03-06T00:00:00"/>
    <s v="10560721"/>
    <s v="50"/>
    <x v="90"/>
    <x v="90"/>
    <x v="4"/>
    <s v="UN"/>
    <s v="1103"/>
    <m/>
    <m/>
    <d v="2026-02-17T00:00:00"/>
    <s v="150171     COMERCIO PERU FENIX EIRL"/>
    <n v="1.91"/>
    <s v="PEN"/>
    <n v="1"/>
    <s v="UN"/>
    <n v="1207"/>
    <n v="2"/>
    <n v="4500891188"/>
    <s v="PVCCONEC"/>
    <s v="JCRUZ"/>
    <s v="180"/>
    <s v="MRP-CHICAMA"/>
    <s v="TRAN"/>
    <n v="0"/>
    <s v="N"/>
    <s v="I03"/>
    <s v="ZEX2"/>
    <m/>
    <s v="0"/>
    <m/>
    <n v="46087"/>
    <n v="46087"/>
    <n v="46088"/>
    <n v="0"/>
    <n v="1"/>
    <s v="PEN"/>
    <n v="2"/>
    <s v="2007961-39-CAMBIODETOBOGANESDETOLVA3APOZAS"/>
    <n v="4211438"/>
    <m/>
    <s v="1056072150"/>
    <n v="-31"/>
    <s v="ATRASADO"/>
    <s v="BLAPA"/>
  </r>
  <r>
    <d v="2026-03-13T00:00:00"/>
    <s v="10561616"/>
    <s v="120"/>
    <x v="91"/>
    <x v="91"/>
    <x v="9"/>
    <s v="UN"/>
    <s v="1606"/>
    <m/>
    <m/>
    <m/>
    <m/>
    <m/>
    <m/>
    <m/>
    <m/>
    <m/>
    <m/>
    <m/>
    <s v="PVCCONEC"/>
    <s v="RSILVA"/>
    <s v="198"/>
    <s v="MRP-PAITA CH"/>
    <s v="TRAN"/>
    <n v="0"/>
    <s v="N"/>
    <s v="D06"/>
    <s v="ZEX2"/>
    <m/>
    <s v="0"/>
    <m/>
    <n v="46094"/>
    <n v="46094"/>
    <n v="46095"/>
    <n v="0"/>
    <n v="6.9"/>
    <s v="PEN"/>
    <n v="41.4"/>
    <s v="2014727-17-MTTODELINEADEAGUA-PLTACONGELADO"/>
    <n v="6200000129"/>
    <m/>
    <s v="10561616120"/>
    <n v="-24"/>
    <s v="ATRASADO"/>
    <s v="BLAPA"/>
  </r>
  <r>
    <d v="2026-03-06T00:00:00"/>
    <s v="10560721"/>
    <s v="20"/>
    <x v="92"/>
    <x v="92"/>
    <x v="5"/>
    <s v="UN"/>
    <s v="1103"/>
    <s v="ND"/>
    <s v="ND"/>
    <m/>
    <m/>
    <m/>
    <m/>
    <m/>
    <m/>
    <m/>
    <m/>
    <m/>
    <s v="PVCTUBOS"/>
    <s v="JCRUZ"/>
    <s v="180"/>
    <s v="MRP-CHICAMA"/>
    <s v="TRAN"/>
    <n v="0"/>
    <s v="N"/>
    <s v="I03"/>
    <s v="ZEX2"/>
    <m/>
    <s v="0"/>
    <m/>
    <n v="46087"/>
    <n v="46087"/>
    <n v="46088"/>
    <n v="29"/>
    <n v="62.27"/>
    <s v="PEN"/>
    <n v="62.27"/>
    <s v="2007961-36-CAMBIODETOBOGANESDETOLVA3APOZAS"/>
    <n v="4211438"/>
    <m/>
    <s v="1056072120"/>
    <n v="-31"/>
    <s v="ATRASADO"/>
    <s v="BLAPA"/>
  </r>
  <r>
    <d v="2026-03-06T00:00:00"/>
    <s v="10560721"/>
    <s v="40"/>
    <x v="93"/>
    <x v="93"/>
    <x v="5"/>
    <s v="UN"/>
    <s v="1103"/>
    <s v="ND"/>
    <s v="ND"/>
    <m/>
    <m/>
    <m/>
    <m/>
    <m/>
    <m/>
    <m/>
    <m/>
    <m/>
    <s v="PVCTUBOS"/>
    <s v="JCRUZ"/>
    <s v="180"/>
    <s v="MRP-CHICAMA"/>
    <s v="TRAN"/>
    <n v="0"/>
    <s v="N"/>
    <s v="I03"/>
    <s v="ZEX2"/>
    <m/>
    <s v="0"/>
    <m/>
    <n v="46087"/>
    <n v="46087"/>
    <n v="46088"/>
    <n v="0"/>
    <n v="25.8"/>
    <s v="PEN"/>
    <n v="25.8"/>
    <s v="2007961-38-CAMBIODETOBOGANESDETOLVA3APOZAS"/>
    <n v="4211438"/>
    <m/>
    <s v="1056072140"/>
    <n v="-31"/>
    <s v="ATRASADO"/>
    <s v="BLAPA"/>
  </r>
  <r>
    <d v="2026-03-23T00:00:00"/>
    <s v="10562382"/>
    <s v="40"/>
    <x v="94"/>
    <x v="94"/>
    <x v="12"/>
    <s v="UN"/>
    <s v="1101"/>
    <m/>
    <m/>
    <d v="2026-02-27T00:00:00"/>
    <s v="152326     FERRETERIA DEL PACIFICO SAC"/>
    <n v="18.350000000000001"/>
    <s v="PEN"/>
    <n v="1"/>
    <s v="UN"/>
    <n v="1101"/>
    <n v="3"/>
    <n v="4500893200"/>
    <s v="PVCTUBOS"/>
    <s v="LBELLODAS"/>
    <s v="180"/>
    <s v="MRP-T.MORA"/>
    <s v="TRAN"/>
    <n v="0"/>
    <s v="N"/>
    <s v="I01"/>
    <s v="ZEX2"/>
    <m/>
    <s v="0"/>
    <m/>
    <n v="46104"/>
    <n v="46104"/>
    <n v="46105"/>
    <n v="0"/>
    <n v="22.38"/>
    <s v="PEN"/>
    <n v="179.04"/>
    <s v="2009002-13-COMPRADEBOMBA30M3PARAESPUMA"/>
    <n v="4211936"/>
    <m/>
    <s v="1056238240"/>
    <n v="-14"/>
    <s v="ATRASADO"/>
    <s v="BLAPA"/>
  </r>
  <r>
    <d v="2026-03-23T00:00:00"/>
    <s v="10562433"/>
    <s v="70"/>
    <x v="94"/>
    <x v="94"/>
    <x v="12"/>
    <s v="UN"/>
    <s v="1101"/>
    <m/>
    <m/>
    <d v="2026-02-27T00:00:00"/>
    <s v="152326     FERRETERIA DEL PACIFICO SAC"/>
    <n v="18.350000000000001"/>
    <s v="PEN"/>
    <n v="1"/>
    <s v="UN"/>
    <n v="1101"/>
    <n v="3"/>
    <n v="4500893200"/>
    <s v="PVCTUBOS"/>
    <s v="LBELLODAS"/>
    <s v="180"/>
    <s v="MRP-T.MORA"/>
    <s v="TRAN"/>
    <n v="0"/>
    <s v="N"/>
    <s v="I01"/>
    <s v="ZEX2"/>
    <m/>
    <s v="0"/>
    <m/>
    <n v="46104"/>
    <n v="46104"/>
    <n v="46105"/>
    <n v="0"/>
    <n v="22.38"/>
    <s v="PEN"/>
    <n v="179.04"/>
    <s v="2009003-19-COMPRABOMBALICORDEESPUMA"/>
    <n v="4211937"/>
    <m/>
    <s v="1056243370"/>
    <n v="-14"/>
    <s v="ATRASADO"/>
    <s v="BLAPA"/>
  </r>
  <r>
    <d v="2026-04-01T00:00:00"/>
    <s v="10563825"/>
    <s v="10"/>
    <x v="95"/>
    <x v="95"/>
    <x v="11"/>
    <s v="UN"/>
    <s v="1101"/>
    <m/>
    <m/>
    <d v="2026-02-17T00:00:00"/>
    <s v="152326     FERRETERIA DEL PACIFICO SAC"/>
    <n v="12.23"/>
    <s v="PEN"/>
    <n v="1"/>
    <s v="UN"/>
    <n v="1101"/>
    <n v="3"/>
    <n v="4500891187"/>
    <s v="PVCTUBOS"/>
    <s v="SCP_FIORI"/>
    <s v="180"/>
    <s v="MRP-T.MORA"/>
    <s v="TRAN"/>
    <n v="0"/>
    <s v="N"/>
    <s v="I01"/>
    <s v="ZEX2"/>
    <m/>
    <s v="0"/>
    <m/>
    <n v="46113"/>
    <n v="46113"/>
    <n v="46114"/>
    <n v="0"/>
    <n v="11.98"/>
    <s v="PEN"/>
    <n v="47.92"/>
    <s v="2000947-27-CAMBIARTUBERIAROTAS-PAMITA"/>
    <n v="4208778"/>
    <m/>
    <s v="1056382510"/>
    <n v="-5"/>
    <s v="ATRASADO"/>
    <s v="BLAPA"/>
  </r>
  <r>
    <d v="2026-04-06T00:00:00"/>
    <s v="10564338"/>
    <s v="20"/>
    <x v="96"/>
    <x v="96"/>
    <x v="15"/>
    <s v="UN"/>
    <s v="1103"/>
    <m/>
    <m/>
    <d v="2025-12-05T00:00:00"/>
    <s v="152326     FERRETERIA DEL PACIFICO SAC"/>
    <n v="4.08"/>
    <s v="PEN"/>
    <n v="1"/>
    <s v="UN"/>
    <n v="1103"/>
    <n v="5"/>
    <n v="4500878788"/>
    <s v="PVCTUBOS"/>
    <s v="SCP_FIORI"/>
    <s v="180"/>
    <s v="MRP-CHICAMA"/>
    <s v="TRAN"/>
    <n v="0"/>
    <s v="N"/>
    <s v="I03"/>
    <s v="ZEX2"/>
    <m/>
    <s v="0"/>
    <m/>
    <n v="46118"/>
    <n v="46118"/>
    <n v="46119"/>
    <n v="0"/>
    <n v="4.08"/>
    <s v="PEN"/>
    <n v="20.399999999999999"/>
    <s v="2017691-4-CPINSTALTARJETNEUMATEXTRACTPOZ#2"/>
    <n v="4214619"/>
    <m/>
    <s v="1056433820"/>
    <n v="0"/>
    <s v="A TIEMPO"/>
    <s v="BLAPA"/>
  </r>
  <r>
    <d v="2026-04-07T00:00:00"/>
    <s v="10564397"/>
    <s v="1000"/>
    <x v="97"/>
    <x v="97"/>
    <x v="8"/>
    <s v="UN"/>
    <s v="1102"/>
    <s v="ND"/>
    <s v="ND"/>
    <d v="2026-02-16T00:00:00"/>
    <s v="104029     IMPORTADORA DE RODAMIENTOS SAC"/>
    <n v="17.29"/>
    <s v="USD"/>
    <n v="1"/>
    <s v="UN"/>
    <n v="1207"/>
    <n v="20"/>
    <n v="4500890970"/>
    <s v="TRANFAJAS"/>
    <s v="MRP-HUACHO"/>
    <s v="180"/>
    <s v="MRP-HUACHO"/>
    <s v="0050"/>
    <n v="0"/>
    <s v="N"/>
    <s v="I02"/>
    <s v="ZEX1"/>
    <m/>
    <s v="0"/>
    <m/>
    <n v="46119"/>
    <n v="46119"/>
    <n v="46150"/>
    <n v="29"/>
    <n v="60.28"/>
    <s v="PEN"/>
    <n v="180.84"/>
    <m/>
    <m/>
    <m/>
    <s v="105643971000"/>
    <n v="1"/>
    <s v="A TIEMPO"/>
    <s v="BLAPA"/>
  </r>
  <r>
    <d v="2026-04-08T00:00:00"/>
    <s v="10564567"/>
    <s v="1000"/>
    <x v="98"/>
    <x v="98"/>
    <x v="8"/>
    <s v="UN"/>
    <s v="1207"/>
    <s v="ND"/>
    <s v="ND"/>
    <d v="2026-03-27T00:00:00"/>
    <s v="104029     IMPORTADORA DE RODAMIENTOS SAC"/>
    <n v="96.08"/>
    <s v="USD"/>
    <n v="1"/>
    <s v="UN"/>
    <n v="1207"/>
    <n v="2"/>
    <n v="4500897797"/>
    <s v="RODARODAM"/>
    <s v="MRP-ALM.CENT"/>
    <s v="185"/>
    <s v="MRP-ALM.CENT"/>
    <s v="0050"/>
    <n v="0"/>
    <s v="N"/>
    <s v="I07"/>
    <s v="ZEX1"/>
    <m/>
    <s v="0"/>
    <m/>
    <n v="46120"/>
    <n v="46120"/>
    <n v="46149"/>
    <n v="29"/>
    <n v="338.55"/>
    <s v="PEN"/>
    <n v="1015.65"/>
    <m/>
    <m/>
    <m/>
    <s v="105645671000"/>
    <n v="2"/>
    <s v="A TIEMPO"/>
    <s v="BLAPA"/>
  </r>
  <r>
    <d v="2026-03-18T00:00:00"/>
    <s v="10561938"/>
    <s v="20"/>
    <x v="99"/>
    <x v="99"/>
    <x v="24"/>
    <s v="UN"/>
    <s v="1207"/>
    <s v="ND"/>
    <s v="ND"/>
    <m/>
    <s v="COTIZAR"/>
    <m/>
    <m/>
    <m/>
    <m/>
    <m/>
    <m/>
    <m/>
    <s v="RODARETEN"/>
    <s v="SCP_FIORI"/>
    <s v="180"/>
    <s v="MRP-ALM.CENT"/>
    <s v="0050"/>
    <n v="0"/>
    <s v="N"/>
    <s v="I07"/>
    <s v="ZEX2"/>
    <m/>
    <s v="0"/>
    <m/>
    <n v="46099"/>
    <n v="46099"/>
    <n v="46100"/>
    <n v="0"/>
    <n v="33.07"/>
    <s v="PEN"/>
    <n v="231.49"/>
    <s v="2015262-4-REPARARBBAGORMANRUPPSTEL"/>
    <n v="4213917"/>
    <m/>
    <s v="1056193820"/>
    <n v="-19"/>
    <s v="ATRASADO"/>
    <s v="BLAPA"/>
  </r>
  <r>
    <d v="2026-04-07T00:00:00"/>
    <s v="10564415"/>
    <s v="1000"/>
    <x v="100"/>
    <x v="100"/>
    <x v="9"/>
    <s v="UN"/>
    <s v="1207"/>
    <s v="ND"/>
    <s v="ND"/>
    <d v="2025-11-19T00:00:00"/>
    <s v="104029     IMPORTADORA DE RODAMIENTOS SAC"/>
    <n v="8.91"/>
    <s v="USD"/>
    <n v="1"/>
    <s v="UN"/>
    <n v="1207"/>
    <n v="6"/>
    <n v="4500875161"/>
    <s v="TRANFAJAS"/>
    <s v="MRP-ALM.CENT"/>
    <s v="185"/>
    <s v="MRP-ALM.CENT"/>
    <s v="0050"/>
    <n v="0"/>
    <s v="N"/>
    <s v="I07"/>
    <s v="ZEX1"/>
    <m/>
    <s v="0"/>
    <m/>
    <n v="46119"/>
    <n v="46119"/>
    <n v="46148"/>
    <n v="29"/>
    <n v="30.18"/>
    <s v="PEN"/>
    <n v="181.08"/>
    <m/>
    <m/>
    <m/>
    <s v="105644151000"/>
    <n v="1"/>
    <s v="A TIEMPO"/>
    <s v="BLAPA"/>
  </r>
  <r>
    <d v="2026-04-08T00:00:00"/>
    <s v="10564592"/>
    <s v="10"/>
    <x v="101"/>
    <x v="101"/>
    <x v="8"/>
    <s v="UN"/>
    <s v="1207"/>
    <s v="ND"/>
    <s v="ND"/>
    <d v="2026-04-06T00:00:00"/>
    <s v="104029     IMPORTADORA DE RODAMIENTOS SAC"/>
    <n v="3.55"/>
    <s v="USD"/>
    <n v="1"/>
    <s v="UN"/>
    <n v="1207"/>
    <n v="3"/>
    <n v="4500898919"/>
    <s v="TRANFAJAS"/>
    <s v="ANORIEGA"/>
    <s v="180"/>
    <s v="MRP-ALM.CENT"/>
    <s v="0050"/>
    <n v="0"/>
    <s v="N"/>
    <s v="Z01"/>
    <s v="ZEX2"/>
    <m/>
    <s v="0"/>
    <m/>
    <n v="46120"/>
    <n v="46120"/>
    <n v="46121"/>
    <n v="0"/>
    <n v="12.05"/>
    <s v="PEN"/>
    <n v="36.15"/>
    <s v="2017753-2-DVCTR-PMCONSUMIBLESMOTORPANGA"/>
    <n v="4214647"/>
    <m/>
    <s v="1056459210"/>
    <n v="2"/>
    <s v="A TIEMPO"/>
    <s v="BLAPA"/>
  </r>
  <r>
    <d v="2026-04-07T00:00:00"/>
    <s v="10564480"/>
    <s v="10"/>
    <x v="102"/>
    <x v="102"/>
    <x v="5"/>
    <s v="UN"/>
    <s v="1208"/>
    <s v="ND"/>
    <s v="ND"/>
    <d v="2026-03-31T00:00:00"/>
    <s v="104029     IMPORTADORA DE RODAMIENTOS SAC"/>
    <n v="54"/>
    <s v="USD"/>
    <n v="1"/>
    <s v="UN"/>
    <n v="1103"/>
    <n v="4"/>
    <n v="4500898485"/>
    <s v="RODACHUMA"/>
    <s v="SCP_FIORI"/>
    <s v="193"/>
    <s v="MRP-C.DIST C"/>
    <s v="TRAN"/>
    <n v="0"/>
    <s v="N"/>
    <s v="I08"/>
    <s v="ZEX2"/>
    <m/>
    <s v="0"/>
    <m/>
    <n v="46119"/>
    <n v="46119"/>
    <n v="46149"/>
    <n v="29"/>
    <n v="132.35"/>
    <s v="PEN"/>
    <n v="132.35"/>
    <s v="2018621-1-CAMBIODEMANGUITOMOLINOHUMEDON1"/>
    <n v="4214838"/>
    <m/>
    <s v="1056448010"/>
    <n v="1"/>
    <s v="A TIEMPO"/>
    <s v="BLAPA"/>
  </r>
  <r>
    <d v="2026-04-07T00:00:00"/>
    <s v="10564481"/>
    <s v="10"/>
    <x v="103"/>
    <x v="103"/>
    <x v="4"/>
    <s v="UN"/>
    <s v="1208"/>
    <s v="ND"/>
    <s v="ND"/>
    <d v="2026-03-27T00:00:00"/>
    <s v="104029     IMPORTADORA DE RODAMIENTOS SAC"/>
    <n v="20.84"/>
    <s v="USD"/>
    <n v="1"/>
    <s v="UN"/>
    <n v="1208"/>
    <n v="1"/>
    <n v="4500897798"/>
    <s v="RODACHUMA"/>
    <s v="SCP_FIORI"/>
    <s v="180"/>
    <s v="MRP-C.DIST C"/>
    <s v="TRAN"/>
    <n v="0"/>
    <s v="N"/>
    <s v="I08"/>
    <s v="ZEX2"/>
    <m/>
    <s v="0"/>
    <m/>
    <n v="46119"/>
    <n v="46119"/>
    <n v="46149"/>
    <n v="29"/>
    <n v="72.84"/>
    <s v="PEN"/>
    <n v="145.68"/>
    <s v="2018624-1-CAMBIODEMANGUITOMOLINOHUMEDON2"/>
    <n v="4214840"/>
    <m/>
    <s v="1056448110"/>
    <n v="1"/>
    <s v="A TIEMPO"/>
    <s v="BLAPA"/>
  </r>
  <r>
    <d v="2026-04-06T00:00:00"/>
    <s v="10564383"/>
    <s v="30"/>
    <x v="104"/>
    <x v="104"/>
    <x v="11"/>
    <s v="UN"/>
    <s v="1601"/>
    <s v="ND"/>
    <s v="ND"/>
    <d v="2025-09-30T00:00:00"/>
    <s v="108178     TECNIFAJAS SA"/>
    <n v="0.51"/>
    <s v="USD"/>
    <n v="1"/>
    <s v="UN"/>
    <n v="1601"/>
    <n v="20"/>
    <n v="4500867061"/>
    <s v="RODASEEGE"/>
    <s v="MGARCIAM"/>
    <s v="198"/>
    <s v="MRP-T.MORA C"/>
    <s v="TRAN"/>
    <n v="0"/>
    <s v="N"/>
    <s v="D01"/>
    <s v="ZEX2"/>
    <m/>
    <s v="0"/>
    <m/>
    <n v="46118"/>
    <n v="46118"/>
    <n v="46119"/>
    <n v="0"/>
    <n v="1.72"/>
    <s v="PEN"/>
    <n v="6.88"/>
    <s v="2018480-3-cambioderodajesyretenesenpeladora"/>
    <n v="6200000130"/>
    <m/>
    <s v="1056438330"/>
    <n v="0"/>
    <s v="A TIEMPO"/>
    <s v="BLAPA"/>
  </r>
  <r>
    <d v="2026-03-16T00:00:00"/>
    <s v="10561681"/>
    <s v="20"/>
    <x v="105"/>
    <x v="105"/>
    <x v="10"/>
    <s v="UN"/>
    <s v="1207"/>
    <m/>
    <m/>
    <m/>
    <m/>
    <m/>
    <m/>
    <m/>
    <m/>
    <m/>
    <m/>
    <m/>
    <s v="SUJEABRAZ"/>
    <s v="EFIESTAS"/>
    <s v="180"/>
    <s v="MRP-ALM.CENT"/>
    <s v="0050"/>
    <n v="0"/>
    <s v="N"/>
    <s v="Z01"/>
    <s v="ZEX2"/>
    <m/>
    <s v="0"/>
    <m/>
    <n v="46097"/>
    <n v="46097"/>
    <n v="46098"/>
    <n v="29"/>
    <n v="1.87"/>
    <s v="PEN"/>
    <n v="22.44"/>
    <s v="2014011-2-IPANE-ENFIBRARTUBERIASDEPETROLEO"/>
    <n v="4213624"/>
    <m/>
    <s v="1056168120"/>
    <n v="-21"/>
    <s v="ATRASADO"/>
    <s v="BLAPA"/>
  </r>
  <r>
    <d v="2026-03-16T00:00:00"/>
    <s v="10561722"/>
    <s v="10"/>
    <x v="106"/>
    <x v="106"/>
    <x v="4"/>
    <s v="UN"/>
    <s v="1103"/>
    <m/>
    <m/>
    <m/>
    <m/>
    <m/>
    <m/>
    <m/>
    <m/>
    <m/>
    <m/>
    <m/>
    <s v="SUJEABRAZ"/>
    <s v="GROMAN"/>
    <s v="180"/>
    <s v="MRP-CHICAMA"/>
    <s v="TRAN"/>
    <n v="0"/>
    <s v="N"/>
    <s v="I03"/>
    <s v="ZEX2"/>
    <m/>
    <s v="0"/>
    <m/>
    <n v="46097"/>
    <n v="46097"/>
    <n v="46098"/>
    <n v="0"/>
    <n v="21.81"/>
    <s v="PEN"/>
    <n v="43.62"/>
    <s v="1981713-8-2.-CAPEXEXT.EQUIPOSEINSTALACIÓNDES"/>
    <n v="4204679"/>
    <s v="ASESEXTER"/>
    <s v="1056172210"/>
    <n v="-21"/>
    <s v="ATRASADO"/>
    <s v="BLAPA"/>
  </r>
  <r>
    <d v="2026-03-27T00:00:00"/>
    <s v="10563117"/>
    <s v="1000"/>
    <x v="107"/>
    <x v="107"/>
    <x v="28"/>
    <s v="UN"/>
    <s v="1207"/>
    <n v="72.900000000000006"/>
    <n v="107912"/>
    <d v="2025-11-23T00:00:00"/>
    <s v="107912     CORPORACION LA SIRENA SAC"/>
    <n v="72.900000000000006"/>
    <s v="PEN"/>
    <n v="1"/>
    <s v="UN"/>
    <n v="1207"/>
    <n v="30"/>
    <n v="4500875820"/>
    <s v="FERRPEGAM"/>
    <s v="MRP-ALM.CENT"/>
    <s v="185"/>
    <s v="MRP-ALM.CENT"/>
    <s v="0050"/>
    <n v="0"/>
    <s v="N"/>
    <s v="I07"/>
    <s v="ZEX1"/>
    <m/>
    <s v="0"/>
    <m/>
    <n v="46121"/>
    <n v="46108"/>
    <n v="46150"/>
    <n v="29"/>
    <n v="69.849999999999994"/>
    <s v="PEN"/>
    <n v="2514.6"/>
    <m/>
    <m/>
    <m/>
    <s v="105631171000"/>
    <n v="-10"/>
    <s v="ATRASADO"/>
    <s v="BLAPA"/>
  </r>
  <r>
    <d v="2026-03-17T00:00:00"/>
    <s v="10561777"/>
    <s v="1000"/>
    <x v="108"/>
    <x v="108"/>
    <x v="29"/>
    <s v="UN"/>
    <s v="1207"/>
    <n v="12.87"/>
    <n v="107912"/>
    <d v="2025-08-21T00:00:00"/>
    <s v="152326     FERRETERIA DEL PACIFICO SAC"/>
    <n v="12.2339"/>
    <s v="PEN"/>
    <n v="100"/>
    <s v="UN"/>
    <n v="1207"/>
    <n v="96"/>
    <n v="4500860400"/>
    <s v="FERRPINTA"/>
    <s v="MRP-ALM.CENT"/>
    <s v="185"/>
    <s v="MRP-ALM.CENT"/>
    <s v="0050"/>
    <n v="0"/>
    <s v="N"/>
    <s v="I07"/>
    <s v="ZEX1"/>
    <m/>
    <s v="0"/>
    <m/>
    <n v="46121"/>
    <n v="46098"/>
    <n v="46150"/>
    <n v="29"/>
    <n v="12.34"/>
    <s v="PEN"/>
    <n v="1184.6400000000001"/>
    <m/>
    <m/>
    <m/>
    <s v="105617771000"/>
    <n v="-20"/>
    <s v="ATRASADO"/>
    <s v="BLAPA"/>
  </r>
  <r>
    <d v="2026-03-19T00:00:00"/>
    <s v="10562113"/>
    <s v="1000"/>
    <x v="109"/>
    <x v="109"/>
    <x v="30"/>
    <s v="UN"/>
    <s v="1207"/>
    <n v="29.24"/>
    <n v="107912"/>
    <m/>
    <m/>
    <m/>
    <m/>
    <m/>
    <m/>
    <m/>
    <m/>
    <m/>
    <s v="FERRPINTA"/>
    <s v="MRP-ALM.CENT"/>
    <s v="185"/>
    <s v="MRP-ALM.CENT"/>
    <s v="0050"/>
    <n v="0"/>
    <s v="N"/>
    <s v="I07"/>
    <s v="ZEX1"/>
    <m/>
    <s v="0"/>
    <m/>
    <n v="46121"/>
    <n v="46100"/>
    <n v="46150"/>
    <n v="29"/>
    <n v="29.24"/>
    <s v="PEN"/>
    <n v="2280.7199999999998"/>
    <m/>
    <m/>
    <m/>
    <s v="105621131000"/>
    <n v="-18"/>
    <s v="ATRASADO"/>
    <s v="BLAPA"/>
  </r>
  <r>
    <d v="2026-04-07T00:00:00"/>
    <s v="10564422"/>
    <s v="1000"/>
    <x v="110"/>
    <x v="110"/>
    <x v="31"/>
    <s v="UN"/>
    <s v="1207"/>
    <n v="9.08"/>
    <n v="107912"/>
    <d v="2026-01-30T00:00:00"/>
    <s v="107912     CORPORACION LA SIRENA SAC"/>
    <n v="9.08"/>
    <s v="PEN"/>
    <n v="1"/>
    <s v="UN"/>
    <n v="1207"/>
    <n v="300"/>
    <n v="4500888506"/>
    <s v="FERRPINTA"/>
    <s v="MRP-ALM.CENT"/>
    <s v="185"/>
    <s v="MRP-ALM.CENT"/>
    <s v="0050"/>
    <n v="0"/>
    <s v="N"/>
    <s v="I07"/>
    <s v="ZEX1"/>
    <m/>
    <s v="0"/>
    <m/>
    <n v="46121"/>
    <n v="46119"/>
    <n v="46150"/>
    <n v="29"/>
    <n v="9.08"/>
    <s v="PEN"/>
    <n v="3268.8"/>
    <m/>
    <m/>
    <m/>
    <s v="105644221000"/>
    <n v="1"/>
    <s v="A TIEMPO"/>
    <s v="BLAPA"/>
  </r>
  <r>
    <d v="2026-03-18T00:00:00"/>
    <s v="10562005"/>
    <s v="10"/>
    <x v="111"/>
    <x v="111"/>
    <x v="5"/>
    <s v="UN"/>
    <s v="1207"/>
    <n v="4.41"/>
    <n v="107912"/>
    <m/>
    <m/>
    <m/>
    <m/>
    <m/>
    <m/>
    <m/>
    <m/>
    <m/>
    <s v="SUJEABRAZ"/>
    <s v="EFIESTAS"/>
    <s v="180"/>
    <s v="MRP-ALM.CENT"/>
    <s v="0050"/>
    <n v="0"/>
    <s v="N"/>
    <s v="Z01"/>
    <s v="ZEX2"/>
    <m/>
    <s v="0"/>
    <m/>
    <n v="46099"/>
    <n v="46099"/>
    <n v="46100"/>
    <n v="0"/>
    <n v="6.62"/>
    <s v="PEN"/>
    <n v="6.62"/>
    <s v="2006752-18-CUZC4-CONSUMIBLESMOTORESAUXILIARES"/>
    <n v="4211077"/>
    <m/>
    <s v="1056200510"/>
    <n v="-19"/>
    <s v="ATRASADO"/>
    <s v="BLAPA"/>
  </r>
  <r>
    <d v="2026-04-09T00:00:00"/>
    <s v="10564744"/>
    <s v="1000"/>
    <x v="112"/>
    <x v="112"/>
    <x v="32"/>
    <s v="UN"/>
    <s v="1601"/>
    <n v="4.5599999999999996"/>
    <n v="107912"/>
    <d v="2026-02-05T00:00:00"/>
    <s v="107912     CORPORACION LA SIRENA SAC"/>
    <n v="4.5599999999999996"/>
    <s v="PEN"/>
    <n v="1"/>
    <s v="UN"/>
    <n v="1601"/>
    <n v="80"/>
    <n v="4500889491"/>
    <s v="SUJEABRAZ"/>
    <s v="MRP-T.MORA C"/>
    <s v="185"/>
    <s v="MRP-T.MORA C"/>
    <s v="TRAN"/>
    <n v="0"/>
    <s v="N"/>
    <s v="D01"/>
    <s v="ZEX1"/>
    <m/>
    <s v="0"/>
    <m/>
    <n v="46121"/>
    <n v="46121"/>
    <n v="46150"/>
    <n v="29"/>
    <n v="8.89"/>
    <s v="PEN"/>
    <n v="533.4"/>
    <m/>
    <m/>
    <m/>
    <s v="105647441000"/>
    <n v="3"/>
    <s v="A TIEMPO"/>
    <s v="BLAPA"/>
  </r>
  <r>
    <d v="2026-04-08T00:00:00"/>
    <s v="10564612"/>
    <s v="10"/>
    <x v="113"/>
    <x v="113"/>
    <x v="10"/>
    <s v="UN"/>
    <s v="1103"/>
    <n v="0.28000000000000003"/>
    <n v="151931"/>
    <d v="2026-03-13T00:00:00"/>
    <s v="151931     PERNOS Y TUERCAS SAN FRANCISCO SRL"/>
    <n v="0.28000000000000003"/>
    <s v="USD"/>
    <n v="1"/>
    <s v="UN"/>
    <n v="1208"/>
    <n v="20"/>
    <n v="4500895832"/>
    <s v="SUJEARAND"/>
    <s v="SCP_FIORI"/>
    <s v="180"/>
    <s v="MRP-CHICAMA"/>
    <s v="TRAN"/>
    <n v="0"/>
    <s v="N"/>
    <s v="I03"/>
    <s v="ZEX2"/>
    <m/>
    <s v="0"/>
    <m/>
    <n v="46120"/>
    <n v="46120"/>
    <n v="46121"/>
    <n v="0"/>
    <n v="0.66"/>
    <s v="PEN"/>
    <n v="7.92"/>
    <s v="2008934-8-PM6MMOTORCENTRIFUGAN°2"/>
    <n v="4211878"/>
    <m/>
    <s v="1056461210"/>
    <n v="2"/>
    <s v="A TIEMPO"/>
    <s v="BLAPA"/>
  </r>
  <r>
    <d v="2026-03-27T00:00:00"/>
    <s v="10563177"/>
    <s v="10"/>
    <x v="114"/>
    <x v="114"/>
    <x v="11"/>
    <s v="UN"/>
    <s v="1103"/>
    <n v="0.3"/>
    <n v="151931"/>
    <m/>
    <m/>
    <m/>
    <m/>
    <m/>
    <m/>
    <m/>
    <m/>
    <m/>
    <s v="SUJEPASAD"/>
    <s v="SCP_FIORI"/>
    <s v="180"/>
    <s v="MRP-CHICAMA"/>
    <s v="TRAN"/>
    <n v="0"/>
    <s v="N"/>
    <s v="I03"/>
    <s v="ZEX2"/>
    <m/>
    <s v="0"/>
    <m/>
    <n v="46108"/>
    <n v="46108"/>
    <n v="46109"/>
    <n v="0"/>
    <n v="0.56999999999999995"/>
    <s v="PEN"/>
    <n v="2.2799999999999998"/>
    <s v="2016088-5-REEMPMALL-PERN-PALETTRANSPMALL#3ADM1"/>
    <n v="4214205"/>
    <m/>
    <s v="1056317710"/>
    <n v="-10"/>
    <s v="ATRASADO"/>
    <s v="BLAPA"/>
  </r>
  <r>
    <d v="2026-01-22T00:00:00"/>
    <s v="10554943"/>
    <s v="10"/>
    <x v="115"/>
    <x v="115"/>
    <x v="12"/>
    <s v="UN"/>
    <s v="1207"/>
    <n v="0.02"/>
    <n v="151931"/>
    <m/>
    <m/>
    <m/>
    <m/>
    <m/>
    <m/>
    <m/>
    <m/>
    <m/>
    <s v="SUJEARAND"/>
    <s v="SCP_FIORI"/>
    <s v="180"/>
    <s v="MRP-ALM.CENT"/>
    <s v="0050"/>
    <n v="0"/>
    <s v="B"/>
    <s v="Z02"/>
    <s v="ZEX2"/>
    <s v="4500887205"/>
    <s v="10"/>
    <n v="46045"/>
    <n v="46044"/>
    <n v="46044"/>
    <n v="46045"/>
    <n v="0"/>
    <n v="0.18"/>
    <s v="PEN"/>
    <n v="1.44"/>
    <s v="2004224-15-PMTHSALIDAPOZAS3"/>
    <n v="4210181"/>
    <m/>
    <s v="1055494310"/>
    <n v="-74"/>
    <s v="ATRASADO"/>
    <s v="BLAPA"/>
  </r>
  <r>
    <d v="2026-04-08T00:00:00"/>
    <s v="10564564"/>
    <s v="1000"/>
    <x v="116"/>
    <x v="116"/>
    <x v="33"/>
    <s v="UN"/>
    <s v="1207"/>
    <n v="2E-3"/>
    <n v="151931"/>
    <d v="2026-03-09T00:00:00"/>
    <s v="151931     PERNOS Y TUERCAS SAN FRANCISCO SRL"/>
    <n v="0.2"/>
    <s v="USD"/>
    <n v="100"/>
    <s v="UN"/>
    <n v="1207"/>
    <n v="400"/>
    <n v="4500894897"/>
    <s v="SUJEARAND"/>
    <s v="MRP-ALM.CENT"/>
    <s v="185"/>
    <s v="MRP-ALM.CENT"/>
    <s v="0050"/>
    <n v="0"/>
    <s v="N"/>
    <s v="I07"/>
    <s v="ZEX1"/>
    <m/>
    <s v="0"/>
    <m/>
    <n v="46120"/>
    <n v="46120"/>
    <n v="46149"/>
    <n v="29"/>
    <n v="0.01"/>
    <s v="PEN"/>
    <n v="4"/>
    <m/>
    <m/>
    <m/>
    <s v="105645641000"/>
    <n v="2"/>
    <s v="A TIEMPO"/>
    <s v="BLAPA"/>
  </r>
  <r>
    <d v="2026-04-01T00:00:00"/>
    <s v="10563766"/>
    <s v="1000"/>
    <x v="117"/>
    <x v="117"/>
    <x v="34"/>
    <s v="UN"/>
    <s v="1208"/>
    <s v="ND"/>
    <s v="ND"/>
    <d v="2026-02-18T00:00:00"/>
    <s v="107648     CORPORACION SEALER S SA"/>
    <n v="0.21"/>
    <s v="USD"/>
    <n v="1"/>
    <s v="UN"/>
    <n v="1103"/>
    <n v="1000"/>
    <n v="4500891486"/>
    <s v="SUJECINTI"/>
    <s v="MRP-C.DIST C"/>
    <s v="185"/>
    <s v="MRP-C.DIST C"/>
    <s v="TRAN"/>
    <n v="0"/>
    <s v="N"/>
    <s v="I08"/>
    <s v="ZEX1"/>
    <m/>
    <s v="0"/>
    <m/>
    <n v="46113"/>
    <n v="46113"/>
    <n v="46142"/>
    <n v="29"/>
    <n v="0.71"/>
    <s v="PEN"/>
    <n v="497"/>
    <m/>
    <m/>
    <m/>
    <s v="105637661000"/>
    <n v="-5"/>
    <s v="ATRASADO"/>
    <s v="BLAPA"/>
  </r>
  <r>
    <d v="2026-04-02T00:00:00"/>
    <s v="10563948"/>
    <s v="1000"/>
    <x v="118"/>
    <x v="118"/>
    <x v="35"/>
    <s v="UN"/>
    <s v="1601"/>
    <s v="ND"/>
    <s v="ND"/>
    <d v="2026-02-17T00:00:00"/>
    <s v="152454     RVM CORPORACION SAC"/>
    <n v="2"/>
    <s v="USD"/>
    <n v="100"/>
    <s v="UN"/>
    <n v="1207"/>
    <n v="200"/>
    <n v="4500891087"/>
    <s v="SUJECINTI"/>
    <s v="MRP-T.MORA C"/>
    <s v="198"/>
    <s v="MRP-T.MORA C"/>
    <s v="TRAN"/>
    <n v="0"/>
    <s v="N"/>
    <s v="D01"/>
    <s v="ZEX1"/>
    <m/>
    <s v="0"/>
    <m/>
    <n v="46114"/>
    <n v="46114"/>
    <n v="46143"/>
    <n v="29"/>
    <n v="7.0000000000000007E-2"/>
    <s v="PEN"/>
    <n v="70"/>
    <m/>
    <m/>
    <m/>
    <s v="105639481000"/>
    <n v="-4"/>
    <s v="ATRASADO"/>
    <s v="BLAPA"/>
  </r>
  <r>
    <d v="2026-04-02T00:00:00"/>
    <s v="10563954"/>
    <s v="1000"/>
    <x v="119"/>
    <x v="119"/>
    <x v="35"/>
    <s v="UN"/>
    <s v="1207"/>
    <s v="ND"/>
    <s v="ND"/>
    <d v="2026-02-17T00:00:00"/>
    <s v="152454     RVM CORPORACION SAC"/>
    <n v="0.03"/>
    <s v="USD"/>
    <n v="1"/>
    <s v="UN"/>
    <n v="1207"/>
    <n v="800"/>
    <n v="4500891087"/>
    <s v="SUJECINTI"/>
    <s v="MRP-ALM.CENT"/>
    <s v="185"/>
    <s v="MRP-ALM.CENT"/>
    <s v="0050"/>
    <n v="0"/>
    <s v="N"/>
    <s v="I07"/>
    <s v="ZEX1"/>
    <m/>
    <s v="0"/>
    <m/>
    <n v="46121"/>
    <n v="46114"/>
    <n v="46150"/>
    <n v="29"/>
    <n v="0.1"/>
    <s v="PEN"/>
    <n v="100"/>
    <m/>
    <m/>
    <m/>
    <s v="105639541000"/>
    <n v="-4"/>
    <s v="ATRASADO"/>
    <s v="BLAPA"/>
  </r>
  <r>
    <d v="2026-04-02T00:00:00"/>
    <s v="10563959"/>
    <s v="1000"/>
    <x v="118"/>
    <x v="118"/>
    <x v="35"/>
    <s v="UN"/>
    <s v="1207"/>
    <s v="ND"/>
    <s v="ND"/>
    <d v="2026-02-17T00:00:00"/>
    <s v="152454     RVM CORPORACION SAC"/>
    <n v="2"/>
    <s v="USD"/>
    <n v="100"/>
    <s v="UN"/>
    <n v="1207"/>
    <n v="200"/>
    <n v="4500891087"/>
    <s v="SUJECINTI"/>
    <s v="MRP-ALM.CENT"/>
    <s v="185"/>
    <s v="MRP-ALM.CENT"/>
    <s v="0050"/>
    <n v="0"/>
    <s v="N"/>
    <s v="I07"/>
    <s v="ZEX1"/>
    <m/>
    <s v="0"/>
    <m/>
    <n v="46114"/>
    <n v="46114"/>
    <n v="46143"/>
    <n v="29"/>
    <n v="7.0000000000000007E-2"/>
    <s v="PEN"/>
    <n v="70"/>
    <m/>
    <m/>
    <m/>
    <s v="105639591000"/>
    <n v="-4"/>
    <s v="ATRASADO"/>
    <s v="BLAPA"/>
  </r>
  <r>
    <d v="2026-04-03T00:00:00"/>
    <s v="10564010"/>
    <s v="1000"/>
    <x v="120"/>
    <x v="120"/>
    <x v="34"/>
    <s v="UN"/>
    <s v="1207"/>
    <s v="ND"/>
    <s v="ND"/>
    <d v="2025-10-27T00:00:00"/>
    <s v="100493     ARIES COMERCIAL SAC"/>
    <n v="70"/>
    <s v="PEN"/>
    <n v="100"/>
    <s v="UN"/>
    <n v="1207"/>
    <n v="900"/>
    <n v="4500870816"/>
    <s v="SUJECINTI"/>
    <s v="MRP-ALM.CENT"/>
    <s v="185"/>
    <s v="MRP-ALM.CENT"/>
    <s v="0050"/>
    <n v="0"/>
    <s v="N"/>
    <s v="I07"/>
    <s v="ZEX1"/>
    <m/>
    <s v="0"/>
    <m/>
    <n v="46121"/>
    <n v="46115"/>
    <n v="46150"/>
    <n v="29"/>
    <n v="0.61"/>
    <s v="PEN"/>
    <n v="427"/>
    <m/>
    <m/>
    <m/>
    <s v="105640101000"/>
    <n v="-3"/>
    <s v="ATRASADO"/>
    <s v="BLAPA"/>
  </r>
  <r>
    <d v="2026-04-08T00:00:00"/>
    <s v="10564566"/>
    <s v="1000"/>
    <x v="121"/>
    <x v="121"/>
    <x v="36"/>
    <s v="UN"/>
    <s v="1207"/>
    <n v="0.01"/>
    <n v="151931"/>
    <d v="2026-02-13T00:00:00"/>
    <s v="151931     PERNOS Y TUERCAS SAN FRANCISCO SRL"/>
    <n v="0.01"/>
    <s v="USD"/>
    <n v="1"/>
    <s v="UN"/>
    <n v="1207"/>
    <n v="200"/>
    <n v="4500890764"/>
    <s v="SUJEARAND"/>
    <s v="MRP-ALM.CENT"/>
    <s v="185"/>
    <s v="MRP-ALM.CENT"/>
    <s v="0050"/>
    <n v="0"/>
    <s v="N"/>
    <s v="I07"/>
    <s v="ZEX1"/>
    <m/>
    <s v="0"/>
    <m/>
    <n v="46120"/>
    <n v="46120"/>
    <n v="46149"/>
    <n v="29"/>
    <n v="0.03"/>
    <s v="PEN"/>
    <n v="9"/>
    <m/>
    <m/>
    <m/>
    <s v="105645661000"/>
    <n v="2"/>
    <s v="A TIEMPO"/>
    <s v="BLAPA"/>
  </r>
  <r>
    <d v="2026-03-26T00:00:00"/>
    <s v="10563026"/>
    <s v="30"/>
    <x v="122"/>
    <x v="122"/>
    <x v="5"/>
    <s v="UN"/>
    <s v="1207"/>
    <s v="ND"/>
    <s v="ND"/>
    <m/>
    <m/>
    <m/>
    <m/>
    <m/>
    <m/>
    <m/>
    <m/>
    <m/>
    <s v="SUJEGRAPA"/>
    <s v="RTOLENTINO"/>
    <s v="180"/>
    <s v="MRP-ALM.CENT"/>
    <s v="0050"/>
    <n v="0"/>
    <s v="N"/>
    <s v="Z01"/>
    <s v="ZEX2"/>
    <m/>
    <s v="0"/>
    <m/>
    <n v="46107"/>
    <n v="46107"/>
    <n v="46108"/>
    <n v="0"/>
    <n v="11.97"/>
    <s v="PEN"/>
    <n v="11.97"/>
    <s v="2009713-35-GUANARep.GeneralRedAncho.VEDA26-1"/>
    <n v="4212199"/>
    <s v="ASESEXTER"/>
    <s v="1056302630"/>
    <n v="-11"/>
    <s v="ATRASADO"/>
    <s v="BLAPA"/>
  </r>
  <r>
    <d v="2026-04-03T00:00:00"/>
    <s v="10564042"/>
    <s v="20"/>
    <x v="123"/>
    <x v="123"/>
    <x v="9"/>
    <s v="UN"/>
    <s v="1207"/>
    <n v="5.6"/>
    <n v="151931"/>
    <m/>
    <m/>
    <m/>
    <m/>
    <m/>
    <m/>
    <m/>
    <m/>
    <m/>
    <s v="SUJEESPAR"/>
    <s v="ANORIEGA"/>
    <s v="180"/>
    <s v="MRP-ALM.CENT"/>
    <s v="0050"/>
    <n v="0"/>
    <s v="N"/>
    <s v="Z01"/>
    <s v="ZEX2"/>
    <m/>
    <s v="0"/>
    <m/>
    <n v="46115"/>
    <n v="46115"/>
    <n v="46116"/>
    <n v="0"/>
    <n v="19.09"/>
    <s v="PEN"/>
    <n v="114.54"/>
    <s v="2017904-2-VICSA-CAMBIARPERNERIABOMBADEACHIQUE"/>
    <n v="4214746"/>
    <m/>
    <s v="1056404220"/>
    <n v="-3"/>
    <s v="ATRASADO"/>
    <s v="BLAPA"/>
  </r>
  <r>
    <d v="2026-04-02T00:00:00"/>
    <s v="10563957"/>
    <s v="1000"/>
    <x v="124"/>
    <x v="124"/>
    <x v="23"/>
    <s v="UN"/>
    <s v="1207"/>
    <n v="0.35"/>
    <n v="151931"/>
    <m/>
    <m/>
    <m/>
    <m/>
    <m/>
    <m/>
    <m/>
    <m/>
    <m/>
    <s v="SUJEPERNO"/>
    <s v="MRP-ALM.CENT"/>
    <s v="185"/>
    <s v="MRP-ALM.CENT"/>
    <s v="0050"/>
    <n v="0"/>
    <s v="N"/>
    <s v="I07"/>
    <s v="ZEX1"/>
    <m/>
    <s v="0"/>
    <m/>
    <n v="46114"/>
    <n v="46114"/>
    <n v="46143"/>
    <n v="29"/>
    <n v="1.1499999999999999"/>
    <s v="PEN"/>
    <n v="23"/>
    <m/>
    <m/>
    <m/>
    <s v="105639571000"/>
    <n v="-4"/>
    <s v="ATRASADO"/>
    <s v="BLAPA"/>
  </r>
  <r>
    <d v="2026-04-06T00:00:00"/>
    <s v="10564237"/>
    <s v="10"/>
    <x v="125"/>
    <x v="125"/>
    <x v="9"/>
    <s v="UN"/>
    <s v="1207"/>
    <n v="9.68"/>
    <n v="151931"/>
    <m/>
    <m/>
    <m/>
    <m/>
    <m/>
    <m/>
    <m/>
    <m/>
    <m/>
    <s v="SUJEPERNO"/>
    <s v="JEQUISPE"/>
    <s v="180"/>
    <s v="MRP-ALM.CENT"/>
    <s v="0050"/>
    <n v="0"/>
    <s v="N"/>
    <s v="Z02"/>
    <s v="ZEX2"/>
    <m/>
    <s v="0"/>
    <m/>
    <n v="46118"/>
    <n v="46118"/>
    <n v="46119"/>
    <n v="0"/>
    <n v="0.01"/>
    <s v="PEN"/>
    <n v="0.06"/>
    <s v="2006457-515-TricanterflottwegZ5E-4"/>
    <n v="4210997"/>
    <s v="ASESEXTER"/>
    <s v="1056423710"/>
    <n v="0"/>
    <s v="A TIEMPO"/>
    <s v="BLAPA"/>
  </r>
  <r>
    <d v="2026-04-09T00:00:00"/>
    <s v="10564780"/>
    <s v="1000"/>
    <x v="126"/>
    <x v="126"/>
    <x v="37"/>
    <s v="UN"/>
    <s v="1207"/>
    <n v="0.66"/>
    <n v="151931"/>
    <d v="2025-10-21T00:00:00"/>
    <s v="151931     PERNOS Y TUERCAS SAN FRANCISCO SRL"/>
    <n v="0.66"/>
    <s v="USD"/>
    <n v="1"/>
    <s v="UN"/>
    <n v="1207"/>
    <n v="60"/>
    <n v="4500869995"/>
    <s v="SUJEPERNO"/>
    <s v="MRP-ALM.CENT"/>
    <s v="185"/>
    <s v="MRP-ALM.CENT"/>
    <s v="0050"/>
    <n v="0"/>
    <s v="N"/>
    <s v="I07"/>
    <s v="ZEX1"/>
    <m/>
    <s v="0"/>
    <m/>
    <n v="46121"/>
    <n v="46121"/>
    <n v="46150"/>
    <n v="29"/>
    <n v="2.5"/>
    <s v="PEN"/>
    <n v="275"/>
    <m/>
    <m/>
    <m/>
    <s v="105647801000"/>
    <n v="3"/>
    <s v="A TIEMPO"/>
    <s v="BLAPA"/>
  </r>
  <r>
    <d v="2026-04-07T00:00:00"/>
    <s v="10564424"/>
    <s v="1000"/>
    <x v="127"/>
    <x v="127"/>
    <x v="17"/>
    <s v="UN"/>
    <s v="1207"/>
    <n v="0.05"/>
    <n v="151931"/>
    <d v="2026-03-27T00:00:00"/>
    <s v="151931     PERNOS Y TUERCAS SAN FRANCISCO SRL"/>
    <n v="0.05"/>
    <s v="USD"/>
    <n v="1"/>
    <s v="UN"/>
    <n v="1207"/>
    <n v="200"/>
    <n v="4500897804"/>
    <s v="SUJETUERC"/>
    <s v="MRP-ALM.CENT"/>
    <s v="185"/>
    <s v="MRP-ALM.CENT"/>
    <s v="0050"/>
    <n v="0"/>
    <s v="N"/>
    <s v="I07"/>
    <s v="ZEX1"/>
    <m/>
    <s v="0"/>
    <m/>
    <n v="46121"/>
    <n v="46119"/>
    <n v="46150"/>
    <n v="29"/>
    <n v="0.17"/>
    <s v="PEN"/>
    <n v="34"/>
    <m/>
    <m/>
    <m/>
    <s v="105644241000"/>
    <n v="1"/>
    <s v="A TIEMPO"/>
    <s v="BLAPA"/>
  </r>
  <r>
    <d v="2026-04-08T00:00:00"/>
    <s v="10564559"/>
    <s v="1000"/>
    <x v="128"/>
    <x v="128"/>
    <x v="25"/>
    <s v="UN"/>
    <s v="1207"/>
    <n v="0.08"/>
    <n v="151931"/>
    <d v="2026-02-19T00:00:00"/>
    <s v="151931     PERNOS Y TUERCAS SAN FRANCISCO SRL"/>
    <n v="0.08"/>
    <s v="USD"/>
    <n v="1"/>
    <s v="UN"/>
    <n v="1207"/>
    <n v="100"/>
    <n v="4500891685"/>
    <s v="SUJETUERC"/>
    <s v="MRP-ALM.CENT"/>
    <s v="185"/>
    <s v="MRP-ALM.CENT"/>
    <s v="0050"/>
    <n v="0"/>
    <s v="N"/>
    <s v="I07"/>
    <s v="ZEX1"/>
    <m/>
    <s v="0"/>
    <m/>
    <n v="46121"/>
    <n v="46120"/>
    <n v="46150"/>
    <n v="29"/>
    <n v="0.27"/>
    <s v="PEN"/>
    <n v="27"/>
    <m/>
    <m/>
    <m/>
    <s v="105645591000"/>
    <n v="2"/>
    <s v="A TIEMPO"/>
    <s v="BLAPA"/>
  </r>
  <r>
    <d v="2026-03-26T00:00:00"/>
    <s v="10563010"/>
    <s v="10"/>
    <x v="129"/>
    <x v="129"/>
    <x v="38"/>
    <s v="UN"/>
    <s v="1601"/>
    <s v="ND"/>
    <s v="ND"/>
    <m/>
    <m/>
    <m/>
    <m/>
    <m/>
    <m/>
    <m/>
    <m/>
    <m/>
    <s v="SUJETUERC"/>
    <s v="MGARCIAM"/>
    <s v="198"/>
    <s v="MRP-T.MORA C"/>
    <s v="TRAN"/>
    <n v="0"/>
    <s v="N"/>
    <s v="D01"/>
    <s v="ZEX2"/>
    <m/>
    <s v="0"/>
    <m/>
    <n v="46107"/>
    <n v="46107"/>
    <n v="46108"/>
    <n v="29"/>
    <n v="0.45"/>
    <s v="PEN"/>
    <n v="22.5"/>
    <s v="1981642-7-COMPRADEFAJAPARACAMBIODEFAJADESE"/>
    <n v="6400000018"/>
    <m/>
    <s v="1056301010"/>
    <n v="-11"/>
    <s v="ATRASADO"/>
    <s v="BLAPA"/>
  </r>
  <r>
    <d v="2026-03-30T00:00:00"/>
    <s v="10563448"/>
    <s v="10"/>
    <x v="130"/>
    <x v="130"/>
    <x v="13"/>
    <s v="UN"/>
    <s v="1102"/>
    <s v="ND"/>
    <s v="ND"/>
    <m/>
    <m/>
    <m/>
    <m/>
    <m/>
    <m/>
    <m/>
    <m/>
    <m/>
    <s v="SUJETUERC"/>
    <s v="SCP_FIORI"/>
    <s v="180"/>
    <s v="MRP-HUACHO"/>
    <s v="TRAN"/>
    <n v="0"/>
    <s v="N"/>
    <s v="I02"/>
    <s v="ZEX2"/>
    <m/>
    <s v="0"/>
    <m/>
    <n v="46111"/>
    <n v="46111"/>
    <n v="46112"/>
    <n v="0"/>
    <n v="1.72"/>
    <s v="PEN"/>
    <n v="41.28"/>
    <s v="2016677-4-TANQUEDERETENCIONAGUADEMARPARASAC"/>
    <n v="4214371"/>
    <m/>
    <s v="1056344810"/>
    <n v="-7"/>
    <s v="ATRASADO"/>
    <s v="BLAPA"/>
  </r>
  <r>
    <d v="2026-03-31T00:00:00"/>
    <s v="10563702"/>
    <s v="10"/>
    <x v="130"/>
    <x v="130"/>
    <x v="13"/>
    <s v="UN"/>
    <s v="1102"/>
    <s v="ND"/>
    <s v="ND"/>
    <m/>
    <m/>
    <m/>
    <m/>
    <m/>
    <m/>
    <m/>
    <m/>
    <m/>
    <s v="SUJETUERC"/>
    <s v="SCP_FIORI"/>
    <s v="180"/>
    <s v="MRP-HUACHO"/>
    <s v="TRAN"/>
    <n v="0"/>
    <s v="N"/>
    <s v="I02"/>
    <s v="ZEX2"/>
    <m/>
    <s v="0"/>
    <m/>
    <n v="46112"/>
    <n v="46112"/>
    <n v="46113"/>
    <n v="0"/>
    <n v="1.72"/>
    <s v="PEN"/>
    <n v="41.28"/>
    <s v="2016677-5-TANQUEDERETENCIONAGUADEMARPARASAC"/>
    <n v="4214371"/>
    <m/>
    <s v="1056370210"/>
    <n v="-6"/>
    <s v="ATRASADO"/>
    <s v="BLAPA"/>
  </r>
  <r>
    <d v="2026-03-30T00:00:00"/>
    <s v="10563451"/>
    <s v="10"/>
    <x v="131"/>
    <x v="131"/>
    <x v="24"/>
    <s v="UN"/>
    <s v="1208"/>
    <n v="0.56000000000000005"/>
    <n v="151931"/>
    <m/>
    <m/>
    <m/>
    <m/>
    <m/>
    <m/>
    <m/>
    <m/>
    <m/>
    <s v="SUJEPERNO"/>
    <s v="EATOCHE"/>
    <s v="193"/>
    <s v="MRP-C.DIST C"/>
    <s v="TRAN"/>
    <n v="0"/>
    <s v="N"/>
    <s v="I08"/>
    <s v="ZEX2"/>
    <m/>
    <s v="0"/>
    <m/>
    <n v="46111"/>
    <n v="46111"/>
    <n v="46112"/>
    <n v="0"/>
    <n v="2.2400000000000002"/>
    <s v="PEN"/>
    <n v="15.68"/>
    <s v="2008227-70-MANTTOTKAPROFERROL"/>
    <n v="4211569"/>
    <s v="ASESEXTER"/>
    <s v="1056345110"/>
    <n v="-7"/>
    <s v="ATRASADO"/>
    <s v="BLAPA"/>
  </r>
  <r>
    <d v="2026-03-31T00:00:00"/>
    <s v="10563617"/>
    <s v="10"/>
    <x v="132"/>
    <x v="132"/>
    <x v="10"/>
    <s v="UN"/>
    <s v="1208"/>
    <n v="0.22"/>
    <n v="151931"/>
    <m/>
    <m/>
    <m/>
    <m/>
    <m/>
    <m/>
    <m/>
    <m/>
    <m/>
    <s v="SUJEPERNO"/>
    <s v="JHARO"/>
    <s v="180"/>
    <s v="MRP-C.DIST C"/>
    <s v="TRAN"/>
    <n v="0"/>
    <s v="N"/>
    <s v="I08"/>
    <s v="ZEX2"/>
    <m/>
    <s v="0"/>
    <m/>
    <n v="46112"/>
    <n v="46112"/>
    <n v="46113"/>
    <n v="0"/>
    <n v="0.78"/>
    <s v="PEN"/>
    <n v="9.36"/>
    <s v="2006846-21-CAMBIOSISTEMACONTROLYMONITOREOSAC"/>
    <n v="4211157"/>
    <m/>
    <s v="1056361710"/>
    <n v="-6"/>
    <s v="ATRASADO"/>
    <s v="BLAPA"/>
  </r>
  <r>
    <d v="2026-04-01T00:00:00"/>
    <s v="10563755"/>
    <s v="10"/>
    <x v="133"/>
    <x v="133"/>
    <x v="5"/>
    <s v="UN"/>
    <s v="1207"/>
    <s v="ND"/>
    <s v="ND"/>
    <m/>
    <m/>
    <m/>
    <m/>
    <m/>
    <m/>
    <m/>
    <m/>
    <m/>
    <s v="TRANENGRA"/>
    <s v="JEQUISPE"/>
    <s v="180"/>
    <s v="MRP-ALM.CENT"/>
    <s v="0050"/>
    <n v="0"/>
    <s v="N"/>
    <s v="Z02"/>
    <s v="ZEX2"/>
    <m/>
    <s v="0"/>
    <m/>
    <n v="46113"/>
    <n v="46113"/>
    <n v="46114"/>
    <n v="0"/>
    <n v="624.07000000000005"/>
    <s v="PEN"/>
    <n v="624.07000000000005"/>
    <s v="2006457-480-TricanterflottwegZ5E-4"/>
    <n v="4210997"/>
    <s v="ASESEXTER"/>
    <s v="1056375510"/>
    <n v="-5"/>
    <s v="ATRASADO"/>
    <s v="BLAPA"/>
  </r>
  <r>
    <d v="2026-04-01T00:00:00"/>
    <s v="10563837"/>
    <s v="10"/>
    <x v="134"/>
    <x v="134"/>
    <x v="5"/>
    <s v="UN"/>
    <s v="1207"/>
    <s v="ND"/>
    <s v="ND"/>
    <m/>
    <m/>
    <m/>
    <m/>
    <m/>
    <m/>
    <m/>
    <m/>
    <m/>
    <s v="TRANENGRA"/>
    <s v="JEQUISPE"/>
    <s v="180"/>
    <s v="MRP-ALM.CENT"/>
    <s v="0050"/>
    <n v="0"/>
    <s v="N"/>
    <s v="Z02"/>
    <s v="ZEX2"/>
    <m/>
    <s v="0"/>
    <m/>
    <n v="46113"/>
    <n v="46113"/>
    <n v="46114"/>
    <n v="29"/>
    <n v="386.4"/>
    <s v="PEN"/>
    <n v="386.4"/>
    <s v="2006457-479-TricanterflottwegZ5E-4"/>
    <n v="4210997"/>
    <s v="ASESEXTER"/>
    <s v="1056383710"/>
    <n v="-5"/>
    <s v="ATRASADO"/>
    <s v="BLAPA"/>
  </r>
  <r>
    <d v="2026-04-01T00:00:00"/>
    <s v="10563910"/>
    <s v="10"/>
    <x v="135"/>
    <x v="135"/>
    <x v="11"/>
    <s v="UN"/>
    <s v="1208"/>
    <s v="ND"/>
    <s v="ND"/>
    <m/>
    <s v="COTIZAR"/>
    <m/>
    <m/>
    <m/>
    <m/>
    <m/>
    <m/>
    <m/>
    <s v="TRANFAJAS"/>
    <s v="NALVAREZ"/>
    <s v="180"/>
    <s v="MRP-C.DIST C"/>
    <s v="TRAN"/>
    <n v="0"/>
    <s v="N"/>
    <s v="I08"/>
    <s v="ZEX2"/>
    <m/>
    <s v="0"/>
    <m/>
    <n v="46113"/>
    <n v="46113"/>
    <n v="46114"/>
    <n v="0"/>
    <n v="18.57"/>
    <s v="PEN"/>
    <n v="74.28"/>
    <s v="2017327-6-DORAD-PMCONSUMIBLESEQ.PESCA/MANIOBRA"/>
    <n v="4214541"/>
    <m/>
    <s v="1056391010"/>
    <n v="-5"/>
    <s v="ATRASADO"/>
    <s v="BLAPA"/>
  </r>
  <r>
    <d v="2026-04-07T00:00:00"/>
    <s v="10564481"/>
    <s v="20"/>
    <x v="136"/>
    <x v="136"/>
    <x v="4"/>
    <s v="UN"/>
    <s v="1208"/>
    <s v="ND"/>
    <s v="ND"/>
    <d v="2026-01-12T00:00:00"/>
    <s v="104029     IMPORTADORA DE RODAMIENTOS SAC"/>
    <n v="72.77"/>
    <s v="USD"/>
    <n v="1"/>
    <s v="UN"/>
    <n v="1208"/>
    <n v="1"/>
    <n v="4500885447"/>
    <s v="RODARODAM"/>
    <s v="SCP_FIORI"/>
    <s v="180"/>
    <s v="MRP-C.DIST C"/>
    <s v="TRAN"/>
    <n v="0"/>
    <s v="N"/>
    <s v="I08"/>
    <s v="ZEX2"/>
    <m/>
    <s v="0"/>
    <m/>
    <n v="46119"/>
    <n v="46119"/>
    <n v="46120"/>
    <n v="0"/>
    <n v="254.7"/>
    <s v="PEN"/>
    <n v="509.4"/>
    <s v="2018624-2-CAMBIODEMANGUITOMOLINOHUMEDON2"/>
    <n v="4214840"/>
    <m/>
    <s v="1056448120"/>
    <n v="1"/>
    <s v="A TIEMPO"/>
    <s v="BLAPA"/>
  </r>
  <r>
    <d v="2026-04-06T00:00:00"/>
    <s v="10564383"/>
    <s v="20"/>
    <x v="137"/>
    <x v="137"/>
    <x v="11"/>
    <s v="UN"/>
    <s v="1601"/>
    <s v="ND"/>
    <s v="ND"/>
    <d v="2025-09-29T00:00:00"/>
    <s v="104029     IMPORTADORA DE RODAMIENTOS SAC"/>
    <n v="1.05"/>
    <s v="USD"/>
    <n v="1"/>
    <s v="UN"/>
    <n v="1601"/>
    <n v="20"/>
    <n v="4500866725"/>
    <s v="RODARETEN"/>
    <s v="MGARCIAM"/>
    <s v="198"/>
    <s v="MRP-T.MORA C"/>
    <s v="TRAN"/>
    <n v="0"/>
    <s v="N"/>
    <s v="D01"/>
    <s v="ZEX2"/>
    <m/>
    <s v="0"/>
    <m/>
    <n v="46118"/>
    <n v="46118"/>
    <n v="46119"/>
    <n v="0"/>
    <n v="4.04"/>
    <s v="PEN"/>
    <n v="16.16"/>
    <s v="2018480-2-cambioderodajesyretenesenpeladora"/>
    <n v="6200000130"/>
    <m/>
    <s v="1056438320"/>
    <n v="0"/>
    <s v="A TIEMPO"/>
    <s v="BLAPA"/>
  </r>
  <r>
    <d v="2026-04-07T00:00:00"/>
    <s v="10564417"/>
    <s v="1000"/>
    <x v="138"/>
    <x v="138"/>
    <x v="11"/>
    <s v="UN"/>
    <s v="1207"/>
    <s v="ND"/>
    <s v="ND"/>
    <d v="2025-10-31T00:00:00"/>
    <s v="COTIZAR"/>
    <n v="266.25"/>
    <s v="USD"/>
    <n v="10"/>
    <s v="UN"/>
    <n v="1207"/>
    <n v="4"/>
    <n v="4500871528"/>
    <s v="TRANFAJAS"/>
    <s v="MRP-ALM.CENT"/>
    <s v="185"/>
    <s v="MRP-ALM.CENT"/>
    <s v="0050"/>
    <n v="0"/>
    <s v="N"/>
    <s v="I07"/>
    <s v="ZEX1"/>
    <m/>
    <s v="0"/>
    <m/>
    <n v="46119"/>
    <n v="46119"/>
    <n v="46148"/>
    <n v="29"/>
    <n v="80.17"/>
    <s v="PEN"/>
    <n v="320.68"/>
    <m/>
    <m/>
    <m/>
    <s v="105644171000"/>
    <n v="1"/>
    <s v="A TIEMPO"/>
    <s v="BLAPA"/>
  </r>
  <r>
    <d v="2026-04-06T00:00:00"/>
    <s v="10564383"/>
    <s v="10"/>
    <x v="139"/>
    <x v="139"/>
    <x v="12"/>
    <s v="UN"/>
    <s v="1601"/>
    <s v="ND"/>
    <s v="ND"/>
    <d v="2026-03-13T00:00:00"/>
    <s v="104029     IMPORTADORA DE RODAMIENTOS SAC"/>
    <n v="14.66"/>
    <s v="USD"/>
    <n v="1"/>
    <s v="UN"/>
    <n v="1601"/>
    <n v="6"/>
    <n v="4500895841"/>
    <s v="RODARODAM"/>
    <s v="MGARCIAM"/>
    <s v="198"/>
    <s v="MRP-T.MORA C"/>
    <s v="TRAN"/>
    <n v="0"/>
    <s v="N"/>
    <s v="D01"/>
    <s v="ZEX2"/>
    <m/>
    <s v="0"/>
    <m/>
    <n v="46118"/>
    <n v="46118"/>
    <n v="46119"/>
    <n v="0"/>
    <n v="51.15"/>
    <s v="PEN"/>
    <n v="409.2"/>
    <s v="2018480-1-cambioderodajesyretenesenpeladora"/>
    <n v="6200000130"/>
    <m/>
    <s v="1056438310"/>
    <n v="0"/>
    <s v="A TIEMPO"/>
    <s v="BLAPA"/>
  </r>
  <r>
    <d v="2026-03-05T00:00:00"/>
    <s v="10560606"/>
    <s v="20"/>
    <x v="140"/>
    <x v="140"/>
    <x v="4"/>
    <s v="UN"/>
    <s v="1301"/>
    <s v="ND"/>
    <s v="ND"/>
    <d v="2026-03-05T00:00:00"/>
    <s v="103302     G Y N ROJAS SA"/>
    <n v="248.3"/>
    <s v="USD"/>
    <n v="1"/>
    <s v="UN"/>
    <n v="1301"/>
    <n v="2"/>
    <n v="4500894396"/>
    <s v="VEHINEUMA"/>
    <s v="FITO"/>
    <s v="185"/>
    <s v="FTORRES"/>
    <s v="0050"/>
    <n v="0"/>
    <s v="B"/>
    <m/>
    <s v="ZEX3"/>
    <s v="4500894396"/>
    <s v="20"/>
    <n v="46086"/>
    <n v="46086"/>
    <n v="46086"/>
    <n v="46086"/>
    <n v="0"/>
    <n v="793.74"/>
    <s v="PEN"/>
    <n v="1587.48"/>
    <m/>
    <m/>
    <m/>
    <s v="1056060620"/>
    <n v="-32"/>
    <s v="ATRASADO"/>
    <s v="BLAP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s v="10563529"/>
    <s v="20"/>
    <x v="0"/>
    <x v="0"/>
    <n v="40000"/>
    <s v="M3"/>
    <s v="1207"/>
  </r>
  <r>
    <s v="10565668"/>
    <s v="10"/>
    <x v="1"/>
    <x v="1"/>
    <n v="1"/>
    <s v="UN"/>
    <s v="1207"/>
  </r>
  <r>
    <n v="10564706"/>
    <n v="10"/>
    <x v="2"/>
    <x v="2"/>
    <n v="1"/>
    <s v="UN"/>
    <n v="1207"/>
  </r>
  <r>
    <s v="10565568"/>
    <s v="10"/>
    <x v="3"/>
    <x v="3"/>
    <n v="5"/>
    <s v="UN"/>
    <s v="1103"/>
  </r>
  <r>
    <s v="10563651"/>
    <s v="10"/>
    <x v="4"/>
    <x v="4"/>
    <n v="1"/>
    <s v="UN"/>
    <s v="1208"/>
  </r>
  <r>
    <s v="10566245"/>
    <s v="10"/>
    <x v="5"/>
    <x v="5"/>
    <n v="3"/>
    <s v="UN"/>
    <s v="1301"/>
  </r>
  <r>
    <s v="10564441"/>
    <s v="10"/>
    <x v="6"/>
    <x v="6"/>
    <n v="12"/>
    <s v="UN"/>
    <s v="1101"/>
  </r>
  <r>
    <s v="10565218"/>
    <s v="10"/>
    <x v="7"/>
    <x v="7"/>
    <n v="1"/>
    <s v="UN"/>
    <s v="1102"/>
  </r>
  <r>
    <s v="10566054"/>
    <s v="10"/>
    <x v="8"/>
    <x v="8"/>
    <n v="1"/>
    <s v="UN"/>
    <s v="1208"/>
  </r>
  <r>
    <s v="10564724"/>
    <s v="10"/>
    <x v="9"/>
    <x v="9"/>
    <n v="1"/>
    <s v="UN"/>
    <s v="1207"/>
  </r>
  <r>
    <s v="10566052"/>
    <s v="90"/>
    <x v="10"/>
    <x v="10"/>
    <n v="1"/>
    <s v="UN"/>
    <s v="1208"/>
  </r>
  <r>
    <s v="10564162"/>
    <s v="10"/>
    <x v="11"/>
    <x v="11"/>
    <n v="1"/>
    <s v="UN"/>
    <s v="1207"/>
  </r>
  <r>
    <s v="10564163"/>
    <s v="10"/>
    <x v="11"/>
    <x v="11"/>
    <n v="1"/>
    <s v="UN"/>
    <s v="1207"/>
  </r>
  <r>
    <s v="10566122"/>
    <s v="1000"/>
    <x v="12"/>
    <x v="12"/>
    <n v="300"/>
    <s v="PAA"/>
    <s v="1601"/>
  </r>
  <r>
    <s v="10566185"/>
    <s v="10"/>
    <x v="13"/>
    <x v="13"/>
    <n v="3"/>
    <s v="PAA"/>
    <s v="1207"/>
  </r>
  <r>
    <s v="10566185"/>
    <s v="20"/>
    <x v="14"/>
    <x v="14"/>
    <n v="1"/>
    <s v="PAA"/>
    <s v="1207"/>
  </r>
  <r>
    <s v="10566187"/>
    <s v="10"/>
    <x v="13"/>
    <x v="13"/>
    <n v="4"/>
    <s v="PAA"/>
    <s v="1207"/>
  </r>
  <r>
    <s v="10566189"/>
    <s v="10"/>
    <x v="13"/>
    <x v="13"/>
    <n v="1"/>
    <s v="PAA"/>
    <s v="1207"/>
  </r>
  <r>
    <s v="10566189"/>
    <s v="20"/>
    <x v="14"/>
    <x v="14"/>
    <n v="1"/>
    <s v="PAA"/>
    <s v="1207"/>
  </r>
  <r>
    <s v="10566191"/>
    <s v="10"/>
    <x v="13"/>
    <x v="13"/>
    <n v="2"/>
    <s v="PAA"/>
    <s v="1207"/>
  </r>
  <r>
    <s v="10566191"/>
    <s v="20"/>
    <x v="15"/>
    <x v="15"/>
    <n v="9"/>
    <s v="PAA"/>
    <s v="1207"/>
  </r>
  <r>
    <s v="10565660"/>
    <s v="10"/>
    <x v="16"/>
    <x v="16"/>
    <n v="4"/>
    <s v="UN"/>
    <s v="1601"/>
  </r>
  <r>
    <s v="10565660"/>
    <s v="20"/>
    <x v="17"/>
    <x v="17"/>
    <n v="8"/>
    <s v="UN"/>
    <s v="1601"/>
  </r>
  <r>
    <n v="10564707"/>
    <n v="10"/>
    <x v="2"/>
    <x v="2"/>
    <n v="1"/>
    <s v="UN"/>
    <n v="1207"/>
  </r>
  <r>
    <n v="10564719"/>
    <n v="10"/>
    <x v="2"/>
    <x v="2"/>
    <n v="1"/>
    <s v="UN"/>
    <n v="1207"/>
  </r>
  <r>
    <n v="10564720"/>
    <n v="10"/>
    <x v="2"/>
    <x v="2"/>
    <n v="1"/>
    <s v="UN"/>
    <n v="1207"/>
  </r>
  <r>
    <n v="10564722"/>
    <n v="10"/>
    <x v="2"/>
    <x v="2"/>
    <n v="1"/>
    <s v="UN"/>
    <n v="1207"/>
  </r>
  <r>
    <s v="10561647"/>
    <s v="10"/>
    <x v="18"/>
    <x v="18"/>
    <n v="2"/>
    <s v="UN"/>
    <s v="1606"/>
  </r>
  <r>
    <s v="10564112"/>
    <s v="1000"/>
    <x v="19"/>
    <x v="19"/>
    <n v="1"/>
    <s v="UN"/>
    <s v="1207"/>
  </r>
  <r>
    <s v="10566134"/>
    <s v="10"/>
    <x v="20"/>
    <x v="20"/>
    <n v="10"/>
    <s v="UN"/>
    <s v="1606"/>
  </r>
  <r>
    <s v="10566135"/>
    <s v="10"/>
    <x v="20"/>
    <x v="20"/>
    <n v="5"/>
    <s v="UN"/>
    <s v="1606"/>
  </r>
  <r>
    <s v="10566136"/>
    <s v="10"/>
    <x v="20"/>
    <x v="20"/>
    <n v="10"/>
    <s v="UN"/>
    <s v="1606"/>
  </r>
  <r>
    <s v="10566137"/>
    <s v="10"/>
    <x v="20"/>
    <x v="20"/>
    <n v="5"/>
    <s v="UN"/>
    <s v="1606"/>
  </r>
  <r>
    <s v="10565112"/>
    <s v="10"/>
    <x v="21"/>
    <x v="21"/>
    <n v="1"/>
    <s v="UN"/>
    <s v="1208"/>
  </r>
  <r>
    <s v="10566011"/>
    <s v="20"/>
    <x v="22"/>
    <x v="22"/>
    <n v="1"/>
    <s v="UN"/>
    <s v="1102"/>
  </r>
  <r>
    <s v="10566271"/>
    <s v="1000"/>
    <x v="23"/>
    <x v="23"/>
    <n v="96"/>
    <s v="UN"/>
    <s v="1207"/>
  </r>
  <r>
    <s v="10564975"/>
    <s v="10"/>
    <x v="24"/>
    <x v="24"/>
    <n v="2"/>
    <s v="UN"/>
    <s v="1103"/>
  </r>
  <r>
    <s v="10565558"/>
    <s v="10"/>
    <x v="25"/>
    <x v="25"/>
    <n v="200000"/>
    <s v="KG"/>
    <s v="1601"/>
  </r>
  <r>
    <s v="10565567"/>
    <s v="10"/>
    <x v="26"/>
    <x v="26"/>
    <n v="1"/>
    <s v="UN"/>
    <s v="1207"/>
  </r>
  <r>
    <s v="10564818"/>
    <s v="10"/>
    <x v="27"/>
    <x v="27"/>
    <n v="6"/>
    <s v="UN"/>
    <s v="1207"/>
  </r>
  <r>
    <s v="10564818"/>
    <s v="20"/>
    <x v="28"/>
    <x v="28"/>
    <n v="12"/>
    <s v="UN"/>
    <s v="1207"/>
  </r>
  <r>
    <s v="10565647"/>
    <s v="40"/>
    <x v="29"/>
    <x v="29"/>
    <n v="1"/>
    <s v="UN"/>
    <s v="1207"/>
  </r>
  <r>
    <s v="10565461"/>
    <s v="10"/>
    <x v="30"/>
    <x v="30"/>
    <n v="3"/>
    <s v="UN"/>
    <s v="1101"/>
  </r>
  <r>
    <s v="10566275"/>
    <s v="1000"/>
    <x v="31"/>
    <x v="31"/>
    <n v="21000"/>
    <s v="UN"/>
    <s v="1207"/>
  </r>
  <r>
    <s v="10563903"/>
    <s v="10"/>
    <x v="32"/>
    <x v="32"/>
    <n v="10"/>
    <s v="UN"/>
    <s v="1208"/>
  </r>
  <r>
    <s v="10565184"/>
    <s v="10"/>
    <x v="33"/>
    <x v="33"/>
    <n v="10"/>
    <s v="UN"/>
    <s v="1207"/>
  </r>
  <r>
    <s v="10565268"/>
    <s v="10"/>
    <x v="34"/>
    <x v="34"/>
    <n v="24"/>
    <s v="UN"/>
    <s v="1207"/>
  </r>
  <r>
    <s v="10565782"/>
    <s v="10"/>
    <x v="33"/>
    <x v="33"/>
    <n v="12"/>
    <s v="UN"/>
    <s v="1207"/>
  </r>
  <r>
    <s v="10562902"/>
    <s v="10"/>
    <x v="35"/>
    <x v="35"/>
    <n v="7"/>
    <s v="UN"/>
    <s v="1207"/>
  </r>
  <r>
    <s v="10562926"/>
    <s v="10"/>
    <x v="35"/>
    <x v="35"/>
    <n v="6"/>
    <s v="UN"/>
    <s v="1207"/>
  </r>
  <r>
    <s v="10563972"/>
    <s v="20"/>
    <x v="36"/>
    <x v="36"/>
    <n v="10"/>
    <s v="UN"/>
    <s v="1207"/>
  </r>
  <r>
    <s v="10564615"/>
    <s v="10"/>
    <x v="37"/>
    <x v="37"/>
    <n v="1"/>
    <s v="UN"/>
    <s v="1207"/>
  </r>
  <r>
    <s v="10565602"/>
    <s v="1000"/>
    <x v="38"/>
    <x v="38"/>
    <n v="12"/>
    <s v="UN"/>
    <s v="1207"/>
  </r>
  <r>
    <s v="10566110"/>
    <s v="10"/>
    <x v="39"/>
    <x v="39"/>
    <n v="1"/>
    <s v="UN"/>
    <s v="1207"/>
  </r>
  <r>
    <s v="10566115"/>
    <s v="10"/>
    <x v="37"/>
    <x v="37"/>
    <n v="3"/>
    <s v="UN"/>
    <s v="1208"/>
  </r>
  <r>
    <s v="10559999"/>
    <s v="20"/>
    <x v="40"/>
    <x v="40"/>
    <n v="200"/>
    <s v="UN"/>
    <s v="1601"/>
  </r>
  <r>
    <s v="10564291"/>
    <s v="30"/>
    <x v="41"/>
    <x v="41"/>
    <n v="100"/>
    <s v="UN"/>
    <s v="1601"/>
  </r>
  <r>
    <s v="10564291"/>
    <s v="40"/>
    <x v="40"/>
    <x v="40"/>
    <n v="200"/>
    <s v="UN"/>
    <s v="1601"/>
  </r>
  <r>
    <s v="10565914"/>
    <s v="1000"/>
    <x v="42"/>
    <x v="42"/>
    <n v="9"/>
    <s v="UN"/>
    <s v="1207"/>
  </r>
  <r>
    <s v="10565753"/>
    <s v="10"/>
    <x v="43"/>
    <x v="43"/>
    <n v="2"/>
    <s v="UN"/>
    <s v="1101"/>
  </r>
  <r>
    <s v="10565753"/>
    <s v="20"/>
    <x v="44"/>
    <x v="44"/>
    <n v="4"/>
    <s v="UN"/>
    <s v="1101"/>
  </r>
  <r>
    <s v="10565858"/>
    <s v="10"/>
    <x v="45"/>
    <x v="45"/>
    <n v="1"/>
    <s v="UN"/>
    <s v="1101"/>
  </r>
  <r>
    <s v="10562864"/>
    <s v="10"/>
    <x v="46"/>
    <x v="46"/>
    <n v="2"/>
    <s v="UN"/>
    <s v="1102"/>
  </r>
  <r>
    <s v="10562865"/>
    <s v="10"/>
    <x v="45"/>
    <x v="45"/>
    <n v="12"/>
    <s v="UN"/>
    <s v="1102"/>
  </r>
  <r>
    <s v="10563142"/>
    <s v="10"/>
    <x v="47"/>
    <x v="47"/>
    <n v="1"/>
    <s v="UN"/>
    <s v="1207"/>
  </r>
  <r>
    <s v="10563143"/>
    <s v="10"/>
    <x v="47"/>
    <x v="47"/>
    <n v="1"/>
    <s v="UN"/>
    <s v="1207"/>
  </r>
  <r>
    <s v="10563144"/>
    <s v="10"/>
    <x v="45"/>
    <x v="45"/>
    <n v="3"/>
    <s v="UN"/>
    <s v="1207"/>
  </r>
  <r>
    <s v="10563145"/>
    <s v="10"/>
    <x v="45"/>
    <x v="45"/>
    <n v="3"/>
    <s v="UN"/>
    <s v="1207"/>
  </r>
  <r>
    <s v="10563146"/>
    <s v="10"/>
    <x v="45"/>
    <x v="45"/>
    <n v="6"/>
    <s v="UN"/>
    <s v="1207"/>
  </r>
  <r>
    <s v="10563147"/>
    <s v="10"/>
    <x v="45"/>
    <x v="45"/>
    <n v="2"/>
    <s v="UN"/>
    <s v="1207"/>
  </r>
  <r>
    <s v="10563148"/>
    <s v="10"/>
    <x v="45"/>
    <x v="45"/>
    <n v="1"/>
    <s v="UN"/>
    <s v="1207"/>
  </r>
  <r>
    <s v="10563149"/>
    <s v="10"/>
    <x v="45"/>
    <x v="45"/>
    <n v="3"/>
    <s v="UN"/>
    <s v="1207"/>
  </r>
  <r>
    <s v="10563150"/>
    <s v="10"/>
    <x v="45"/>
    <x v="45"/>
    <n v="4"/>
    <s v="UN"/>
    <s v="1207"/>
  </r>
  <r>
    <s v="10563211"/>
    <s v="10"/>
    <x v="45"/>
    <x v="45"/>
    <n v="4"/>
    <s v="UN"/>
    <s v="1207"/>
  </r>
  <r>
    <s v="10563212"/>
    <s v="10"/>
    <x v="45"/>
    <x v="45"/>
    <n v="4"/>
    <s v="UN"/>
    <s v="1207"/>
  </r>
  <r>
    <s v="10563213"/>
    <s v="10"/>
    <x v="45"/>
    <x v="45"/>
    <n v="4"/>
    <s v="UN"/>
    <s v="1207"/>
  </r>
  <r>
    <s v="10563214"/>
    <s v="10"/>
    <x v="45"/>
    <x v="45"/>
    <n v="2"/>
    <s v="UN"/>
    <s v="1207"/>
  </r>
  <r>
    <s v="10563215"/>
    <s v="10"/>
    <x v="45"/>
    <x v="45"/>
    <n v="6"/>
    <s v="UN"/>
    <s v="1207"/>
  </r>
  <r>
    <s v="10563134"/>
    <s v="10"/>
    <x v="45"/>
    <x v="45"/>
    <n v="1"/>
    <s v="UN"/>
    <s v="1601"/>
  </r>
  <r>
    <s v="10563135"/>
    <s v="10"/>
    <x v="45"/>
    <x v="45"/>
    <n v="6"/>
    <s v="UN"/>
    <s v="1601"/>
  </r>
  <r>
    <s v="10563136"/>
    <s v="10"/>
    <x v="45"/>
    <x v="45"/>
    <n v="4"/>
    <s v="UN"/>
    <s v="1601"/>
  </r>
  <r>
    <s v="10563137"/>
    <s v="10"/>
    <x v="45"/>
    <x v="45"/>
    <n v="1"/>
    <s v="UN"/>
    <s v="1601"/>
  </r>
  <r>
    <s v="10563138"/>
    <s v="10"/>
    <x v="47"/>
    <x v="47"/>
    <n v="1"/>
    <s v="UN"/>
    <s v="1601"/>
  </r>
  <r>
    <s v="10563139"/>
    <s v="10"/>
    <x v="46"/>
    <x v="46"/>
    <n v="1"/>
    <s v="UN"/>
    <s v="1601"/>
  </r>
  <r>
    <s v="10565772"/>
    <s v="10"/>
    <x v="47"/>
    <x v="47"/>
    <n v="3"/>
    <s v="UN"/>
    <s v="1606"/>
  </r>
  <r>
    <s v="10565773"/>
    <s v="10"/>
    <x v="45"/>
    <x v="45"/>
    <n v="2"/>
    <s v="UN"/>
    <s v="1606"/>
  </r>
  <r>
    <s v="10565774"/>
    <s v="10"/>
    <x v="45"/>
    <x v="45"/>
    <n v="5"/>
    <s v="UN"/>
    <s v="1606"/>
  </r>
  <r>
    <s v="10565775"/>
    <s v="10"/>
    <x v="45"/>
    <x v="45"/>
    <n v="2"/>
    <s v="UN"/>
    <s v="1606"/>
  </r>
  <r>
    <s v="10565776"/>
    <s v="10"/>
    <x v="45"/>
    <x v="45"/>
    <n v="5"/>
    <s v="UN"/>
    <s v="1606"/>
  </r>
  <r>
    <s v="10565777"/>
    <s v="10"/>
    <x v="45"/>
    <x v="45"/>
    <n v="3"/>
    <s v="UN"/>
    <s v="1606"/>
  </r>
  <r>
    <s v="10565778"/>
    <s v="10"/>
    <x v="45"/>
    <x v="45"/>
    <n v="4"/>
    <s v="UN"/>
    <s v="1606"/>
  </r>
  <r>
    <s v="10565779"/>
    <s v="10"/>
    <x v="45"/>
    <x v="45"/>
    <n v="15"/>
    <s v="UN"/>
    <s v="1606"/>
  </r>
  <r>
    <s v="10565780"/>
    <s v="10"/>
    <x v="45"/>
    <x v="45"/>
    <n v="1"/>
    <s v="UN"/>
    <s v="16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0A47AB-C623-4F78-9570-053979EC8AD3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2:C6" firstHeaderRow="1" firstDataRow="1" firstDataCol="2"/>
  <pivotFields count="45">
    <pivotField compact="0" numFmtId="164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41">
        <item x="103"/>
        <item x="102"/>
        <item x="112"/>
        <item x="111"/>
        <item x="130"/>
        <item x="128"/>
        <item x="97"/>
        <item x="101"/>
        <item x="135"/>
        <item x="56"/>
        <item x="58"/>
        <item x="98"/>
        <item x="79"/>
        <item x="84"/>
        <item x="132"/>
        <item x="120"/>
        <item x="9"/>
        <item x="24"/>
        <item x="78"/>
        <item x="22"/>
        <item x="114"/>
        <item x="93"/>
        <item x="90"/>
        <item x="82"/>
        <item x="57"/>
        <item x="115"/>
        <item x="100"/>
        <item x="32"/>
        <item x="69"/>
        <item x="83"/>
        <item x="31"/>
        <item x="68"/>
        <item x="133"/>
        <item x="28"/>
        <item x="138"/>
        <item x="131"/>
        <item x="0"/>
        <item x="64"/>
        <item x="81"/>
        <item x="49"/>
        <item x="116"/>
        <item x="113"/>
        <item x="121"/>
        <item x="123"/>
        <item x="137"/>
        <item x="14"/>
        <item x="89"/>
        <item x="74"/>
        <item x="75"/>
        <item x="34"/>
        <item x="52"/>
        <item x="108"/>
        <item x="110"/>
        <item x="109"/>
        <item x="119"/>
        <item x="107"/>
        <item x="126"/>
        <item x="127"/>
        <item x="66"/>
        <item x="94"/>
        <item x="10"/>
        <item x="12"/>
        <item x="48"/>
        <item x="8"/>
        <item x="96"/>
        <item x="15"/>
        <item x="80"/>
        <item x="77"/>
        <item x="124"/>
        <item x="51"/>
        <item x="27"/>
        <item x="21"/>
        <item x="30"/>
        <item x="76"/>
        <item x="7"/>
        <item x="11"/>
        <item x="95"/>
        <item x="54"/>
        <item x="65"/>
        <item x="29"/>
        <item x="38"/>
        <item x="23"/>
        <item x="53"/>
        <item x="61"/>
        <item x="13"/>
        <item x="118"/>
        <item x="62"/>
        <item x="91"/>
        <item x="92"/>
        <item x="105"/>
        <item x="122"/>
        <item x="67"/>
        <item x="35"/>
        <item x="26"/>
        <item x="41"/>
        <item x="47"/>
        <item x="60"/>
        <item x="55"/>
        <item x="59"/>
        <item x="136"/>
        <item x="19"/>
        <item x="40"/>
        <item x="117"/>
        <item x="86"/>
        <item x="44"/>
        <item x="43"/>
        <item x="106"/>
        <item x="17"/>
        <item x="45"/>
        <item x="42"/>
        <item x="63"/>
        <item x="125"/>
        <item x="18"/>
        <item x="134"/>
        <item x="39"/>
        <item x="16"/>
        <item x="140"/>
        <item x="3"/>
        <item x="6"/>
        <item x="87"/>
        <item x="88"/>
        <item x="104"/>
        <item x="139"/>
        <item x="70"/>
        <item x="50"/>
        <item x="85"/>
        <item x="5"/>
        <item x="129"/>
        <item x="46"/>
        <item x="20"/>
        <item x="36"/>
        <item x="37"/>
        <item x="99"/>
        <item x="25"/>
        <item x="33"/>
        <item x="2"/>
        <item x="73"/>
        <item x="72"/>
        <item x="71"/>
        <item x="4"/>
        <item x="1"/>
      </items>
    </pivotField>
    <pivotField axis="axisRow" compact="0" outline="0" showAll="0" defaultSubtotal="0">
      <items count="141">
        <item h="1" x="105"/>
        <item h="1" x="112"/>
        <item h="1" x="47"/>
        <item h="1" x="111"/>
        <item h="1" x="106"/>
        <item h="1" x="45"/>
        <item h="1" x="42"/>
        <item h="1" x="0"/>
        <item h="1" x="1"/>
        <item h="1" x="116"/>
        <item h="1" x="115"/>
        <item h="1" x="113"/>
        <item h="1" x="121"/>
        <item h="1" x="48"/>
        <item h="1" x="6"/>
        <item h="1" x="3"/>
        <item h="1" x="78"/>
        <item h="1" x="81"/>
        <item h="1" x="86"/>
        <item h="1" x="80"/>
        <item h="1" x="79"/>
        <item h="1" x="82"/>
        <item h="1" x="83"/>
        <item h="1" x="84"/>
        <item h="1" x="38"/>
        <item h="1" x="40"/>
        <item h="1" x="108"/>
        <item h="1" x="110"/>
        <item h="1" x="109"/>
        <item h="1" x="7"/>
        <item h="1" x="17"/>
        <item h="1" x="92"/>
        <item h="1" x="70"/>
        <item h="1" x="41"/>
        <item h="1" x="46"/>
        <item h="1" x="5"/>
        <item h="1" x="14"/>
        <item h="1" x="13"/>
        <item h="1" x="68"/>
        <item h="1" x="69"/>
        <item h="1" x="118"/>
        <item h="1" x="119"/>
        <item h="1" x="120"/>
        <item h="1" x="59"/>
        <item h="1" x="60"/>
        <item h="1" x="34"/>
        <item h="1" x="20"/>
        <item h="1" x="9"/>
        <item h="1" x="10"/>
        <item h="1" x="21"/>
        <item h="1" x="74"/>
        <item h="1" x="77"/>
        <item h="1" x="25"/>
        <item h="1" x="19"/>
        <item h="1" x="43"/>
        <item h="1" x="44"/>
        <item h="1" x="123"/>
        <item h="1" x="100"/>
        <item h="1" x="138"/>
        <item h="1" x="97"/>
        <item h="1" x="101"/>
        <item h="1" x="135"/>
        <item h="1" x="63"/>
        <item h="1" x="33"/>
        <item h="1" x="56"/>
        <item h="1" x="122"/>
        <item h="1" x="51"/>
        <item h="1" x="107"/>
        <item h="1" x="24"/>
        <item h="1" x="26"/>
        <item h="1" x="62"/>
        <item h="1" x="75"/>
        <item h="1" x="37"/>
        <item h="1" x="36"/>
        <item h="1" x="85"/>
        <item h="1" x="54"/>
        <item h="1" x="52"/>
        <item h="1" x="15"/>
        <item h="1" x="67"/>
        <item h="1" x="140"/>
        <item h="1" x="103"/>
        <item h="1" x="102"/>
        <item h="1" x="35"/>
        <item h="1" x="89"/>
        <item h="1" x="114"/>
        <item h="1" x="124"/>
        <item h="1" x="131"/>
        <item h="1" x="126"/>
        <item h="1" x="125"/>
        <item h="1" x="132"/>
        <item h="1" x="66"/>
        <item h="1" x="134"/>
        <item h="1" x="133"/>
        <item h="1" x="76"/>
        <item h="1" x="117"/>
        <item h="1" x="8"/>
        <item h="1" x="27"/>
        <item h="1" x="61"/>
        <item h="1" x="50"/>
        <item h="1" x="64"/>
        <item h="1" x="28"/>
        <item h="1" x="99"/>
        <item h="1" x="137"/>
        <item h="1" x="136"/>
        <item h="1" x="98"/>
        <item h="1" x="139"/>
        <item h="1" x="53"/>
        <item h="1" x="55"/>
        <item h="1" x="104"/>
        <item h="1" x="22"/>
        <item h="1" x="23"/>
        <item h="1" x="49"/>
        <item x="71"/>
        <item x="72"/>
        <item x="73"/>
        <item h="1" x="16"/>
        <item h="1" x="87"/>
        <item h="1" x="88"/>
        <item h="1" x="57"/>
        <item h="1" x="58"/>
        <item h="1" x="18"/>
        <item h="1" x="2"/>
        <item h="1" x="30"/>
        <item h="1" x="29"/>
        <item h="1" x="32"/>
        <item h="1" x="31"/>
        <item h="1" x="11"/>
        <item h="1" x="12"/>
        <item h="1" x="65"/>
        <item h="1" x="96"/>
        <item h="1" x="95"/>
        <item h="1" x="94"/>
        <item h="1" x="93"/>
        <item h="1" x="129"/>
        <item h="1" x="130"/>
        <item h="1" x="127"/>
        <item h="1" x="128"/>
        <item h="1" x="90"/>
        <item h="1" x="91"/>
        <item h="1" x="4"/>
        <item h="1" x="39"/>
      </items>
    </pivotField>
    <pivotField dataField="1" compact="0" outline="0" showAll="0" defaultSubtotal="0">
      <items count="39">
        <item x="5"/>
        <item x="4"/>
        <item x="8"/>
        <item x="11"/>
        <item x="15"/>
        <item x="9"/>
        <item x="24"/>
        <item x="12"/>
        <item x="6"/>
        <item x="10"/>
        <item x="16"/>
        <item x="23"/>
        <item x="13"/>
        <item x="7"/>
        <item x="14"/>
        <item x="18"/>
        <item x="28"/>
        <item x="19"/>
        <item x="38"/>
        <item x="32"/>
        <item x="22"/>
        <item x="27"/>
        <item x="30"/>
        <item x="3"/>
        <item x="29"/>
        <item x="25"/>
        <item x="37"/>
        <item x="21"/>
        <item x="20"/>
        <item x="17"/>
        <item x="36"/>
        <item x="31"/>
        <item x="33"/>
        <item x="34"/>
        <item x="35"/>
        <item x="26"/>
        <item x="0"/>
        <item x="2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</pivotFields>
  <rowFields count="2">
    <field x="3"/>
    <field x="4"/>
  </rowFields>
  <rowItems count="4">
    <i>
      <x v="136"/>
      <x v="114"/>
    </i>
    <i>
      <x v="137"/>
      <x v="113"/>
    </i>
    <i>
      <x v="138"/>
      <x v="112"/>
    </i>
    <i t="grand">
      <x/>
    </i>
  </rowItems>
  <colItems count="1">
    <i/>
  </colItems>
  <dataFields count="1">
    <dataField name="Suma de Cantidad solicitada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652C11-C144-4E55-AABA-4A1DD6CDBF78}" name="TablaDinámica1" cacheId="1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compact="0" compactData="0" multipleFieldFilters="0">
  <location ref="B12:D16" firstHeaderRow="1" firstDataRow="1" firstDataCol="2"/>
  <pivotFields count="7">
    <pivotField compact="0" outline="0" showAll="0" defaultSubtotal="0"/>
    <pivotField compact="0" outline="0" showAll="0" defaultSubtotal="0"/>
    <pivotField axis="axisRow" compact="0" outline="0" showAll="0" defaultSubtotal="0">
      <items count="48">
        <item x="25"/>
        <item x="34"/>
        <item x="8"/>
        <item x="9"/>
        <item x="41"/>
        <item x="40"/>
        <item x="0"/>
        <item x="35"/>
        <item x="27"/>
        <item x="42"/>
        <item x="23"/>
        <item x="22"/>
        <item x="6"/>
        <item x="33"/>
        <item x="24"/>
        <item x="38"/>
        <item x="36"/>
        <item x="13"/>
        <item x="15"/>
        <item x="14"/>
        <item x="21"/>
        <item x="37"/>
        <item x="29"/>
        <item x="28"/>
        <item x="32"/>
        <item x="10"/>
        <item x="17"/>
        <item x="16"/>
        <item x="7"/>
        <item x="30"/>
        <item x="39"/>
        <item x="31"/>
        <item x="44"/>
        <item x="2"/>
        <item x="4"/>
        <item x="19"/>
        <item x="11"/>
        <item x="12"/>
        <item x="20"/>
        <item x="18"/>
        <item x="3"/>
        <item x="47"/>
        <item x="45"/>
        <item x="26"/>
        <item x="46"/>
        <item x="43"/>
        <item x="5"/>
        <item x="1"/>
      </items>
    </pivotField>
    <pivotField axis="axisRow" compact="0" outline="0" showAll="0" defaultSubtotal="0">
      <items count="48">
        <item h="1" x="20"/>
        <item h="1" x="0"/>
        <item h="1" x="4"/>
        <item h="1" x="2"/>
        <item h="1" x="44"/>
        <item h="1" x="3"/>
        <item h="1" x="13"/>
        <item h="1" x="15"/>
        <item h="1" x="14"/>
        <item h="1" x="23"/>
        <item h="1" x="22"/>
        <item h="1" x="18"/>
        <item h="1" x="40"/>
        <item h="1" x="41"/>
        <item h="1" x="42"/>
        <item h="1" x="17"/>
        <item h="1" x="11"/>
        <item h="1" x="27"/>
        <item h="1" x="33"/>
        <item h="1" x="32"/>
        <item h="1" x="34"/>
        <item h="1" x="12"/>
        <item h="1" x="25"/>
        <item h="1" x="30"/>
        <item h="1" x="37"/>
        <item h="1" x="38"/>
        <item h="1" x="39"/>
        <item x="43"/>
        <item h="1" x="16"/>
        <item h="1" x="24"/>
        <item h="1" x="6"/>
        <item h="1" x="19"/>
        <item h="1" x="35"/>
        <item h="1" x="7"/>
        <item h="1" x="21"/>
        <item h="1" x="29"/>
        <item x="46"/>
        <item x="45"/>
        <item x="47"/>
        <item h="1" x="8"/>
        <item h="1" x="5"/>
        <item h="1" x="1"/>
        <item h="1" x="26"/>
        <item h="1" x="9"/>
        <item h="1" x="10"/>
        <item h="1" x="36"/>
        <item h="1" x="28"/>
        <item h="1" x="31"/>
      </items>
    </pivotField>
    <pivotField dataField="1" compact="0" outline="0" showAll="0" defaultSubtotal="0"/>
    <pivotField compact="0" outline="0" showAll="0" defaultSubtotal="0"/>
    <pivotField compact="0" outline="0" showAll="0" defaultSubtotal="0"/>
  </pivotFields>
  <rowFields count="2">
    <field x="2"/>
    <field x="3"/>
  </rowFields>
  <rowItems count="4">
    <i>
      <x v="41"/>
      <x v="38"/>
    </i>
    <i>
      <x v="42"/>
      <x v="37"/>
    </i>
    <i>
      <x v="44"/>
      <x v="36"/>
    </i>
    <i>
      <x v="45"/>
      <x v="27"/>
    </i>
  </rowItems>
  <colItems count="1">
    <i/>
  </colItems>
  <dataFields count="1">
    <dataField name="Suma de Cantidad solicitada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16315E6-838D-45C6-BEC9-439C29F137D4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6b94f6a7-aac2-4b35-9372-37ffe5d5afcc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olped"/>
  <dimension ref="A1:AW567"/>
  <sheetViews>
    <sheetView tabSelected="1" zoomScale="85" zoomScaleNormal="85" workbookViewId="0">
      <pane ySplit="1" topLeftCell="A2" activePane="bottomLeft" state="frozen"/>
      <selection activeCell="Y1" sqref="Y1"/>
      <selection pane="bottomLeft" activeCell="D22" sqref="D22"/>
    </sheetView>
  </sheetViews>
  <sheetFormatPr baseColWidth="10" defaultColWidth="8.7265625" defaultRowHeight="14.5" x14ac:dyDescent="0.35"/>
  <cols>
    <col min="1" max="1" width="15.81640625" style="85" bestFit="1" customWidth="1"/>
    <col min="2" max="2" width="11.36328125" style="85" customWidth="1"/>
    <col min="3" max="3" width="8.7265625" style="85"/>
    <col min="4" max="4" width="16.81640625" style="85" customWidth="1"/>
    <col min="5" max="5" width="45.08984375" style="85" bestFit="1" customWidth="1"/>
    <col min="6" max="6" width="8.90625" style="85" bestFit="1" customWidth="1"/>
    <col min="7" max="10" width="8.7265625" style="85"/>
    <col min="11" max="11" width="23.36328125" style="85" bestFit="1" customWidth="1"/>
    <col min="12" max="12" width="45" style="85" bestFit="1" customWidth="1"/>
    <col min="13" max="13" width="13.6328125" style="100" customWidth="1"/>
    <col min="14" max="14" width="8.7265625" style="85"/>
    <col min="15" max="15" width="8.90625" style="85" bestFit="1" customWidth="1"/>
    <col min="16" max="16" width="8.7265625" style="85"/>
    <col min="17" max="18" width="8.90625" style="85" bestFit="1" customWidth="1"/>
    <col min="19" max="19" width="11.54296875" style="85" bestFit="1" customWidth="1"/>
    <col min="20" max="24" width="8.7265625" style="85"/>
    <col min="25" max="25" width="8.90625" style="85" bestFit="1" customWidth="1"/>
    <col min="26" max="31" width="8.7265625" style="85"/>
    <col min="32" max="36" width="8.90625" style="85" bestFit="1" customWidth="1"/>
    <col min="37" max="37" width="8.7265625" style="85"/>
    <col min="38" max="38" width="8.90625" style="85" bestFit="1" customWidth="1"/>
    <col min="39" max="39" width="50.26953125" style="85" bestFit="1" customWidth="1"/>
    <col min="40" max="40" width="21.453125" style="85" bestFit="1" customWidth="1"/>
    <col min="41" max="41" width="10" style="85" bestFit="1" customWidth="1"/>
    <col min="42" max="42" width="12.36328125" style="85" bestFit="1" customWidth="1"/>
    <col min="43" max="43" width="8.81640625" style="85" bestFit="1" customWidth="1"/>
    <col min="44" max="44" width="10.1796875" style="85" bestFit="1" customWidth="1"/>
    <col min="45" max="45" width="10.36328125" style="85" bestFit="1" customWidth="1"/>
    <col min="46" max="46" width="11.6328125" style="86" bestFit="1" customWidth="1"/>
    <col min="47" max="47" width="14.1796875" style="84" bestFit="1" customWidth="1"/>
    <col min="48" max="48" width="16.26953125" style="84" bestFit="1" customWidth="1"/>
    <col min="49" max="49" width="92.36328125" style="84" bestFit="1" customWidth="1"/>
    <col min="50" max="16384" width="8.7265625" style="85"/>
  </cols>
  <sheetData>
    <row r="1" spans="1:49" x14ac:dyDescent="0.35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7</v>
      </c>
      <c r="R1" s="8" t="s">
        <v>16</v>
      </c>
      <c r="S1" s="8" t="s">
        <v>17</v>
      </c>
      <c r="T1" s="8" t="s">
        <v>18</v>
      </c>
      <c r="U1" s="8" t="s">
        <v>19</v>
      </c>
      <c r="V1" s="8" t="s">
        <v>20</v>
      </c>
      <c r="W1" s="8" t="s">
        <v>21</v>
      </c>
      <c r="X1" s="8" t="s">
        <v>22</v>
      </c>
      <c r="Y1" s="8" t="s">
        <v>23</v>
      </c>
      <c r="Z1" s="8" t="s">
        <v>24</v>
      </c>
      <c r="AA1" s="8" t="s">
        <v>25</v>
      </c>
      <c r="AB1" s="8" t="s">
        <v>26</v>
      </c>
      <c r="AC1" s="8" t="s">
        <v>27</v>
      </c>
      <c r="AD1" s="8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8" t="s">
        <v>33</v>
      </c>
      <c r="AJ1" s="8" t="s">
        <v>34</v>
      </c>
      <c r="AK1" s="8" t="s">
        <v>13</v>
      </c>
      <c r="AL1" s="8" t="s">
        <v>35</v>
      </c>
      <c r="AM1" s="8" t="s">
        <v>36</v>
      </c>
      <c r="AN1" s="8" t="s">
        <v>37</v>
      </c>
      <c r="AO1" s="8" t="s">
        <v>169</v>
      </c>
      <c r="AP1" s="9" t="s">
        <v>38</v>
      </c>
      <c r="AQ1" s="10" t="s">
        <v>39</v>
      </c>
      <c r="AR1" s="8" t="s">
        <v>40</v>
      </c>
      <c r="AS1" s="8" t="s">
        <v>41</v>
      </c>
      <c r="AT1" s="83"/>
      <c r="AU1" s="84" t="s">
        <v>648</v>
      </c>
      <c r="AV1" s="84" t="s">
        <v>649</v>
      </c>
      <c r="AW1" s="84" t="s">
        <v>650</v>
      </c>
    </row>
    <row r="2" spans="1:49" x14ac:dyDescent="0.35">
      <c r="A2" s="66">
        <v>46127</v>
      </c>
      <c r="B2" s="67" t="s">
        <v>235</v>
      </c>
      <c r="C2" s="67" t="s">
        <v>42</v>
      </c>
      <c r="D2" s="67">
        <v>14906677</v>
      </c>
      <c r="E2" s="67" t="s">
        <v>236</v>
      </c>
      <c r="F2" s="67">
        <v>1</v>
      </c>
      <c r="G2" s="67" t="s">
        <v>43</v>
      </c>
      <c r="H2" s="67" t="s">
        <v>44</v>
      </c>
      <c r="I2" s="67" t="s">
        <v>45</v>
      </c>
      <c r="J2" s="67" t="s">
        <v>45</v>
      </c>
      <c r="K2" s="67"/>
      <c r="L2" s="67"/>
      <c r="M2" s="67"/>
      <c r="N2" s="67"/>
      <c r="O2" s="67"/>
      <c r="P2" s="67"/>
      <c r="Q2" s="67"/>
      <c r="R2" s="67"/>
      <c r="S2" s="67"/>
      <c r="T2" s="67" t="s">
        <v>225</v>
      </c>
      <c r="U2" s="67" t="s">
        <v>237</v>
      </c>
      <c r="V2" s="67" t="s">
        <v>70</v>
      </c>
      <c r="W2" s="67" t="s">
        <v>84</v>
      </c>
      <c r="X2" s="67" t="s">
        <v>49</v>
      </c>
      <c r="Y2" s="67">
        <v>0</v>
      </c>
      <c r="Z2" s="67" t="s">
        <v>131</v>
      </c>
      <c r="AA2" s="67" t="s">
        <v>85</v>
      </c>
      <c r="AB2" s="67" t="s">
        <v>61</v>
      </c>
      <c r="AC2" s="67" t="s">
        <v>271</v>
      </c>
      <c r="AD2" s="67" t="s">
        <v>42</v>
      </c>
      <c r="AE2" s="67">
        <v>46133</v>
      </c>
      <c r="AF2" s="67">
        <v>46127</v>
      </c>
      <c r="AG2" s="67">
        <v>46127</v>
      </c>
      <c r="AH2" s="67">
        <v>46128</v>
      </c>
      <c r="AI2" s="67">
        <v>0</v>
      </c>
      <c r="AJ2" s="67">
        <v>1162.04</v>
      </c>
      <c r="AK2" s="67" t="s">
        <v>46</v>
      </c>
      <c r="AL2" s="67">
        <v>1162.04</v>
      </c>
      <c r="AM2" s="67" t="s">
        <v>238</v>
      </c>
      <c r="AN2" s="67">
        <v>4214850</v>
      </c>
      <c r="AO2" s="67"/>
      <c r="AP2" s="68" t="s">
        <v>239</v>
      </c>
      <c r="AQ2" s="69">
        <v>-12</v>
      </c>
      <c r="AR2" s="67" t="s">
        <v>53</v>
      </c>
      <c r="AS2" s="67" t="s">
        <v>54</v>
      </c>
      <c r="AT2" s="70"/>
      <c r="AU2" s="71" t="s">
        <v>510</v>
      </c>
      <c r="AV2" s="72">
        <v>46141.588240740741</v>
      </c>
      <c r="AW2" s="71" t="s">
        <v>656</v>
      </c>
    </row>
    <row r="3" spans="1:49" x14ac:dyDescent="0.35">
      <c r="A3" s="11">
        <v>46141</v>
      </c>
      <c r="B3" s="1" t="s">
        <v>536</v>
      </c>
      <c r="C3" s="1" t="s">
        <v>81</v>
      </c>
      <c r="D3" s="1">
        <v>14073735</v>
      </c>
      <c r="E3" s="1" t="s">
        <v>537</v>
      </c>
      <c r="F3" s="1">
        <v>48</v>
      </c>
      <c r="G3" s="1" t="s">
        <v>43</v>
      </c>
      <c r="H3" s="1" t="s">
        <v>44</v>
      </c>
      <c r="I3" s="1">
        <v>35.682203389830512</v>
      </c>
      <c r="J3" s="1">
        <v>152326</v>
      </c>
      <c r="K3" s="11">
        <v>46062</v>
      </c>
      <c r="L3" s="1" t="s">
        <v>538</v>
      </c>
      <c r="M3" s="1">
        <v>35.68</v>
      </c>
      <c r="N3" s="1" t="s">
        <v>46</v>
      </c>
      <c r="O3" s="1">
        <v>1</v>
      </c>
      <c r="P3" s="1" t="s">
        <v>43</v>
      </c>
      <c r="Q3" s="1">
        <v>1207</v>
      </c>
      <c r="R3" s="1">
        <v>48</v>
      </c>
      <c r="S3" s="1">
        <v>4500890081</v>
      </c>
      <c r="T3" s="1" t="s">
        <v>539</v>
      </c>
      <c r="U3" s="1" t="s">
        <v>84</v>
      </c>
      <c r="V3" s="1" t="s">
        <v>47</v>
      </c>
      <c r="W3" s="1" t="s">
        <v>84</v>
      </c>
      <c r="X3" s="1" t="s">
        <v>49</v>
      </c>
      <c r="Y3" s="1">
        <v>0</v>
      </c>
      <c r="Z3" s="1" t="s">
        <v>50</v>
      </c>
      <c r="AA3" s="1" t="s">
        <v>96</v>
      </c>
      <c r="AB3" s="1" t="s">
        <v>83</v>
      </c>
      <c r="AC3" s="1"/>
      <c r="AD3" s="1" t="s">
        <v>52</v>
      </c>
      <c r="AE3" s="1"/>
      <c r="AF3" s="1">
        <v>46141</v>
      </c>
      <c r="AG3" s="1">
        <v>46141</v>
      </c>
      <c r="AH3" s="1">
        <v>46170</v>
      </c>
      <c r="AI3" s="1">
        <v>29</v>
      </c>
      <c r="AJ3" s="1">
        <v>36.630000000000003</v>
      </c>
      <c r="AK3" s="1" t="s">
        <v>46</v>
      </c>
      <c r="AL3" s="1">
        <v>1758.24</v>
      </c>
      <c r="AM3" s="1"/>
      <c r="AN3" s="1"/>
      <c r="AO3" s="1"/>
      <c r="AP3" s="12" t="s">
        <v>540</v>
      </c>
      <c r="AQ3" s="13">
        <v>2</v>
      </c>
      <c r="AR3" s="1" t="s">
        <v>62</v>
      </c>
      <c r="AS3" s="1" t="s">
        <v>54</v>
      </c>
    </row>
    <row r="4" spans="1:49" ht="14" customHeight="1" x14ac:dyDescent="0.35">
      <c r="A4" s="11">
        <v>46112</v>
      </c>
      <c r="B4" s="1" t="s">
        <v>137</v>
      </c>
      <c r="C4" s="1" t="s">
        <v>42</v>
      </c>
      <c r="D4" s="1">
        <v>14092062</v>
      </c>
      <c r="E4" s="1" t="s">
        <v>138</v>
      </c>
      <c r="F4" s="1">
        <v>1</v>
      </c>
      <c r="G4" s="1" t="s">
        <v>43</v>
      </c>
      <c r="H4" s="1" t="s">
        <v>92</v>
      </c>
      <c r="I4" s="1" t="s">
        <v>45</v>
      </c>
      <c r="J4" s="1" t="s">
        <v>45</v>
      </c>
      <c r="K4" s="1"/>
      <c r="L4" s="1"/>
      <c r="M4" s="1"/>
      <c r="N4" s="1"/>
      <c r="O4" s="1"/>
      <c r="P4" s="1"/>
      <c r="Q4" s="1"/>
      <c r="R4" s="1"/>
      <c r="S4" s="1"/>
      <c r="T4" s="1" t="s">
        <v>139</v>
      </c>
      <c r="U4" s="1" t="s">
        <v>140</v>
      </c>
      <c r="V4" s="1" t="s">
        <v>135</v>
      </c>
      <c r="W4" s="1" t="s">
        <v>93</v>
      </c>
      <c r="X4" s="1" t="s">
        <v>59</v>
      </c>
      <c r="Y4" s="1">
        <v>0</v>
      </c>
      <c r="Z4" s="1" t="s">
        <v>50</v>
      </c>
      <c r="AA4" s="1" t="s">
        <v>94</v>
      </c>
      <c r="AB4" s="1" t="s">
        <v>61</v>
      </c>
      <c r="AC4" s="1"/>
      <c r="AD4" s="1" t="s">
        <v>52</v>
      </c>
      <c r="AE4" s="1"/>
      <c r="AF4" s="1">
        <v>46112</v>
      </c>
      <c r="AG4" s="1">
        <v>46112</v>
      </c>
      <c r="AH4" s="1">
        <v>46113</v>
      </c>
      <c r="AI4" s="1">
        <v>29</v>
      </c>
      <c r="AJ4" s="1">
        <v>108.75</v>
      </c>
      <c r="AK4" s="1" t="s">
        <v>46</v>
      </c>
      <c r="AL4" s="1">
        <v>108.75</v>
      </c>
      <c r="AM4" s="1" t="s">
        <v>141</v>
      </c>
      <c r="AN4" s="1">
        <v>2017463</v>
      </c>
      <c r="AO4" s="1"/>
      <c r="AP4" s="12" t="s">
        <v>142</v>
      </c>
      <c r="AQ4" s="13">
        <v>-27</v>
      </c>
      <c r="AR4" s="1" t="s">
        <v>53</v>
      </c>
      <c r="AS4" s="1" t="s">
        <v>54</v>
      </c>
    </row>
    <row r="5" spans="1:49" x14ac:dyDescent="0.35">
      <c r="A5" s="11">
        <v>46141</v>
      </c>
      <c r="B5" s="1" t="s">
        <v>661</v>
      </c>
      <c r="C5" s="1" t="s">
        <v>64</v>
      </c>
      <c r="D5" s="1">
        <v>14046034</v>
      </c>
      <c r="E5" s="1" t="s">
        <v>662</v>
      </c>
      <c r="F5" s="1">
        <v>100</v>
      </c>
      <c r="G5" s="1" t="s">
        <v>663</v>
      </c>
      <c r="H5" s="1" t="s">
        <v>44</v>
      </c>
      <c r="I5" s="1" t="s">
        <v>45</v>
      </c>
      <c r="J5" s="1" t="s">
        <v>45</v>
      </c>
      <c r="K5" s="11">
        <v>46058</v>
      </c>
      <c r="L5" s="1" t="s">
        <v>80</v>
      </c>
      <c r="M5" s="1">
        <v>0.81</v>
      </c>
      <c r="N5" s="1" t="s">
        <v>56</v>
      </c>
      <c r="O5" s="1">
        <v>1</v>
      </c>
      <c r="P5" s="1" t="s">
        <v>663</v>
      </c>
      <c r="Q5" s="1">
        <v>1208</v>
      </c>
      <c r="R5" s="1">
        <v>700</v>
      </c>
      <c r="S5" s="1">
        <v>4500889648</v>
      </c>
      <c r="T5" s="1" t="s">
        <v>664</v>
      </c>
      <c r="U5" s="1" t="s">
        <v>69</v>
      </c>
      <c r="V5" s="1" t="s">
        <v>70</v>
      </c>
      <c r="W5" s="1" t="s">
        <v>84</v>
      </c>
      <c r="X5" s="1" t="s">
        <v>49</v>
      </c>
      <c r="Y5" s="1">
        <v>0</v>
      </c>
      <c r="Z5" s="1" t="s">
        <v>50</v>
      </c>
      <c r="AA5" s="1" t="s">
        <v>85</v>
      </c>
      <c r="AB5" s="1" t="s">
        <v>61</v>
      </c>
      <c r="AC5" s="1"/>
      <c r="AD5" s="1" t="s">
        <v>52</v>
      </c>
      <c r="AE5" s="1"/>
      <c r="AF5" s="1">
        <v>46141</v>
      </c>
      <c r="AG5" s="1">
        <v>46141</v>
      </c>
      <c r="AH5" s="1">
        <v>46142</v>
      </c>
      <c r="AI5" s="1">
        <v>0</v>
      </c>
      <c r="AJ5" s="1">
        <v>2.25</v>
      </c>
      <c r="AK5" s="1" t="s">
        <v>46</v>
      </c>
      <c r="AL5" s="1">
        <v>225</v>
      </c>
      <c r="AM5" s="1" t="s">
        <v>665</v>
      </c>
      <c r="AN5" s="1">
        <v>4216271</v>
      </c>
      <c r="AO5" s="1"/>
      <c r="AP5" s="12" t="s">
        <v>666</v>
      </c>
      <c r="AQ5" s="13">
        <v>2</v>
      </c>
      <c r="AR5" s="1" t="s">
        <v>62</v>
      </c>
      <c r="AS5" s="1" t="s">
        <v>54</v>
      </c>
    </row>
    <row r="6" spans="1:49" x14ac:dyDescent="0.35">
      <c r="A6" s="11">
        <v>46140</v>
      </c>
      <c r="B6" s="1" t="s">
        <v>541</v>
      </c>
      <c r="C6" s="1" t="s">
        <v>42</v>
      </c>
      <c r="D6" s="1">
        <v>14068341</v>
      </c>
      <c r="E6" s="1" t="s">
        <v>542</v>
      </c>
      <c r="F6" s="1">
        <v>16</v>
      </c>
      <c r="G6" s="1" t="s">
        <v>43</v>
      </c>
      <c r="H6" s="1" t="s">
        <v>75</v>
      </c>
      <c r="I6" s="1" t="s">
        <v>45</v>
      </c>
      <c r="J6" s="1" t="s">
        <v>45</v>
      </c>
      <c r="K6" s="11">
        <v>46007</v>
      </c>
      <c r="L6" s="1" t="s">
        <v>80</v>
      </c>
      <c r="M6" s="1">
        <v>469.37</v>
      </c>
      <c r="N6" s="1" t="s">
        <v>56</v>
      </c>
      <c r="O6" s="1">
        <v>100</v>
      </c>
      <c r="P6" s="1" t="s">
        <v>43</v>
      </c>
      <c r="Q6" s="1">
        <v>1601</v>
      </c>
      <c r="R6" s="1">
        <v>25</v>
      </c>
      <c r="S6" s="1">
        <v>4500880560</v>
      </c>
      <c r="T6" s="1" t="s">
        <v>543</v>
      </c>
      <c r="U6" s="1" t="s">
        <v>544</v>
      </c>
      <c r="V6" s="1" t="s">
        <v>57</v>
      </c>
      <c r="W6" s="1" t="s">
        <v>77</v>
      </c>
      <c r="X6" s="1" t="s">
        <v>59</v>
      </c>
      <c r="Y6" s="1">
        <v>0</v>
      </c>
      <c r="Z6" s="1" t="s">
        <v>50</v>
      </c>
      <c r="AA6" s="1" t="s">
        <v>78</v>
      </c>
      <c r="AB6" s="1" t="s">
        <v>61</v>
      </c>
      <c r="AC6" s="1"/>
      <c r="AD6" s="1" t="s">
        <v>52</v>
      </c>
      <c r="AE6" s="1"/>
      <c r="AF6" s="1">
        <v>46140</v>
      </c>
      <c r="AG6" s="1">
        <v>46140</v>
      </c>
      <c r="AH6" s="1">
        <v>46141</v>
      </c>
      <c r="AI6" s="1">
        <v>0</v>
      </c>
      <c r="AJ6" s="1">
        <v>15.83</v>
      </c>
      <c r="AK6" s="1" t="s">
        <v>46</v>
      </c>
      <c r="AL6" s="1">
        <v>253.28</v>
      </c>
      <c r="AM6" s="1" t="s">
        <v>545</v>
      </c>
      <c r="AN6" s="1">
        <v>6200000131</v>
      </c>
      <c r="AO6" s="1"/>
      <c r="AP6" s="12" t="s">
        <v>546</v>
      </c>
      <c r="AQ6" s="13">
        <v>1</v>
      </c>
      <c r="AR6" s="1" t="s">
        <v>62</v>
      </c>
      <c r="AS6" s="1" t="s">
        <v>54</v>
      </c>
    </row>
    <row r="7" spans="1:49" x14ac:dyDescent="0.35">
      <c r="A7" s="11">
        <v>46141</v>
      </c>
      <c r="B7" s="1" t="s">
        <v>667</v>
      </c>
      <c r="C7" s="1" t="s">
        <v>42</v>
      </c>
      <c r="D7" s="1">
        <v>14100244</v>
      </c>
      <c r="E7" s="1" t="s">
        <v>668</v>
      </c>
      <c r="F7" s="1">
        <v>3</v>
      </c>
      <c r="G7" s="1" t="s">
        <v>43</v>
      </c>
      <c r="H7" s="1" t="s">
        <v>44</v>
      </c>
      <c r="I7" s="1" t="s">
        <v>45</v>
      </c>
      <c r="J7" s="1" t="s">
        <v>45</v>
      </c>
      <c r="K7" s="11">
        <v>46122</v>
      </c>
      <c r="L7" s="1" t="s">
        <v>80</v>
      </c>
      <c r="M7" s="1">
        <v>151.27000000000001</v>
      </c>
      <c r="N7" s="1" t="s">
        <v>56</v>
      </c>
      <c r="O7" s="1">
        <v>1</v>
      </c>
      <c r="P7" s="1" t="s">
        <v>43</v>
      </c>
      <c r="Q7" s="1">
        <v>1207</v>
      </c>
      <c r="R7" s="1">
        <v>10</v>
      </c>
      <c r="S7" s="1">
        <v>4500899817</v>
      </c>
      <c r="T7" s="1" t="s">
        <v>669</v>
      </c>
      <c r="U7" s="1" t="s">
        <v>86</v>
      </c>
      <c r="V7" s="1" t="s">
        <v>70</v>
      </c>
      <c r="W7" s="1" t="s">
        <v>84</v>
      </c>
      <c r="X7" s="1" t="s">
        <v>49</v>
      </c>
      <c r="Y7" s="1">
        <v>0</v>
      </c>
      <c r="Z7" s="1" t="s">
        <v>50</v>
      </c>
      <c r="AA7" s="1" t="s">
        <v>85</v>
      </c>
      <c r="AB7" s="1" t="s">
        <v>61</v>
      </c>
      <c r="AC7" s="1"/>
      <c r="AD7" s="1" t="s">
        <v>52</v>
      </c>
      <c r="AE7" s="1"/>
      <c r="AF7" s="1">
        <v>46141</v>
      </c>
      <c r="AG7" s="1">
        <v>46141</v>
      </c>
      <c r="AH7" s="1">
        <v>46142</v>
      </c>
      <c r="AI7" s="1">
        <v>0</v>
      </c>
      <c r="AJ7" s="1">
        <v>519.76</v>
      </c>
      <c r="AK7" s="1" t="s">
        <v>46</v>
      </c>
      <c r="AL7" s="1">
        <v>1559.28</v>
      </c>
      <c r="AM7" s="1" t="s">
        <v>670</v>
      </c>
      <c r="AN7" s="1">
        <v>4211058</v>
      </c>
      <c r="AO7" s="1"/>
      <c r="AP7" s="12" t="s">
        <v>671</v>
      </c>
      <c r="AQ7" s="13">
        <v>2</v>
      </c>
      <c r="AR7" s="1" t="s">
        <v>62</v>
      </c>
      <c r="AS7" s="1" t="s">
        <v>54</v>
      </c>
    </row>
    <row r="8" spans="1:49" x14ac:dyDescent="0.35">
      <c r="A8" s="11">
        <v>46137</v>
      </c>
      <c r="B8" s="1" t="s">
        <v>374</v>
      </c>
      <c r="C8" s="1" t="s">
        <v>64</v>
      </c>
      <c r="D8" s="1">
        <v>14040824</v>
      </c>
      <c r="E8" s="1" t="s">
        <v>375</v>
      </c>
      <c r="F8" s="1">
        <v>5</v>
      </c>
      <c r="G8" s="1" t="s">
        <v>43</v>
      </c>
      <c r="H8" s="1" t="s">
        <v>71</v>
      </c>
      <c r="I8" s="1" t="s">
        <v>45</v>
      </c>
      <c r="J8" s="1" t="s">
        <v>45</v>
      </c>
      <c r="K8" s="11">
        <v>46048</v>
      </c>
      <c r="L8" s="1" t="s">
        <v>80</v>
      </c>
      <c r="M8" s="1">
        <v>440.65</v>
      </c>
      <c r="N8" s="1" t="s">
        <v>56</v>
      </c>
      <c r="O8" s="1">
        <v>1</v>
      </c>
      <c r="P8" s="1" t="s">
        <v>43</v>
      </c>
      <c r="Q8" s="1">
        <v>1102</v>
      </c>
      <c r="R8" s="1">
        <v>4</v>
      </c>
      <c r="S8" s="1">
        <v>4500887670</v>
      </c>
      <c r="T8" s="1" t="s">
        <v>376</v>
      </c>
      <c r="U8" s="1" t="s">
        <v>361</v>
      </c>
      <c r="V8" s="1" t="s">
        <v>70</v>
      </c>
      <c r="W8" s="1" t="s">
        <v>73</v>
      </c>
      <c r="X8" s="1" t="s">
        <v>59</v>
      </c>
      <c r="Y8" s="1">
        <v>0</v>
      </c>
      <c r="Z8" s="1" t="s">
        <v>50</v>
      </c>
      <c r="AA8" s="1" t="s">
        <v>74</v>
      </c>
      <c r="AB8" s="1" t="s">
        <v>61</v>
      </c>
      <c r="AC8" s="1"/>
      <c r="AD8" s="1" t="s">
        <v>52</v>
      </c>
      <c r="AE8" s="1"/>
      <c r="AF8" s="1">
        <v>46137</v>
      </c>
      <c r="AG8" s="1">
        <v>46137</v>
      </c>
      <c r="AH8" s="1">
        <v>46138</v>
      </c>
      <c r="AI8" s="1">
        <v>0</v>
      </c>
      <c r="AJ8" s="1">
        <v>1473.98</v>
      </c>
      <c r="AK8" s="1" t="s">
        <v>46</v>
      </c>
      <c r="AL8" s="1">
        <v>7369.9</v>
      </c>
      <c r="AM8" s="1" t="s">
        <v>377</v>
      </c>
      <c r="AN8" s="1">
        <v>4212177</v>
      </c>
      <c r="AO8" s="1"/>
      <c r="AP8" s="12" t="s">
        <v>378</v>
      </c>
      <c r="AQ8" s="13">
        <v>-2</v>
      </c>
      <c r="AR8" s="1" t="s">
        <v>53</v>
      </c>
      <c r="AS8" s="1" t="s">
        <v>54</v>
      </c>
    </row>
    <row r="9" spans="1:49" x14ac:dyDescent="0.35">
      <c r="A9" s="11">
        <v>46141</v>
      </c>
      <c r="B9" s="1" t="s">
        <v>547</v>
      </c>
      <c r="C9" s="1" t="s">
        <v>81</v>
      </c>
      <c r="D9" s="1">
        <v>14080157</v>
      </c>
      <c r="E9" s="1" t="s">
        <v>548</v>
      </c>
      <c r="F9" s="1">
        <v>13</v>
      </c>
      <c r="G9" s="1" t="s">
        <v>43</v>
      </c>
      <c r="H9" s="1" t="s">
        <v>44</v>
      </c>
      <c r="I9" s="1" t="s">
        <v>45</v>
      </c>
      <c r="J9" s="1" t="s">
        <v>45</v>
      </c>
      <c r="K9" s="11">
        <v>45961</v>
      </c>
      <c r="L9" s="1" t="s">
        <v>82</v>
      </c>
      <c r="M9" s="1">
        <v>15.51</v>
      </c>
      <c r="N9" s="1" t="s">
        <v>56</v>
      </c>
      <c r="O9" s="1">
        <v>1</v>
      </c>
      <c r="P9" s="1" t="s">
        <v>43</v>
      </c>
      <c r="Q9" s="1">
        <v>1207</v>
      </c>
      <c r="R9" s="1">
        <v>15</v>
      </c>
      <c r="S9" s="1">
        <v>4500871505</v>
      </c>
      <c r="T9" s="1" t="s">
        <v>549</v>
      </c>
      <c r="U9" s="1" t="s">
        <v>84</v>
      </c>
      <c r="V9" s="1" t="s">
        <v>47</v>
      </c>
      <c r="W9" s="1" t="s">
        <v>84</v>
      </c>
      <c r="X9" s="1" t="s">
        <v>49</v>
      </c>
      <c r="Y9" s="1">
        <v>0</v>
      </c>
      <c r="Z9" s="1" t="s">
        <v>50</v>
      </c>
      <c r="AA9" s="1" t="s">
        <v>96</v>
      </c>
      <c r="AB9" s="1" t="s">
        <v>83</v>
      </c>
      <c r="AC9" s="1"/>
      <c r="AD9" s="1" t="s">
        <v>52</v>
      </c>
      <c r="AE9" s="1"/>
      <c r="AF9" s="1">
        <v>46141</v>
      </c>
      <c r="AG9" s="1">
        <v>46141</v>
      </c>
      <c r="AH9" s="1">
        <v>46170</v>
      </c>
      <c r="AI9" s="1">
        <v>29</v>
      </c>
      <c r="AJ9" s="1">
        <v>54.24</v>
      </c>
      <c r="AK9" s="1" t="s">
        <v>46</v>
      </c>
      <c r="AL9" s="1">
        <v>705.12</v>
      </c>
      <c r="AM9" s="1"/>
      <c r="AN9" s="1"/>
      <c r="AO9" s="1"/>
      <c r="AP9" s="12" t="s">
        <v>550</v>
      </c>
      <c r="AQ9" s="13">
        <v>2</v>
      </c>
      <c r="AR9" s="1" t="s">
        <v>62</v>
      </c>
      <c r="AS9" s="1" t="s">
        <v>54</v>
      </c>
    </row>
    <row r="10" spans="1:49" ht="20.5" customHeight="1" x14ac:dyDescent="0.35">
      <c r="A10" s="11">
        <v>46136</v>
      </c>
      <c r="B10" s="1" t="s">
        <v>331</v>
      </c>
      <c r="C10" s="1" t="s">
        <v>81</v>
      </c>
      <c r="D10" s="1">
        <v>14076687</v>
      </c>
      <c r="E10" s="1" t="s">
        <v>332</v>
      </c>
      <c r="F10" s="1">
        <v>3</v>
      </c>
      <c r="G10" s="1" t="s">
        <v>43</v>
      </c>
      <c r="H10" s="1" t="s">
        <v>44</v>
      </c>
      <c r="I10" s="1" t="s">
        <v>45</v>
      </c>
      <c r="J10" s="1" t="s">
        <v>45</v>
      </c>
      <c r="K10" s="11">
        <v>46066</v>
      </c>
      <c r="L10" s="1" t="s">
        <v>82</v>
      </c>
      <c r="M10" s="1">
        <v>12.27</v>
      </c>
      <c r="N10" s="1" t="s">
        <v>56</v>
      </c>
      <c r="O10" s="1">
        <v>1</v>
      </c>
      <c r="P10" s="1" t="s">
        <v>43</v>
      </c>
      <c r="Q10" s="1">
        <v>1207</v>
      </c>
      <c r="R10" s="1">
        <v>2</v>
      </c>
      <c r="S10" s="1">
        <v>4500890771</v>
      </c>
      <c r="T10" s="1" t="s">
        <v>143</v>
      </c>
      <c r="U10" s="1" t="s">
        <v>84</v>
      </c>
      <c r="V10" s="1" t="s">
        <v>47</v>
      </c>
      <c r="W10" s="1" t="s">
        <v>84</v>
      </c>
      <c r="X10" s="1" t="s">
        <v>49</v>
      </c>
      <c r="Y10" s="1">
        <v>0</v>
      </c>
      <c r="Z10" s="1" t="s">
        <v>131</v>
      </c>
      <c r="AA10" s="1" t="s">
        <v>96</v>
      </c>
      <c r="AB10" s="1" t="s">
        <v>83</v>
      </c>
      <c r="AC10" s="1" t="s">
        <v>453</v>
      </c>
      <c r="AD10" s="1" t="s">
        <v>276</v>
      </c>
      <c r="AE10" s="1">
        <v>46139</v>
      </c>
      <c r="AF10" s="1">
        <v>46140</v>
      </c>
      <c r="AG10" s="1">
        <v>46136</v>
      </c>
      <c r="AH10" s="1">
        <v>46169</v>
      </c>
      <c r="AI10" s="1">
        <v>29</v>
      </c>
      <c r="AJ10" s="1">
        <v>41.49</v>
      </c>
      <c r="AK10" s="1" t="s">
        <v>46</v>
      </c>
      <c r="AL10" s="1">
        <v>124.47</v>
      </c>
      <c r="AM10" s="1"/>
      <c r="AN10" s="1"/>
      <c r="AO10" s="1"/>
      <c r="AP10" s="12" t="s">
        <v>333</v>
      </c>
      <c r="AQ10" s="13">
        <v>-3</v>
      </c>
      <c r="AR10" s="1" t="s">
        <v>53</v>
      </c>
      <c r="AS10" s="1" t="s">
        <v>54</v>
      </c>
    </row>
    <row r="11" spans="1:49" x14ac:dyDescent="0.35">
      <c r="A11" s="11">
        <v>46142</v>
      </c>
      <c r="B11" s="1" t="s">
        <v>672</v>
      </c>
      <c r="C11" s="1" t="s">
        <v>81</v>
      </c>
      <c r="D11" s="1">
        <v>14074992</v>
      </c>
      <c r="E11" s="1" t="s">
        <v>673</v>
      </c>
      <c r="F11" s="1">
        <v>9</v>
      </c>
      <c r="G11" s="1" t="s">
        <v>43</v>
      </c>
      <c r="H11" s="1" t="s">
        <v>44</v>
      </c>
      <c r="I11" s="1" t="s">
        <v>45</v>
      </c>
      <c r="J11" s="1" t="s">
        <v>45</v>
      </c>
      <c r="K11" s="1"/>
      <c r="L11" s="1"/>
      <c r="M11" s="1"/>
      <c r="N11" s="1"/>
      <c r="O11" s="1"/>
      <c r="P11" s="1"/>
      <c r="Q11" s="1"/>
      <c r="R11" s="1"/>
      <c r="S11" s="1"/>
      <c r="T11" s="1" t="s">
        <v>143</v>
      </c>
      <c r="U11" s="1" t="s">
        <v>84</v>
      </c>
      <c r="V11" s="1" t="s">
        <v>47</v>
      </c>
      <c r="W11" s="1" t="s">
        <v>84</v>
      </c>
      <c r="X11" s="1" t="s">
        <v>49</v>
      </c>
      <c r="Y11" s="1">
        <v>0</v>
      </c>
      <c r="Z11" s="1" t="s">
        <v>50</v>
      </c>
      <c r="AA11" s="1" t="s">
        <v>96</v>
      </c>
      <c r="AB11" s="1" t="s">
        <v>83</v>
      </c>
      <c r="AC11" s="1"/>
      <c r="AD11" s="1" t="s">
        <v>52</v>
      </c>
      <c r="AE11" s="1"/>
      <c r="AF11" s="1">
        <v>46142</v>
      </c>
      <c r="AG11" s="1">
        <v>46142</v>
      </c>
      <c r="AH11" s="1">
        <v>46171</v>
      </c>
      <c r="AI11" s="1">
        <v>29</v>
      </c>
      <c r="AJ11" s="1">
        <v>15.5</v>
      </c>
      <c r="AK11" s="1" t="s">
        <v>46</v>
      </c>
      <c r="AL11" s="1">
        <v>139.5</v>
      </c>
      <c r="AM11" s="1"/>
      <c r="AN11" s="1"/>
      <c r="AO11" s="1"/>
      <c r="AP11" s="12" t="s">
        <v>674</v>
      </c>
      <c r="AQ11" s="13">
        <v>3</v>
      </c>
      <c r="AR11" s="1" t="s">
        <v>62</v>
      </c>
      <c r="AS11" s="1" t="s">
        <v>54</v>
      </c>
      <c r="AV11" s="87"/>
    </row>
    <row r="12" spans="1:49" x14ac:dyDescent="0.35">
      <c r="A12" s="11">
        <v>46137</v>
      </c>
      <c r="B12" s="1" t="s">
        <v>398</v>
      </c>
      <c r="C12" s="1" t="s">
        <v>42</v>
      </c>
      <c r="D12" s="1">
        <v>14077982</v>
      </c>
      <c r="E12" s="1" t="s">
        <v>399</v>
      </c>
      <c r="F12" s="1">
        <v>8</v>
      </c>
      <c r="G12" s="1" t="s">
        <v>43</v>
      </c>
      <c r="H12" s="1" t="s">
        <v>71</v>
      </c>
      <c r="I12" s="1" t="s">
        <v>45</v>
      </c>
      <c r="J12" s="1" t="s">
        <v>45</v>
      </c>
      <c r="K12" s="1"/>
      <c r="L12" s="1"/>
      <c r="M12" s="1"/>
      <c r="N12" s="1"/>
      <c r="O12" s="1"/>
      <c r="P12" s="1"/>
      <c r="Q12" s="1"/>
      <c r="R12" s="1"/>
      <c r="S12" s="1"/>
      <c r="T12" s="1" t="s">
        <v>400</v>
      </c>
      <c r="U12" s="1" t="s">
        <v>367</v>
      </c>
      <c r="V12" s="1" t="s">
        <v>70</v>
      </c>
      <c r="W12" s="1" t="s">
        <v>73</v>
      </c>
      <c r="X12" s="1" t="s">
        <v>59</v>
      </c>
      <c r="Y12" s="1">
        <v>0</v>
      </c>
      <c r="Z12" s="1" t="s">
        <v>50</v>
      </c>
      <c r="AA12" s="1" t="s">
        <v>74</v>
      </c>
      <c r="AB12" s="1" t="s">
        <v>61</v>
      </c>
      <c r="AC12" s="1"/>
      <c r="AD12" s="1" t="s">
        <v>52</v>
      </c>
      <c r="AE12" s="1"/>
      <c r="AF12" s="1">
        <v>46137</v>
      </c>
      <c r="AG12" s="1">
        <v>46137</v>
      </c>
      <c r="AH12" s="1">
        <v>46138</v>
      </c>
      <c r="AI12" s="1">
        <v>0</v>
      </c>
      <c r="AJ12" s="1">
        <v>26.29</v>
      </c>
      <c r="AK12" s="1" t="s">
        <v>46</v>
      </c>
      <c r="AL12" s="1">
        <v>210.32</v>
      </c>
      <c r="AM12" s="1" t="s">
        <v>401</v>
      </c>
      <c r="AN12" s="1">
        <v>2023337</v>
      </c>
      <c r="AO12" s="1"/>
      <c r="AP12" s="12" t="s">
        <v>402</v>
      </c>
      <c r="AQ12" s="13">
        <v>-2</v>
      </c>
      <c r="AR12" s="1" t="s">
        <v>53</v>
      </c>
      <c r="AS12" s="1" t="s">
        <v>54</v>
      </c>
    </row>
    <row r="13" spans="1:49" x14ac:dyDescent="0.35">
      <c r="A13" s="11">
        <v>46137</v>
      </c>
      <c r="B13" s="1" t="s">
        <v>398</v>
      </c>
      <c r="C13" s="1" t="s">
        <v>63</v>
      </c>
      <c r="D13" s="1">
        <v>14088444</v>
      </c>
      <c r="E13" s="1" t="s">
        <v>403</v>
      </c>
      <c r="F13" s="1">
        <v>1</v>
      </c>
      <c r="G13" s="1" t="s">
        <v>43</v>
      </c>
      <c r="H13" s="1" t="s">
        <v>71</v>
      </c>
      <c r="I13" s="1" t="s">
        <v>45</v>
      </c>
      <c r="J13" s="1" t="s">
        <v>45</v>
      </c>
      <c r="K13" s="1"/>
      <c r="L13" s="1"/>
      <c r="M13" s="1"/>
      <c r="N13" s="1"/>
      <c r="O13" s="1"/>
      <c r="P13" s="1"/>
      <c r="Q13" s="1"/>
      <c r="R13" s="1"/>
      <c r="S13" s="1"/>
      <c r="T13" s="1" t="s">
        <v>400</v>
      </c>
      <c r="U13" s="1" t="s">
        <v>367</v>
      </c>
      <c r="V13" s="1" t="s">
        <v>70</v>
      </c>
      <c r="W13" s="1" t="s">
        <v>73</v>
      </c>
      <c r="X13" s="1" t="s">
        <v>59</v>
      </c>
      <c r="Y13" s="1">
        <v>0</v>
      </c>
      <c r="Z13" s="1" t="s">
        <v>50</v>
      </c>
      <c r="AA13" s="1" t="s">
        <v>74</v>
      </c>
      <c r="AB13" s="1" t="s">
        <v>61</v>
      </c>
      <c r="AC13" s="1"/>
      <c r="AD13" s="1" t="s">
        <v>52</v>
      </c>
      <c r="AE13" s="1"/>
      <c r="AF13" s="1">
        <v>46137</v>
      </c>
      <c r="AG13" s="1">
        <v>46137</v>
      </c>
      <c r="AH13" s="1">
        <v>46138</v>
      </c>
      <c r="AI13" s="1">
        <v>0</v>
      </c>
      <c r="AJ13" s="1">
        <v>17.71</v>
      </c>
      <c r="AK13" s="1" t="s">
        <v>46</v>
      </c>
      <c r="AL13" s="1">
        <v>17.71</v>
      </c>
      <c r="AM13" s="1" t="s">
        <v>404</v>
      </c>
      <c r="AN13" s="1">
        <v>2023337</v>
      </c>
      <c r="AO13" s="1"/>
      <c r="AP13" s="12" t="s">
        <v>405</v>
      </c>
      <c r="AQ13" s="13">
        <v>-2</v>
      </c>
      <c r="AR13" s="1" t="s">
        <v>53</v>
      </c>
      <c r="AS13" s="1" t="s">
        <v>54</v>
      </c>
    </row>
    <row r="14" spans="1:49" x14ac:dyDescent="0.35">
      <c r="A14" s="11">
        <v>46137</v>
      </c>
      <c r="B14" s="1" t="s">
        <v>398</v>
      </c>
      <c r="C14" s="1" t="s">
        <v>64</v>
      </c>
      <c r="D14" s="1">
        <v>14080029</v>
      </c>
      <c r="E14" s="1" t="s">
        <v>406</v>
      </c>
      <c r="F14" s="1">
        <v>6</v>
      </c>
      <c r="G14" s="1" t="s">
        <v>43</v>
      </c>
      <c r="H14" s="1" t="s">
        <v>71</v>
      </c>
      <c r="I14" s="1" t="s">
        <v>45</v>
      </c>
      <c r="J14" s="1" t="s">
        <v>45</v>
      </c>
      <c r="K14" s="1"/>
      <c r="L14" s="1"/>
      <c r="M14" s="1"/>
      <c r="N14" s="1"/>
      <c r="O14" s="1"/>
      <c r="P14" s="1"/>
      <c r="Q14" s="1"/>
      <c r="R14" s="1"/>
      <c r="S14" s="1"/>
      <c r="T14" s="1" t="s">
        <v>400</v>
      </c>
      <c r="U14" s="1" t="s">
        <v>367</v>
      </c>
      <c r="V14" s="1" t="s">
        <v>397</v>
      </c>
      <c r="W14" s="1" t="s">
        <v>73</v>
      </c>
      <c r="X14" s="1" t="s">
        <v>59</v>
      </c>
      <c r="Y14" s="1">
        <v>0</v>
      </c>
      <c r="Z14" s="1" t="s">
        <v>50</v>
      </c>
      <c r="AA14" s="1" t="s">
        <v>74</v>
      </c>
      <c r="AB14" s="1" t="s">
        <v>61</v>
      </c>
      <c r="AC14" s="1"/>
      <c r="AD14" s="1" t="s">
        <v>52</v>
      </c>
      <c r="AE14" s="1"/>
      <c r="AF14" s="1">
        <v>46137</v>
      </c>
      <c r="AG14" s="1">
        <v>46137</v>
      </c>
      <c r="AH14" s="1">
        <v>46137</v>
      </c>
      <c r="AI14" s="1">
        <v>0</v>
      </c>
      <c r="AJ14" s="1">
        <v>47.62</v>
      </c>
      <c r="AK14" s="1" t="s">
        <v>46</v>
      </c>
      <c r="AL14" s="1">
        <v>285.72000000000003</v>
      </c>
      <c r="AM14" s="1" t="s">
        <v>407</v>
      </c>
      <c r="AN14" s="1">
        <v>2023337</v>
      </c>
      <c r="AO14" s="1"/>
      <c r="AP14" s="12" t="s">
        <v>408</v>
      </c>
      <c r="AQ14" s="13">
        <v>-2</v>
      </c>
      <c r="AR14" s="1" t="s">
        <v>53</v>
      </c>
      <c r="AS14" s="1" t="s">
        <v>54</v>
      </c>
    </row>
    <row r="15" spans="1:49" x14ac:dyDescent="0.35">
      <c r="A15" s="11">
        <v>46141</v>
      </c>
      <c r="B15" s="1" t="s">
        <v>675</v>
      </c>
      <c r="C15" s="1" t="s">
        <v>42</v>
      </c>
      <c r="D15" s="1">
        <v>14088444</v>
      </c>
      <c r="E15" s="1" t="s">
        <v>676</v>
      </c>
      <c r="F15" s="1">
        <v>4</v>
      </c>
      <c r="G15" s="1" t="s">
        <v>43</v>
      </c>
      <c r="H15" s="1" t="s">
        <v>71</v>
      </c>
      <c r="I15" s="1" t="s">
        <v>45</v>
      </c>
      <c r="J15" s="1" t="s">
        <v>45</v>
      </c>
      <c r="K15" s="1"/>
      <c r="L15" s="1"/>
      <c r="M15" s="1"/>
      <c r="N15" s="1"/>
      <c r="O15" s="1"/>
      <c r="P15" s="1"/>
      <c r="Q15" s="1"/>
      <c r="R15" s="1"/>
      <c r="S15" s="1"/>
      <c r="T15" s="1" t="s">
        <v>400</v>
      </c>
      <c r="U15" s="1" t="s">
        <v>367</v>
      </c>
      <c r="V15" s="1" t="s">
        <v>70</v>
      </c>
      <c r="W15" s="1" t="s">
        <v>73</v>
      </c>
      <c r="X15" s="1" t="s">
        <v>59</v>
      </c>
      <c r="Y15" s="1">
        <v>0</v>
      </c>
      <c r="Z15" s="1" t="s">
        <v>50</v>
      </c>
      <c r="AA15" s="1" t="s">
        <v>74</v>
      </c>
      <c r="AB15" s="1" t="s">
        <v>61</v>
      </c>
      <c r="AC15" s="1"/>
      <c r="AD15" s="1" t="s">
        <v>52</v>
      </c>
      <c r="AE15" s="1"/>
      <c r="AF15" s="1">
        <v>46141</v>
      </c>
      <c r="AG15" s="1">
        <v>46141</v>
      </c>
      <c r="AH15" s="1">
        <v>46142</v>
      </c>
      <c r="AI15" s="1">
        <v>0</v>
      </c>
      <c r="AJ15" s="1">
        <v>17.71</v>
      </c>
      <c r="AK15" s="1" t="s">
        <v>46</v>
      </c>
      <c r="AL15" s="1">
        <v>70.84</v>
      </c>
      <c r="AM15" s="1" t="s">
        <v>677</v>
      </c>
      <c r="AN15" s="1">
        <v>2023337</v>
      </c>
      <c r="AO15" s="1"/>
      <c r="AP15" s="12" t="s">
        <v>678</v>
      </c>
      <c r="AQ15" s="13">
        <v>2</v>
      </c>
      <c r="AR15" s="1" t="s">
        <v>62</v>
      </c>
      <c r="AS15" s="1" t="s">
        <v>54</v>
      </c>
      <c r="AV15" s="87"/>
    </row>
    <row r="16" spans="1:49" x14ac:dyDescent="0.35">
      <c r="A16" s="11">
        <v>46114</v>
      </c>
      <c r="B16" s="1" t="s">
        <v>562</v>
      </c>
      <c r="C16" s="1" t="s">
        <v>42</v>
      </c>
      <c r="D16" s="67">
        <v>14077434</v>
      </c>
      <c r="E16" s="1" t="s">
        <v>563</v>
      </c>
      <c r="F16" s="1">
        <v>12</v>
      </c>
      <c r="G16" s="1" t="s">
        <v>43</v>
      </c>
      <c r="H16" s="1" t="s">
        <v>44</v>
      </c>
      <c r="I16" s="1" t="s">
        <v>45</v>
      </c>
      <c r="J16" s="1" t="s">
        <v>45</v>
      </c>
      <c r="K16" s="1"/>
      <c r="L16" s="1"/>
      <c r="M16" s="1"/>
      <c r="N16" s="1"/>
      <c r="O16" s="1"/>
      <c r="P16" s="1"/>
      <c r="Q16" s="1"/>
      <c r="R16" s="1"/>
      <c r="S16" s="1"/>
      <c r="T16" s="1" t="s">
        <v>564</v>
      </c>
      <c r="U16" s="1" t="s">
        <v>69</v>
      </c>
      <c r="V16" s="1" t="s">
        <v>70</v>
      </c>
      <c r="W16" s="1" t="s">
        <v>84</v>
      </c>
      <c r="X16" s="1" t="s">
        <v>49</v>
      </c>
      <c r="Y16" s="1">
        <v>0</v>
      </c>
      <c r="Z16" s="1" t="s">
        <v>131</v>
      </c>
      <c r="AA16" s="1" t="s">
        <v>87</v>
      </c>
      <c r="AB16" s="1" t="s">
        <v>61</v>
      </c>
      <c r="AC16" s="1" t="s">
        <v>560</v>
      </c>
      <c r="AD16" s="1" t="s">
        <v>63</v>
      </c>
      <c r="AE16" s="1">
        <v>46121</v>
      </c>
      <c r="AF16" s="1">
        <v>46114</v>
      </c>
      <c r="AG16" s="1">
        <v>46114</v>
      </c>
      <c r="AH16" s="1">
        <v>46115</v>
      </c>
      <c r="AI16" s="1">
        <v>0</v>
      </c>
      <c r="AJ16" s="1">
        <v>12.9</v>
      </c>
      <c r="AK16" s="1" t="s">
        <v>46</v>
      </c>
      <c r="AL16" s="1">
        <v>154.80000000000001</v>
      </c>
      <c r="AM16" s="1" t="s">
        <v>565</v>
      </c>
      <c r="AN16" s="1">
        <v>4210670</v>
      </c>
      <c r="AO16" s="1"/>
      <c r="AP16" s="12" t="s">
        <v>566</v>
      </c>
      <c r="AQ16" s="13">
        <v>-25</v>
      </c>
      <c r="AR16" s="1" t="s">
        <v>53</v>
      </c>
      <c r="AS16" s="1" t="s">
        <v>54</v>
      </c>
      <c r="AU16" s="84" t="s">
        <v>516</v>
      </c>
      <c r="AV16" s="87">
        <v>46141.486828703702</v>
      </c>
      <c r="AW16" s="84" t="s">
        <v>647</v>
      </c>
    </row>
    <row r="17" spans="1:49" x14ac:dyDescent="0.35">
      <c r="A17" s="11">
        <v>46142</v>
      </c>
      <c r="B17" s="1" t="s">
        <v>679</v>
      </c>
      <c r="C17" s="1" t="s">
        <v>81</v>
      </c>
      <c r="D17" s="1">
        <v>14073962</v>
      </c>
      <c r="E17" s="1" t="s">
        <v>680</v>
      </c>
      <c r="F17" s="1">
        <v>25</v>
      </c>
      <c r="G17" s="1" t="s">
        <v>43</v>
      </c>
      <c r="H17" s="1" t="s">
        <v>44</v>
      </c>
      <c r="I17" s="1">
        <v>0.84</v>
      </c>
      <c r="J17" s="1">
        <v>107912</v>
      </c>
      <c r="K17" s="11">
        <v>45950</v>
      </c>
      <c r="L17" s="1" t="s">
        <v>330</v>
      </c>
      <c r="M17" s="1">
        <v>0.84</v>
      </c>
      <c r="N17" s="1" t="s">
        <v>46</v>
      </c>
      <c r="O17" s="1">
        <v>1</v>
      </c>
      <c r="P17" s="1" t="s">
        <v>43</v>
      </c>
      <c r="Q17" s="1">
        <v>1207</v>
      </c>
      <c r="R17" s="1">
        <v>50</v>
      </c>
      <c r="S17" s="1">
        <v>4500869843</v>
      </c>
      <c r="T17" s="1" t="s">
        <v>579</v>
      </c>
      <c r="U17" s="1" t="s">
        <v>84</v>
      </c>
      <c r="V17" s="1" t="s">
        <v>47</v>
      </c>
      <c r="W17" s="1" t="s">
        <v>84</v>
      </c>
      <c r="X17" s="1" t="s">
        <v>49</v>
      </c>
      <c r="Y17" s="1">
        <v>0</v>
      </c>
      <c r="Z17" s="1" t="s">
        <v>50</v>
      </c>
      <c r="AA17" s="1" t="s">
        <v>96</v>
      </c>
      <c r="AB17" s="1" t="s">
        <v>83</v>
      </c>
      <c r="AC17" s="1"/>
      <c r="AD17" s="1" t="s">
        <v>52</v>
      </c>
      <c r="AE17" s="1"/>
      <c r="AF17" s="1">
        <v>46142</v>
      </c>
      <c r="AG17" s="1">
        <v>46142</v>
      </c>
      <c r="AH17" s="1">
        <v>46171</v>
      </c>
      <c r="AI17" s="1">
        <v>29</v>
      </c>
      <c r="AJ17" s="1">
        <v>0.81</v>
      </c>
      <c r="AK17" s="1" t="s">
        <v>46</v>
      </c>
      <c r="AL17" s="1">
        <v>20.25</v>
      </c>
      <c r="AM17" s="1"/>
      <c r="AN17" s="1"/>
      <c r="AO17" s="1"/>
      <c r="AP17" s="12" t="s">
        <v>681</v>
      </c>
      <c r="AQ17" s="13">
        <v>3</v>
      </c>
      <c r="AR17" s="1" t="s">
        <v>62</v>
      </c>
      <c r="AS17" s="1" t="s">
        <v>54</v>
      </c>
    </row>
    <row r="18" spans="1:49" x14ac:dyDescent="0.35">
      <c r="A18" s="11">
        <v>46142</v>
      </c>
      <c r="B18" s="1" t="s">
        <v>682</v>
      </c>
      <c r="C18" s="1" t="s">
        <v>81</v>
      </c>
      <c r="D18" s="1">
        <v>14073969</v>
      </c>
      <c r="E18" s="1" t="s">
        <v>683</v>
      </c>
      <c r="F18" s="1">
        <v>450</v>
      </c>
      <c r="G18" s="1" t="s">
        <v>43</v>
      </c>
      <c r="H18" s="1" t="s">
        <v>44</v>
      </c>
      <c r="I18" s="1">
        <v>1.3457288135593224</v>
      </c>
      <c r="J18" s="1">
        <v>152326</v>
      </c>
      <c r="K18" s="1"/>
      <c r="L18" s="1"/>
      <c r="M18" s="1"/>
      <c r="N18" s="1"/>
      <c r="O18" s="1"/>
      <c r="P18" s="1"/>
      <c r="Q18" s="1"/>
      <c r="R18" s="1"/>
      <c r="S18" s="1"/>
      <c r="T18" s="1" t="s">
        <v>579</v>
      </c>
      <c r="U18" s="1" t="s">
        <v>84</v>
      </c>
      <c r="V18" s="1" t="s">
        <v>47</v>
      </c>
      <c r="W18" s="1" t="s">
        <v>84</v>
      </c>
      <c r="X18" s="1" t="s">
        <v>49</v>
      </c>
      <c r="Y18" s="1">
        <v>0</v>
      </c>
      <c r="Z18" s="1" t="s">
        <v>50</v>
      </c>
      <c r="AA18" s="1" t="s">
        <v>96</v>
      </c>
      <c r="AB18" s="1" t="s">
        <v>83</v>
      </c>
      <c r="AC18" s="1"/>
      <c r="AD18" s="1" t="s">
        <v>52</v>
      </c>
      <c r="AE18" s="1"/>
      <c r="AF18" s="1">
        <v>46142</v>
      </c>
      <c r="AG18" s="1">
        <v>46142</v>
      </c>
      <c r="AH18" s="1">
        <v>46171</v>
      </c>
      <c r="AI18" s="1">
        <v>29</v>
      </c>
      <c r="AJ18" s="1">
        <v>1.6</v>
      </c>
      <c r="AK18" s="1" t="s">
        <v>46</v>
      </c>
      <c r="AL18" s="1">
        <v>720</v>
      </c>
      <c r="AM18" s="1"/>
      <c r="AN18" s="1"/>
      <c r="AO18" s="1"/>
      <c r="AP18" s="12" t="s">
        <v>684</v>
      </c>
      <c r="AQ18" s="13">
        <v>3</v>
      </c>
      <c r="AR18" s="1" t="s">
        <v>62</v>
      </c>
      <c r="AS18" s="1" t="s">
        <v>54</v>
      </c>
    </row>
    <row r="19" spans="1:49" x14ac:dyDescent="0.35">
      <c r="A19" s="11">
        <v>45964</v>
      </c>
      <c r="B19" s="1" t="s">
        <v>345</v>
      </c>
      <c r="C19" s="1" t="s">
        <v>42</v>
      </c>
      <c r="D19" s="67">
        <v>14071061</v>
      </c>
      <c r="E19" s="1" t="s">
        <v>346</v>
      </c>
      <c r="F19" s="1">
        <v>1</v>
      </c>
      <c r="G19" s="1" t="s">
        <v>43</v>
      </c>
      <c r="H19" s="1" t="s">
        <v>92</v>
      </c>
      <c r="I19" s="1" t="s">
        <v>45</v>
      </c>
      <c r="J19" s="1" t="s">
        <v>45</v>
      </c>
      <c r="K19" s="1"/>
      <c r="L19" s="1"/>
      <c r="M19" s="1"/>
      <c r="N19" s="1"/>
      <c r="O19" s="1"/>
      <c r="P19" s="1"/>
      <c r="Q19" s="1"/>
      <c r="R19" s="1"/>
      <c r="S19" s="1"/>
      <c r="T19" s="1" t="s">
        <v>72</v>
      </c>
      <c r="U19" s="1" t="s">
        <v>347</v>
      </c>
      <c r="V19" s="1" t="s">
        <v>104</v>
      </c>
      <c r="W19" s="1" t="s">
        <v>93</v>
      </c>
      <c r="X19" s="1" t="s">
        <v>59</v>
      </c>
      <c r="Y19" s="1">
        <v>0</v>
      </c>
      <c r="Z19" s="1" t="s">
        <v>131</v>
      </c>
      <c r="AA19" s="1" t="s">
        <v>94</v>
      </c>
      <c r="AB19" s="1" t="s">
        <v>61</v>
      </c>
      <c r="AC19" s="1" t="s">
        <v>348</v>
      </c>
      <c r="AD19" s="1" t="s">
        <v>42</v>
      </c>
      <c r="AE19" s="1">
        <v>45980</v>
      </c>
      <c r="AF19" s="1">
        <v>45964</v>
      </c>
      <c r="AG19" s="1">
        <v>45964</v>
      </c>
      <c r="AH19" s="1">
        <v>45994</v>
      </c>
      <c r="AI19" s="1">
        <v>29</v>
      </c>
      <c r="AJ19" s="1">
        <v>7.63</v>
      </c>
      <c r="AK19" s="1" t="s">
        <v>46</v>
      </c>
      <c r="AL19" s="1">
        <v>7.63</v>
      </c>
      <c r="AM19" s="1" t="s">
        <v>349</v>
      </c>
      <c r="AN19" s="1">
        <v>4201895</v>
      </c>
      <c r="AO19" s="1"/>
      <c r="AP19" s="12" t="s">
        <v>350</v>
      </c>
      <c r="AQ19" s="13">
        <v>-175</v>
      </c>
      <c r="AR19" s="1" t="s">
        <v>53</v>
      </c>
      <c r="AS19" s="1" t="s">
        <v>54</v>
      </c>
      <c r="AU19" s="84" t="s">
        <v>516</v>
      </c>
      <c r="AV19" s="87">
        <v>46141.486828703702</v>
      </c>
      <c r="AW19" s="84" t="s">
        <v>647</v>
      </c>
    </row>
    <row r="20" spans="1:49" x14ac:dyDescent="0.35">
      <c r="A20" s="11">
        <v>46095</v>
      </c>
      <c r="B20" s="1" t="s">
        <v>110</v>
      </c>
      <c r="C20" s="1" t="s">
        <v>42</v>
      </c>
      <c r="D20" s="1">
        <v>14100174</v>
      </c>
      <c r="E20" s="1" t="s">
        <v>111</v>
      </c>
      <c r="F20" s="1">
        <v>2</v>
      </c>
      <c r="G20" s="1" t="s">
        <v>43</v>
      </c>
      <c r="H20" s="1" t="s">
        <v>55</v>
      </c>
      <c r="I20" s="1" t="s">
        <v>45</v>
      </c>
      <c r="J20" s="1" t="s">
        <v>45</v>
      </c>
      <c r="K20" s="1"/>
      <c r="L20" s="1"/>
      <c r="M20" s="1"/>
      <c r="N20" s="1"/>
      <c r="O20" s="1"/>
      <c r="P20" s="1"/>
      <c r="Q20" s="1"/>
      <c r="R20" s="1"/>
      <c r="S20" s="1"/>
      <c r="T20" s="1" t="s">
        <v>72</v>
      </c>
      <c r="U20" s="1" t="s">
        <v>106</v>
      </c>
      <c r="V20" s="1" t="s">
        <v>57</v>
      </c>
      <c r="W20" s="1" t="s">
        <v>58</v>
      </c>
      <c r="X20" s="1" t="s">
        <v>59</v>
      </c>
      <c r="Y20" s="1">
        <v>0</v>
      </c>
      <c r="Z20" s="1" t="s">
        <v>194</v>
      </c>
      <c r="AA20" s="1" t="s">
        <v>60</v>
      </c>
      <c r="AB20" s="1" t="s">
        <v>61</v>
      </c>
      <c r="AC20" s="1"/>
      <c r="AD20" s="1" t="s">
        <v>52</v>
      </c>
      <c r="AE20" s="1"/>
      <c r="AF20" s="1">
        <v>46095</v>
      </c>
      <c r="AG20" s="1">
        <v>46095</v>
      </c>
      <c r="AH20" s="1">
        <v>46096</v>
      </c>
      <c r="AI20" s="1">
        <v>29</v>
      </c>
      <c r="AJ20" s="1">
        <v>48.5</v>
      </c>
      <c r="AK20" s="1" t="s">
        <v>46</v>
      </c>
      <c r="AL20" s="1">
        <v>97</v>
      </c>
      <c r="AM20" s="1" t="s">
        <v>112</v>
      </c>
      <c r="AN20" s="1">
        <v>6200000129</v>
      </c>
      <c r="AO20" s="1"/>
      <c r="AP20" s="12" t="s">
        <v>117</v>
      </c>
      <c r="AQ20" s="13">
        <v>-44</v>
      </c>
      <c r="AR20" s="1" t="s">
        <v>53</v>
      </c>
      <c r="AS20" s="1" t="s">
        <v>54</v>
      </c>
      <c r="AV20" s="87"/>
    </row>
    <row r="21" spans="1:49" x14ac:dyDescent="0.35">
      <c r="A21" s="11">
        <v>46117</v>
      </c>
      <c r="B21" s="1" t="s">
        <v>146</v>
      </c>
      <c r="C21" s="1" t="s">
        <v>81</v>
      </c>
      <c r="D21" s="1">
        <v>14095514</v>
      </c>
      <c r="E21" s="1" t="s">
        <v>147</v>
      </c>
      <c r="F21" s="1">
        <v>1</v>
      </c>
      <c r="G21" s="1" t="s">
        <v>43</v>
      </c>
      <c r="H21" s="1" t="s">
        <v>44</v>
      </c>
      <c r="I21" s="1" t="s">
        <v>45</v>
      </c>
      <c r="J21" s="1" t="s">
        <v>45</v>
      </c>
      <c r="K21" s="11">
        <v>46101</v>
      </c>
      <c r="L21" s="1" t="s">
        <v>148</v>
      </c>
      <c r="M21" s="1">
        <v>327.25</v>
      </c>
      <c r="N21" s="1" t="s">
        <v>56</v>
      </c>
      <c r="O21" s="1">
        <v>1</v>
      </c>
      <c r="P21" s="1" t="s">
        <v>43</v>
      </c>
      <c r="Q21" s="1">
        <v>1208</v>
      </c>
      <c r="R21" s="1">
        <v>2</v>
      </c>
      <c r="S21" s="1">
        <v>4500896757</v>
      </c>
      <c r="T21" s="1" t="s">
        <v>72</v>
      </c>
      <c r="U21" s="1" t="s">
        <v>84</v>
      </c>
      <c r="V21" s="1" t="s">
        <v>70</v>
      </c>
      <c r="W21" s="1" t="s">
        <v>84</v>
      </c>
      <c r="X21" s="1" t="s">
        <v>49</v>
      </c>
      <c r="Y21" s="1">
        <v>0</v>
      </c>
      <c r="Z21" s="1" t="s">
        <v>194</v>
      </c>
      <c r="AA21" s="1" t="s">
        <v>96</v>
      </c>
      <c r="AB21" s="1" t="s">
        <v>83</v>
      </c>
      <c r="AC21" s="1"/>
      <c r="AD21" s="1" t="s">
        <v>52</v>
      </c>
      <c r="AE21" s="1"/>
      <c r="AF21" s="1">
        <v>46125</v>
      </c>
      <c r="AG21" s="1">
        <v>46117</v>
      </c>
      <c r="AH21" s="1">
        <v>46154</v>
      </c>
      <c r="AI21" s="1">
        <v>29</v>
      </c>
      <c r="AJ21" s="1">
        <v>2069.12</v>
      </c>
      <c r="AK21" s="1" t="s">
        <v>46</v>
      </c>
      <c r="AL21" s="1">
        <v>2069.12</v>
      </c>
      <c r="AM21" s="1"/>
      <c r="AN21" s="1"/>
      <c r="AO21" s="1"/>
      <c r="AP21" s="12" t="s">
        <v>149</v>
      </c>
      <c r="AQ21" s="13">
        <v>-22</v>
      </c>
      <c r="AR21" s="1" t="s">
        <v>53</v>
      </c>
      <c r="AS21" s="1" t="s">
        <v>54</v>
      </c>
      <c r="AV21" s="87"/>
    </row>
    <row r="22" spans="1:49" x14ac:dyDescent="0.35">
      <c r="A22" s="66">
        <v>46137</v>
      </c>
      <c r="B22" s="67" t="s">
        <v>409</v>
      </c>
      <c r="C22" s="67" t="s">
        <v>42</v>
      </c>
      <c r="D22" s="67">
        <v>14071061</v>
      </c>
      <c r="E22" s="67" t="s">
        <v>346</v>
      </c>
      <c r="F22" s="67">
        <v>1</v>
      </c>
      <c r="G22" s="67" t="s">
        <v>43</v>
      </c>
      <c r="H22" s="67" t="s">
        <v>71</v>
      </c>
      <c r="I22" s="67" t="s">
        <v>45</v>
      </c>
      <c r="J22" s="67" t="s">
        <v>45</v>
      </c>
      <c r="K22" s="67" t="s">
        <v>646</v>
      </c>
      <c r="L22" s="67" t="s">
        <v>167</v>
      </c>
      <c r="M22" s="67">
        <v>70</v>
      </c>
      <c r="N22" s="67" t="s">
        <v>46</v>
      </c>
      <c r="O22" s="67">
        <v>1</v>
      </c>
      <c r="P22" s="67" t="s">
        <v>43</v>
      </c>
      <c r="Q22" s="67">
        <v>1102</v>
      </c>
      <c r="R22" s="67">
        <v>1</v>
      </c>
      <c r="S22" s="67">
        <v>4500807570</v>
      </c>
      <c r="T22" s="67" t="s">
        <v>72</v>
      </c>
      <c r="U22" s="67" t="s">
        <v>69</v>
      </c>
      <c r="V22" s="67" t="s">
        <v>70</v>
      </c>
      <c r="W22" s="67" t="s">
        <v>73</v>
      </c>
      <c r="X22" s="67" t="s">
        <v>59</v>
      </c>
      <c r="Y22" s="67">
        <v>0</v>
      </c>
      <c r="Z22" s="67" t="s">
        <v>50</v>
      </c>
      <c r="AA22" s="67" t="s">
        <v>74</v>
      </c>
      <c r="AB22" s="67" t="s">
        <v>61</v>
      </c>
      <c r="AC22" s="67"/>
      <c r="AD22" s="67" t="s">
        <v>52</v>
      </c>
      <c r="AE22" s="67"/>
      <c r="AF22" s="67">
        <v>46137</v>
      </c>
      <c r="AG22" s="67">
        <v>46137</v>
      </c>
      <c r="AH22" s="67">
        <v>46138</v>
      </c>
      <c r="AI22" s="67">
        <v>0</v>
      </c>
      <c r="AJ22" s="67">
        <v>84.11</v>
      </c>
      <c r="AK22" s="67" t="s">
        <v>46</v>
      </c>
      <c r="AL22" s="67">
        <v>84.11</v>
      </c>
      <c r="AM22" s="67" t="s">
        <v>410</v>
      </c>
      <c r="AN22" s="67">
        <v>4215944</v>
      </c>
      <c r="AO22" s="67"/>
      <c r="AP22" s="68" t="s">
        <v>411</v>
      </c>
      <c r="AQ22" s="69">
        <v>-2</v>
      </c>
      <c r="AR22" s="67" t="s">
        <v>53</v>
      </c>
      <c r="AS22" s="67" t="s">
        <v>54</v>
      </c>
      <c r="AT22" s="70"/>
      <c r="AU22" s="71" t="s">
        <v>510</v>
      </c>
      <c r="AV22" s="72">
        <v>46142.421423611115</v>
      </c>
      <c r="AW22" s="71" t="s">
        <v>717</v>
      </c>
    </row>
    <row r="23" spans="1:49" x14ac:dyDescent="0.35">
      <c r="A23" s="11">
        <v>46126</v>
      </c>
      <c r="B23" s="1" t="s">
        <v>227</v>
      </c>
      <c r="C23" s="1" t="s">
        <v>42</v>
      </c>
      <c r="D23" s="1">
        <v>14904893</v>
      </c>
      <c r="E23" s="1" t="s">
        <v>228</v>
      </c>
      <c r="F23" s="1">
        <v>1</v>
      </c>
      <c r="G23" s="1" t="s">
        <v>43</v>
      </c>
      <c r="H23" s="1" t="s">
        <v>44</v>
      </c>
      <c r="I23" s="1" t="s">
        <v>45</v>
      </c>
      <c r="J23" s="1" t="s">
        <v>45</v>
      </c>
      <c r="K23" s="1"/>
      <c r="L23" s="1"/>
      <c r="M23" s="1"/>
      <c r="N23" s="1"/>
      <c r="O23" s="1"/>
      <c r="P23" s="1"/>
      <c r="Q23" s="1"/>
      <c r="R23" s="1"/>
      <c r="S23" s="1"/>
      <c r="T23" s="1" t="s">
        <v>229</v>
      </c>
      <c r="U23" s="1" t="s">
        <v>128</v>
      </c>
      <c r="V23" s="1" t="s">
        <v>70</v>
      </c>
      <c r="W23" s="1" t="s">
        <v>84</v>
      </c>
      <c r="X23" s="1" t="s">
        <v>49</v>
      </c>
      <c r="Y23" s="1">
        <v>0</v>
      </c>
      <c r="Z23" s="1" t="s">
        <v>50</v>
      </c>
      <c r="AA23" s="1" t="s">
        <v>87</v>
      </c>
      <c r="AB23" s="1" t="s">
        <v>61</v>
      </c>
      <c r="AC23" s="1"/>
      <c r="AD23" s="1" t="s">
        <v>52</v>
      </c>
      <c r="AE23" s="1"/>
      <c r="AF23" s="1">
        <v>46126</v>
      </c>
      <c r="AG23" s="1">
        <v>46126</v>
      </c>
      <c r="AH23" s="1">
        <v>46127</v>
      </c>
      <c r="AI23" s="1">
        <v>0</v>
      </c>
      <c r="AJ23" s="1">
        <v>126.87</v>
      </c>
      <c r="AK23" s="1" t="s">
        <v>46</v>
      </c>
      <c r="AL23" s="1">
        <v>126.87</v>
      </c>
      <c r="AM23" s="1" t="s">
        <v>230</v>
      </c>
      <c r="AN23" s="1">
        <v>4214406</v>
      </c>
      <c r="AO23" s="1"/>
      <c r="AP23" s="12" t="s">
        <v>231</v>
      </c>
      <c r="AQ23" s="13">
        <v>-13</v>
      </c>
      <c r="AR23" s="1" t="s">
        <v>53</v>
      </c>
      <c r="AS23" s="1" t="s">
        <v>54</v>
      </c>
      <c r="AV23" s="87"/>
    </row>
    <row r="24" spans="1:49" x14ac:dyDescent="0.35">
      <c r="A24" s="11">
        <v>46136</v>
      </c>
      <c r="B24" s="1" t="s">
        <v>412</v>
      </c>
      <c r="C24" s="1" t="s">
        <v>42</v>
      </c>
      <c r="D24" s="1">
        <v>14084895</v>
      </c>
      <c r="E24" s="1" t="s">
        <v>413</v>
      </c>
      <c r="F24" s="1">
        <v>1</v>
      </c>
      <c r="G24" s="1" t="s">
        <v>43</v>
      </c>
      <c r="H24" s="1" t="s">
        <v>44</v>
      </c>
      <c r="I24" s="1" t="s">
        <v>45</v>
      </c>
      <c r="J24" s="1" t="s">
        <v>45</v>
      </c>
      <c r="K24" s="1"/>
      <c r="L24" s="1"/>
      <c r="M24" s="1"/>
      <c r="N24" s="1"/>
      <c r="O24" s="1"/>
      <c r="P24" s="1"/>
      <c r="Q24" s="1"/>
      <c r="R24" s="1"/>
      <c r="S24" s="1"/>
      <c r="T24" s="1" t="s">
        <v>229</v>
      </c>
      <c r="U24" s="1" t="s">
        <v>128</v>
      </c>
      <c r="V24" s="1" t="s">
        <v>70</v>
      </c>
      <c r="W24" s="1" t="s">
        <v>84</v>
      </c>
      <c r="X24" s="1" t="s">
        <v>49</v>
      </c>
      <c r="Y24" s="1">
        <v>0</v>
      </c>
      <c r="Z24" s="1" t="s">
        <v>50</v>
      </c>
      <c r="AA24" s="1" t="s">
        <v>87</v>
      </c>
      <c r="AB24" s="1" t="s">
        <v>61</v>
      </c>
      <c r="AC24" s="1"/>
      <c r="AD24" s="1" t="s">
        <v>52</v>
      </c>
      <c r="AE24" s="1"/>
      <c r="AF24" s="1">
        <v>46136</v>
      </c>
      <c r="AG24" s="1">
        <v>46136</v>
      </c>
      <c r="AH24" s="1">
        <v>46137</v>
      </c>
      <c r="AI24" s="1">
        <v>0</v>
      </c>
      <c r="AJ24" s="1">
        <v>35.71</v>
      </c>
      <c r="AK24" s="1" t="s">
        <v>46</v>
      </c>
      <c r="AL24" s="1">
        <v>35.71</v>
      </c>
      <c r="AM24" s="1" t="s">
        <v>414</v>
      </c>
      <c r="AN24" s="1">
        <v>4214428</v>
      </c>
      <c r="AO24" s="1"/>
      <c r="AP24" s="12" t="s">
        <v>415</v>
      </c>
      <c r="AQ24" s="13">
        <v>-3</v>
      </c>
      <c r="AR24" s="1" t="s">
        <v>53</v>
      </c>
      <c r="AS24" s="1" t="s">
        <v>54</v>
      </c>
      <c r="AV24" s="87"/>
    </row>
    <row r="25" spans="1:49" x14ac:dyDescent="0.35">
      <c r="A25" s="66">
        <v>46123</v>
      </c>
      <c r="B25" s="67" t="s">
        <v>185</v>
      </c>
      <c r="C25" s="67" t="s">
        <v>42</v>
      </c>
      <c r="D25" s="67">
        <v>14077305</v>
      </c>
      <c r="E25" s="67" t="s">
        <v>685</v>
      </c>
      <c r="F25" s="67">
        <v>1</v>
      </c>
      <c r="G25" s="67" t="s">
        <v>43</v>
      </c>
      <c r="H25" s="67" t="s">
        <v>44</v>
      </c>
      <c r="I25" s="67" t="s">
        <v>45</v>
      </c>
      <c r="J25" s="67" t="s">
        <v>45</v>
      </c>
      <c r="K25" s="66">
        <v>46140</v>
      </c>
      <c r="L25" s="67" t="s">
        <v>593</v>
      </c>
      <c r="M25" s="67">
        <v>10</v>
      </c>
      <c r="N25" s="67" t="s">
        <v>46</v>
      </c>
      <c r="O25" s="67">
        <v>1</v>
      </c>
      <c r="P25" s="67" t="s">
        <v>43</v>
      </c>
      <c r="Q25" s="67">
        <v>1207</v>
      </c>
      <c r="R25" s="67">
        <v>20</v>
      </c>
      <c r="S25" s="67">
        <v>4500903711</v>
      </c>
      <c r="T25" s="67" t="s">
        <v>152</v>
      </c>
      <c r="U25" s="67" t="s">
        <v>134</v>
      </c>
      <c r="V25" s="67" t="s">
        <v>70</v>
      </c>
      <c r="W25" s="67" t="s">
        <v>84</v>
      </c>
      <c r="X25" s="67" t="s">
        <v>49</v>
      </c>
      <c r="Y25" s="67">
        <v>0</v>
      </c>
      <c r="Z25" s="67" t="s">
        <v>50</v>
      </c>
      <c r="AA25" s="67" t="s">
        <v>87</v>
      </c>
      <c r="AB25" s="67" t="s">
        <v>61</v>
      </c>
      <c r="AC25" s="67"/>
      <c r="AD25" s="67" t="s">
        <v>52</v>
      </c>
      <c r="AE25" s="67"/>
      <c r="AF25" s="67">
        <v>46123</v>
      </c>
      <c r="AG25" s="67">
        <v>46141</v>
      </c>
      <c r="AH25" s="67">
        <v>46124</v>
      </c>
      <c r="AI25" s="67">
        <v>0</v>
      </c>
      <c r="AJ25" s="67">
        <v>1.86</v>
      </c>
      <c r="AK25" s="67" t="s">
        <v>46</v>
      </c>
      <c r="AL25" s="67">
        <v>1.86</v>
      </c>
      <c r="AM25" s="67" t="s">
        <v>187</v>
      </c>
      <c r="AN25" s="67">
        <v>4214666</v>
      </c>
      <c r="AO25" s="67"/>
      <c r="AP25" s="68" t="s">
        <v>188</v>
      </c>
      <c r="AQ25" s="69">
        <v>-16</v>
      </c>
      <c r="AR25" s="67" t="s">
        <v>53</v>
      </c>
      <c r="AS25" s="67" t="s">
        <v>54</v>
      </c>
      <c r="AT25" s="70"/>
      <c r="AU25" s="71" t="s">
        <v>510</v>
      </c>
      <c r="AV25" s="72">
        <v>46141.503865740742</v>
      </c>
      <c r="AW25" s="71" t="s">
        <v>651</v>
      </c>
    </row>
    <row r="26" spans="1:49" x14ac:dyDescent="0.35">
      <c r="A26" s="66">
        <v>46124</v>
      </c>
      <c r="B26" s="67" t="s">
        <v>200</v>
      </c>
      <c r="C26" s="67" t="s">
        <v>42</v>
      </c>
      <c r="D26" s="67">
        <v>14013754</v>
      </c>
      <c r="E26" s="67" t="s">
        <v>201</v>
      </c>
      <c r="F26" s="67">
        <v>24</v>
      </c>
      <c r="G26" s="67" t="s">
        <v>43</v>
      </c>
      <c r="H26" s="67" t="s">
        <v>44</v>
      </c>
      <c r="I26" s="67" t="s">
        <v>45</v>
      </c>
      <c r="J26" s="67" t="s">
        <v>45</v>
      </c>
      <c r="K26" s="67"/>
      <c r="L26" s="67"/>
      <c r="M26" s="67"/>
      <c r="N26" s="67"/>
      <c r="O26" s="67"/>
      <c r="P26" s="67"/>
      <c r="Q26" s="67"/>
      <c r="R26" s="67"/>
      <c r="S26" s="67"/>
      <c r="T26" s="67" t="s">
        <v>152</v>
      </c>
      <c r="U26" s="67" t="s">
        <v>109</v>
      </c>
      <c r="V26" s="67" t="s">
        <v>70</v>
      </c>
      <c r="W26" s="67" t="s">
        <v>84</v>
      </c>
      <c r="X26" s="67" t="s">
        <v>49</v>
      </c>
      <c r="Y26" s="67">
        <v>0</v>
      </c>
      <c r="Z26" s="67" t="s">
        <v>50</v>
      </c>
      <c r="AA26" s="67" t="s">
        <v>87</v>
      </c>
      <c r="AB26" s="67" t="s">
        <v>61</v>
      </c>
      <c r="AC26" s="67"/>
      <c r="AD26" s="67" t="s">
        <v>52</v>
      </c>
      <c r="AE26" s="67"/>
      <c r="AF26" s="67">
        <v>46124</v>
      </c>
      <c r="AG26" s="67">
        <v>46124</v>
      </c>
      <c r="AH26" s="67">
        <v>46154</v>
      </c>
      <c r="AI26" s="67">
        <v>29</v>
      </c>
      <c r="AJ26" s="67">
        <v>3.46</v>
      </c>
      <c r="AK26" s="67" t="s">
        <v>46</v>
      </c>
      <c r="AL26" s="67">
        <v>83.04</v>
      </c>
      <c r="AM26" s="67" t="s">
        <v>202</v>
      </c>
      <c r="AN26" s="67">
        <v>4215124</v>
      </c>
      <c r="AO26" s="67"/>
      <c r="AP26" s="68" t="s">
        <v>203</v>
      </c>
      <c r="AQ26" s="69">
        <v>-15</v>
      </c>
      <c r="AR26" s="67" t="s">
        <v>53</v>
      </c>
      <c r="AS26" s="67" t="s">
        <v>54</v>
      </c>
      <c r="AT26" s="70"/>
      <c r="AU26" s="71" t="s">
        <v>510</v>
      </c>
      <c r="AV26" s="72">
        <v>46141.590763888889</v>
      </c>
      <c r="AW26" s="71" t="s">
        <v>658</v>
      </c>
    </row>
    <row r="27" spans="1:49" x14ac:dyDescent="0.35">
      <c r="A27" s="11">
        <v>46133</v>
      </c>
      <c r="B27" s="1" t="s">
        <v>299</v>
      </c>
      <c r="C27" s="1" t="s">
        <v>42</v>
      </c>
      <c r="D27" s="101">
        <v>14092817</v>
      </c>
      <c r="E27" s="1" t="s">
        <v>300</v>
      </c>
      <c r="F27" s="1">
        <v>15</v>
      </c>
      <c r="G27" s="1" t="s">
        <v>43</v>
      </c>
      <c r="H27" s="1" t="s">
        <v>88</v>
      </c>
      <c r="I27" s="1" t="s">
        <v>45</v>
      </c>
      <c r="J27" s="1" t="s">
        <v>45</v>
      </c>
      <c r="K27" s="1"/>
      <c r="L27" s="1"/>
      <c r="M27" s="1"/>
      <c r="N27" s="1"/>
      <c r="O27" s="1"/>
      <c r="P27" s="1"/>
      <c r="Q27" s="1"/>
      <c r="R27" s="1"/>
      <c r="S27" s="1"/>
      <c r="T27" s="1" t="s">
        <v>152</v>
      </c>
      <c r="U27" s="1" t="s">
        <v>301</v>
      </c>
      <c r="V27" s="1" t="s">
        <v>70</v>
      </c>
      <c r="W27" s="1" t="s">
        <v>89</v>
      </c>
      <c r="X27" s="1" t="s">
        <v>59</v>
      </c>
      <c r="Y27" s="1">
        <v>0</v>
      </c>
      <c r="Z27" s="1" t="s">
        <v>50</v>
      </c>
      <c r="AA27" s="1" t="s">
        <v>90</v>
      </c>
      <c r="AB27" s="1" t="s">
        <v>61</v>
      </c>
      <c r="AC27" s="1"/>
      <c r="AD27" s="1" t="s">
        <v>52</v>
      </c>
      <c r="AE27" s="1"/>
      <c r="AF27" s="1">
        <v>46133</v>
      </c>
      <c r="AG27" s="1">
        <v>46133</v>
      </c>
      <c r="AH27" s="1">
        <v>46134</v>
      </c>
      <c r="AI27" s="1">
        <v>0</v>
      </c>
      <c r="AJ27" s="1">
        <v>23.24</v>
      </c>
      <c r="AK27" s="1" t="s">
        <v>46</v>
      </c>
      <c r="AL27" s="1">
        <v>348.6</v>
      </c>
      <c r="AM27" s="1" t="s">
        <v>302</v>
      </c>
      <c r="AN27" s="1">
        <v>2022437</v>
      </c>
      <c r="AO27" s="1"/>
      <c r="AP27" s="12" t="s">
        <v>303</v>
      </c>
      <c r="AQ27" s="13">
        <v>-6</v>
      </c>
      <c r="AR27" s="1" t="s">
        <v>53</v>
      </c>
      <c r="AS27" s="1" t="s">
        <v>54</v>
      </c>
      <c r="AU27" s="84" t="s">
        <v>516</v>
      </c>
      <c r="AV27" s="87">
        <v>46141.592546296299</v>
      </c>
      <c r="AW27" s="84" t="s">
        <v>659</v>
      </c>
    </row>
    <row r="28" spans="1:49" ht="27" customHeight="1" x14ac:dyDescent="0.35">
      <c r="A28" s="11">
        <v>46133</v>
      </c>
      <c r="B28" s="1" t="s">
        <v>299</v>
      </c>
      <c r="C28" s="1" t="s">
        <v>63</v>
      </c>
      <c r="D28" s="101">
        <v>14091436</v>
      </c>
      <c r="E28" s="1" t="s">
        <v>304</v>
      </c>
      <c r="F28" s="1">
        <v>15</v>
      </c>
      <c r="G28" s="1" t="s">
        <v>43</v>
      </c>
      <c r="H28" s="1" t="s">
        <v>88</v>
      </c>
      <c r="I28" s="1" t="s">
        <v>45</v>
      </c>
      <c r="J28" s="1" t="s">
        <v>45</v>
      </c>
      <c r="K28" s="1"/>
      <c r="L28" s="1"/>
      <c r="M28" s="1"/>
      <c r="N28" s="1"/>
      <c r="O28" s="1"/>
      <c r="P28" s="1"/>
      <c r="Q28" s="1"/>
      <c r="R28" s="1"/>
      <c r="S28" s="1"/>
      <c r="T28" s="1" t="s">
        <v>152</v>
      </c>
      <c r="U28" s="1" t="s">
        <v>301</v>
      </c>
      <c r="V28" s="1" t="s">
        <v>70</v>
      </c>
      <c r="W28" s="1" t="s">
        <v>89</v>
      </c>
      <c r="X28" s="1" t="s">
        <v>59</v>
      </c>
      <c r="Y28" s="1">
        <v>0</v>
      </c>
      <c r="Z28" s="1" t="s">
        <v>50</v>
      </c>
      <c r="AA28" s="1" t="s">
        <v>90</v>
      </c>
      <c r="AB28" s="1" t="s">
        <v>61</v>
      </c>
      <c r="AC28" s="1"/>
      <c r="AD28" s="1" t="s">
        <v>52</v>
      </c>
      <c r="AE28" s="1"/>
      <c r="AF28" s="1">
        <v>46133</v>
      </c>
      <c r="AG28" s="1">
        <v>46133</v>
      </c>
      <c r="AH28" s="1">
        <v>46134</v>
      </c>
      <c r="AI28" s="1">
        <v>0</v>
      </c>
      <c r="AJ28" s="1">
        <v>18.239999999999998</v>
      </c>
      <c r="AK28" s="1" t="s">
        <v>46</v>
      </c>
      <c r="AL28" s="1">
        <v>273.60000000000002</v>
      </c>
      <c r="AM28" s="1" t="s">
        <v>305</v>
      </c>
      <c r="AN28" s="1">
        <v>2022437</v>
      </c>
      <c r="AO28" s="1"/>
      <c r="AP28" s="12" t="s">
        <v>306</v>
      </c>
      <c r="AQ28" s="13">
        <v>-6</v>
      </c>
      <c r="AR28" s="1" t="s">
        <v>53</v>
      </c>
      <c r="AS28" s="1" t="s">
        <v>54</v>
      </c>
      <c r="AU28" s="84" t="s">
        <v>516</v>
      </c>
      <c r="AV28" s="87">
        <v>46141.592546296299</v>
      </c>
      <c r="AW28" s="84" t="s">
        <v>659</v>
      </c>
    </row>
    <row r="29" spans="1:49" x14ac:dyDescent="0.35">
      <c r="A29" s="11">
        <v>46134</v>
      </c>
      <c r="B29" s="1" t="s">
        <v>307</v>
      </c>
      <c r="C29" s="1" t="s">
        <v>42</v>
      </c>
      <c r="D29" s="101">
        <v>14093053</v>
      </c>
      <c r="E29" s="1" t="s">
        <v>308</v>
      </c>
      <c r="F29" s="1">
        <v>10</v>
      </c>
      <c r="G29" s="1" t="s">
        <v>43</v>
      </c>
      <c r="H29" s="1" t="s">
        <v>88</v>
      </c>
      <c r="I29" s="1" t="s">
        <v>45</v>
      </c>
      <c r="J29" s="1" t="s">
        <v>45</v>
      </c>
      <c r="K29" s="11">
        <v>45904</v>
      </c>
      <c r="L29" s="1" t="s">
        <v>82</v>
      </c>
      <c r="M29" s="1">
        <v>667.5</v>
      </c>
      <c r="N29" s="1" t="s">
        <v>56</v>
      </c>
      <c r="O29" s="1">
        <v>100</v>
      </c>
      <c r="P29" s="1" t="s">
        <v>43</v>
      </c>
      <c r="Q29" s="1">
        <v>1103</v>
      </c>
      <c r="R29" s="1">
        <v>10</v>
      </c>
      <c r="S29" s="1">
        <v>4500862990</v>
      </c>
      <c r="T29" s="1" t="s">
        <v>152</v>
      </c>
      <c r="U29" s="1" t="s">
        <v>301</v>
      </c>
      <c r="V29" s="1" t="s">
        <v>70</v>
      </c>
      <c r="W29" s="1" t="s">
        <v>89</v>
      </c>
      <c r="X29" s="1" t="s">
        <v>59</v>
      </c>
      <c r="Y29" s="1">
        <v>0</v>
      </c>
      <c r="Z29" s="1" t="s">
        <v>50</v>
      </c>
      <c r="AA29" s="1" t="s">
        <v>90</v>
      </c>
      <c r="AB29" s="1" t="s">
        <v>61</v>
      </c>
      <c r="AC29" s="1"/>
      <c r="AD29" s="1" t="s">
        <v>52</v>
      </c>
      <c r="AE29" s="1"/>
      <c r="AF29" s="1">
        <v>46134</v>
      </c>
      <c r="AG29" s="1">
        <v>46134</v>
      </c>
      <c r="AH29" s="1">
        <v>46135</v>
      </c>
      <c r="AI29" s="1">
        <v>0</v>
      </c>
      <c r="AJ29" s="1">
        <v>25.82</v>
      </c>
      <c r="AK29" s="1" t="s">
        <v>46</v>
      </c>
      <c r="AL29" s="1">
        <v>258.2</v>
      </c>
      <c r="AM29" s="1" t="s">
        <v>309</v>
      </c>
      <c r="AN29" s="1">
        <v>2022617</v>
      </c>
      <c r="AO29" s="1"/>
      <c r="AP29" s="12" t="s">
        <v>310</v>
      </c>
      <c r="AQ29" s="13">
        <v>-5</v>
      </c>
      <c r="AR29" s="1" t="s">
        <v>53</v>
      </c>
      <c r="AS29" s="1" t="s">
        <v>54</v>
      </c>
      <c r="AU29" s="84" t="s">
        <v>516</v>
      </c>
      <c r="AV29" s="87">
        <v>46141.592546296299</v>
      </c>
      <c r="AW29" s="84" t="s">
        <v>659</v>
      </c>
    </row>
    <row r="30" spans="1:49" x14ac:dyDescent="0.35">
      <c r="A30" s="11">
        <v>46141</v>
      </c>
      <c r="B30" s="1" t="s">
        <v>686</v>
      </c>
      <c r="C30" s="1" t="s">
        <v>42</v>
      </c>
      <c r="D30" s="1">
        <v>14077305</v>
      </c>
      <c r="E30" s="1" t="s">
        <v>685</v>
      </c>
      <c r="F30" s="1">
        <v>10</v>
      </c>
      <c r="G30" s="1" t="s">
        <v>43</v>
      </c>
      <c r="H30" s="1" t="s">
        <v>92</v>
      </c>
      <c r="I30" s="1" t="s">
        <v>45</v>
      </c>
      <c r="J30" s="1" t="s">
        <v>45</v>
      </c>
      <c r="K30" s="11">
        <v>46140</v>
      </c>
      <c r="L30" s="1" t="s">
        <v>593</v>
      </c>
      <c r="M30" s="1">
        <v>10</v>
      </c>
      <c r="N30" s="1" t="s">
        <v>46</v>
      </c>
      <c r="O30" s="1">
        <v>1</v>
      </c>
      <c r="P30" s="1" t="s">
        <v>43</v>
      </c>
      <c r="Q30" s="1">
        <v>1207</v>
      </c>
      <c r="R30" s="1">
        <v>20</v>
      </c>
      <c r="S30" s="1">
        <v>4500903711</v>
      </c>
      <c r="T30" s="1" t="s">
        <v>152</v>
      </c>
      <c r="U30" s="1" t="s">
        <v>134</v>
      </c>
      <c r="V30" s="1" t="s">
        <v>70</v>
      </c>
      <c r="W30" s="1" t="s">
        <v>93</v>
      </c>
      <c r="X30" s="1" t="s">
        <v>59</v>
      </c>
      <c r="Y30" s="1">
        <v>0</v>
      </c>
      <c r="Z30" s="1" t="s">
        <v>50</v>
      </c>
      <c r="AA30" s="1" t="s">
        <v>94</v>
      </c>
      <c r="AB30" s="1" t="s">
        <v>61</v>
      </c>
      <c r="AC30" s="1"/>
      <c r="AD30" s="1" t="s">
        <v>52</v>
      </c>
      <c r="AE30" s="1"/>
      <c r="AF30" s="1">
        <v>46141</v>
      </c>
      <c r="AG30" s="1">
        <v>46141</v>
      </c>
      <c r="AH30" s="1">
        <v>46142</v>
      </c>
      <c r="AI30" s="1">
        <v>0</v>
      </c>
      <c r="AJ30" s="1">
        <v>1.86</v>
      </c>
      <c r="AK30" s="1" t="s">
        <v>46</v>
      </c>
      <c r="AL30" s="1">
        <v>18.600000000000001</v>
      </c>
      <c r="AM30" s="1" t="s">
        <v>687</v>
      </c>
      <c r="AN30" s="1">
        <v>4214539</v>
      </c>
      <c r="AO30" s="1"/>
      <c r="AP30" s="12" t="s">
        <v>688</v>
      </c>
      <c r="AQ30" s="13">
        <v>2</v>
      </c>
      <c r="AR30" s="1" t="s">
        <v>62</v>
      </c>
      <c r="AS30" s="1" t="s">
        <v>54</v>
      </c>
      <c r="AV30" s="87"/>
    </row>
    <row r="31" spans="1:49" ht="30" customHeight="1" x14ac:dyDescent="0.35">
      <c r="A31" s="11">
        <v>46114</v>
      </c>
      <c r="B31" s="1" t="s">
        <v>155</v>
      </c>
      <c r="C31" s="1" t="s">
        <v>63</v>
      </c>
      <c r="D31" s="101">
        <v>14079477</v>
      </c>
      <c r="E31" s="1" t="s">
        <v>156</v>
      </c>
      <c r="F31" s="1">
        <v>10</v>
      </c>
      <c r="G31" s="1" t="s">
        <v>43</v>
      </c>
      <c r="H31" s="1" t="s">
        <v>44</v>
      </c>
      <c r="I31" s="1" t="s">
        <v>45</v>
      </c>
      <c r="J31" s="1" t="s">
        <v>45</v>
      </c>
      <c r="K31" s="11">
        <v>45978</v>
      </c>
      <c r="L31" s="1" t="s">
        <v>80</v>
      </c>
      <c r="M31" s="1">
        <v>574.13</v>
      </c>
      <c r="N31" s="1" t="s">
        <v>56</v>
      </c>
      <c r="O31" s="1">
        <v>100</v>
      </c>
      <c r="P31" s="1" t="s">
        <v>43</v>
      </c>
      <c r="Q31" s="1">
        <v>1208</v>
      </c>
      <c r="R31" s="1">
        <v>8</v>
      </c>
      <c r="S31" s="1">
        <v>4500874512</v>
      </c>
      <c r="T31" s="1" t="s">
        <v>98</v>
      </c>
      <c r="U31" s="1" t="s">
        <v>144</v>
      </c>
      <c r="V31" s="1" t="s">
        <v>70</v>
      </c>
      <c r="W31" s="1" t="s">
        <v>84</v>
      </c>
      <c r="X31" s="1" t="s">
        <v>49</v>
      </c>
      <c r="Y31" s="1">
        <v>0</v>
      </c>
      <c r="Z31" s="1" t="s">
        <v>50</v>
      </c>
      <c r="AA31" s="1" t="s">
        <v>87</v>
      </c>
      <c r="AB31" s="1" t="s">
        <v>61</v>
      </c>
      <c r="AC31" s="1"/>
      <c r="AD31" s="1" t="s">
        <v>52</v>
      </c>
      <c r="AE31" s="1"/>
      <c r="AF31" s="1">
        <v>46114</v>
      </c>
      <c r="AG31" s="1">
        <v>46114</v>
      </c>
      <c r="AH31" s="1">
        <v>46115</v>
      </c>
      <c r="AI31" s="1">
        <v>0</v>
      </c>
      <c r="AJ31" s="1">
        <v>23.33</v>
      </c>
      <c r="AK31" s="1" t="s">
        <v>46</v>
      </c>
      <c r="AL31" s="1">
        <v>233.3</v>
      </c>
      <c r="AM31" s="1" t="s">
        <v>157</v>
      </c>
      <c r="AN31" s="1">
        <v>4214639</v>
      </c>
      <c r="AO31" s="1"/>
      <c r="AP31" s="12" t="s">
        <v>158</v>
      </c>
      <c r="AQ31" s="13">
        <v>-25</v>
      </c>
      <c r="AR31" s="1" t="s">
        <v>53</v>
      </c>
      <c r="AS31" s="1" t="s">
        <v>54</v>
      </c>
      <c r="AU31" s="84" t="s">
        <v>516</v>
      </c>
      <c r="AV31" s="87">
        <v>46141.592546296299</v>
      </c>
      <c r="AW31" s="84" t="s">
        <v>659</v>
      </c>
    </row>
    <row r="32" spans="1:49" x14ac:dyDescent="0.35">
      <c r="A32" s="11">
        <v>46120</v>
      </c>
      <c r="B32" s="1" t="s">
        <v>170</v>
      </c>
      <c r="C32" s="1" t="s">
        <v>42</v>
      </c>
      <c r="D32" s="101">
        <v>14082173</v>
      </c>
      <c r="E32" s="1" t="s">
        <v>171</v>
      </c>
      <c r="F32" s="1">
        <v>1</v>
      </c>
      <c r="G32" s="1" t="s">
        <v>43</v>
      </c>
      <c r="H32" s="1" t="s">
        <v>44</v>
      </c>
      <c r="I32" s="1" t="s">
        <v>45</v>
      </c>
      <c r="J32" s="1" t="s">
        <v>45</v>
      </c>
      <c r="K32" s="1"/>
      <c r="L32" s="1"/>
      <c r="M32" s="1"/>
      <c r="N32" s="1"/>
      <c r="O32" s="1"/>
      <c r="P32" s="1"/>
      <c r="Q32" s="1"/>
      <c r="R32" s="1"/>
      <c r="S32" s="1"/>
      <c r="T32" s="1" t="s">
        <v>98</v>
      </c>
      <c r="U32" s="1" t="s">
        <v>134</v>
      </c>
      <c r="V32" s="1" t="s">
        <v>70</v>
      </c>
      <c r="W32" s="1" t="s">
        <v>84</v>
      </c>
      <c r="X32" s="1" t="s">
        <v>49</v>
      </c>
      <c r="Y32" s="1">
        <v>0</v>
      </c>
      <c r="Z32" s="1" t="s">
        <v>50</v>
      </c>
      <c r="AA32" s="1" t="s">
        <v>87</v>
      </c>
      <c r="AB32" s="1" t="s">
        <v>61</v>
      </c>
      <c r="AC32" s="1"/>
      <c r="AD32" s="1" t="s">
        <v>52</v>
      </c>
      <c r="AE32" s="1"/>
      <c r="AF32" s="1">
        <v>46120</v>
      </c>
      <c r="AG32" s="1">
        <v>46120</v>
      </c>
      <c r="AH32" s="1">
        <v>46121</v>
      </c>
      <c r="AI32" s="1">
        <v>29</v>
      </c>
      <c r="AJ32" s="1">
        <v>13.66</v>
      </c>
      <c r="AK32" s="1" t="s">
        <v>46</v>
      </c>
      <c r="AL32" s="1">
        <v>13.66</v>
      </c>
      <c r="AM32" s="1" t="s">
        <v>172</v>
      </c>
      <c r="AN32" s="1">
        <v>4214531</v>
      </c>
      <c r="AO32" s="1"/>
      <c r="AP32" s="12" t="s">
        <v>173</v>
      </c>
      <c r="AQ32" s="13">
        <v>-19</v>
      </c>
      <c r="AR32" s="1" t="s">
        <v>53</v>
      </c>
      <c r="AS32" s="1" t="s">
        <v>54</v>
      </c>
      <c r="AU32" s="84" t="s">
        <v>516</v>
      </c>
      <c r="AV32" s="87">
        <v>46141.592546296299</v>
      </c>
      <c r="AW32" s="84" t="s">
        <v>659</v>
      </c>
    </row>
    <row r="33" spans="1:49" x14ac:dyDescent="0.35">
      <c r="A33" s="11">
        <v>46127</v>
      </c>
      <c r="B33" s="1" t="s">
        <v>232</v>
      </c>
      <c r="C33" s="1" t="s">
        <v>81</v>
      </c>
      <c r="D33" s="101">
        <v>14079384</v>
      </c>
      <c r="E33" s="1" t="s">
        <v>233</v>
      </c>
      <c r="F33" s="1">
        <v>12</v>
      </c>
      <c r="G33" s="1" t="s">
        <v>43</v>
      </c>
      <c r="H33" s="1" t="s">
        <v>44</v>
      </c>
      <c r="I33" s="1" t="s">
        <v>45</v>
      </c>
      <c r="J33" s="1" t="s">
        <v>45</v>
      </c>
      <c r="K33" s="11">
        <v>46071</v>
      </c>
      <c r="L33" s="1" t="s">
        <v>82</v>
      </c>
      <c r="M33" s="1">
        <v>6.3</v>
      </c>
      <c r="N33" s="1" t="s">
        <v>56</v>
      </c>
      <c r="O33" s="1">
        <v>1</v>
      </c>
      <c r="P33" s="1" t="s">
        <v>43</v>
      </c>
      <c r="Q33" s="1">
        <v>1207</v>
      </c>
      <c r="R33" s="1">
        <v>2</v>
      </c>
      <c r="S33" s="1">
        <v>4500891475</v>
      </c>
      <c r="T33" s="1" t="s">
        <v>98</v>
      </c>
      <c r="U33" s="1" t="s">
        <v>84</v>
      </c>
      <c r="V33" s="1" t="s">
        <v>47</v>
      </c>
      <c r="W33" s="1" t="s">
        <v>84</v>
      </c>
      <c r="X33" s="1" t="s">
        <v>49</v>
      </c>
      <c r="Y33" s="1">
        <v>0</v>
      </c>
      <c r="Z33" s="1" t="s">
        <v>50</v>
      </c>
      <c r="AA33" s="1" t="s">
        <v>96</v>
      </c>
      <c r="AB33" s="1" t="s">
        <v>83</v>
      </c>
      <c r="AC33" s="1"/>
      <c r="AD33" s="1" t="s">
        <v>52</v>
      </c>
      <c r="AE33" s="1"/>
      <c r="AF33" s="1">
        <v>46135</v>
      </c>
      <c r="AG33" s="1">
        <v>46127</v>
      </c>
      <c r="AH33" s="1">
        <v>46164</v>
      </c>
      <c r="AI33" s="1">
        <v>29</v>
      </c>
      <c r="AJ33" s="1">
        <v>13.32</v>
      </c>
      <c r="AK33" s="1" t="s">
        <v>46</v>
      </c>
      <c r="AL33" s="1">
        <v>159.84</v>
      </c>
      <c r="AM33" s="1"/>
      <c r="AN33" s="1"/>
      <c r="AO33" s="1"/>
      <c r="AP33" s="12" t="s">
        <v>234</v>
      </c>
      <c r="AQ33" s="13">
        <v>-12</v>
      </c>
      <c r="AR33" s="1" t="s">
        <v>53</v>
      </c>
      <c r="AS33" s="1" t="s">
        <v>54</v>
      </c>
      <c r="AU33" s="84" t="s">
        <v>516</v>
      </c>
      <c r="AV33" s="87">
        <v>46141.592546296299</v>
      </c>
      <c r="AW33" s="84" t="s">
        <v>659</v>
      </c>
    </row>
    <row r="34" spans="1:49" x14ac:dyDescent="0.35">
      <c r="A34" s="11">
        <v>46131</v>
      </c>
      <c r="B34" s="1" t="s">
        <v>253</v>
      </c>
      <c r="C34" s="1" t="s">
        <v>42</v>
      </c>
      <c r="D34" s="101">
        <v>14089502</v>
      </c>
      <c r="E34" s="1" t="s">
        <v>254</v>
      </c>
      <c r="F34" s="1">
        <v>1</v>
      </c>
      <c r="G34" s="1" t="s">
        <v>43</v>
      </c>
      <c r="H34" s="1" t="s">
        <v>44</v>
      </c>
      <c r="I34" s="1" t="s">
        <v>45</v>
      </c>
      <c r="J34" s="1" t="s">
        <v>45</v>
      </c>
      <c r="K34" s="11">
        <v>46071</v>
      </c>
      <c r="L34" s="1" t="s">
        <v>82</v>
      </c>
      <c r="M34" s="1">
        <v>7</v>
      </c>
      <c r="N34" s="1" t="s">
        <v>56</v>
      </c>
      <c r="O34" s="1">
        <v>1</v>
      </c>
      <c r="P34" s="1" t="s">
        <v>43</v>
      </c>
      <c r="Q34" s="1">
        <v>1207</v>
      </c>
      <c r="R34" s="1">
        <v>9</v>
      </c>
      <c r="S34" s="1">
        <v>4500891475</v>
      </c>
      <c r="T34" s="1" t="s">
        <v>98</v>
      </c>
      <c r="U34" s="1" t="s">
        <v>86</v>
      </c>
      <c r="V34" s="1" t="s">
        <v>70</v>
      </c>
      <c r="W34" s="1" t="s">
        <v>84</v>
      </c>
      <c r="X34" s="1" t="s">
        <v>49</v>
      </c>
      <c r="Y34" s="1">
        <v>0</v>
      </c>
      <c r="Z34" s="1" t="s">
        <v>50</v>
      </c>
      <c r="AA34" s="1" t="s">
        <v>85</v>
      </c>
      <c r="AB34" s="1" t="s">
        <v>61</v>
      </c>
      <c r="AC34" s="1"/>
      <c r="AD34" s="1" t="s">
        <v>52</v>
      </c>
      <c r="AE34" s="1"/>
      <c r="AF34" s="1">
        <v>46131</v>
      </c>
      <c r="AG34" s="1">
        <v>46131</v>
      </c>
      <c r="AH34" s="1">
        <v>46132</v>
      </c>
      <c r="AI34" s="1">
        <v>0</v>
      </c>
      <c r="AJ34" s="1">
        <v>20.95</v>
      </c>
      <c r="AK34" s="1" t="s">
        <v>46</v>
      </c>
      <c r="AL34" s="1">
        <v>20.95</v>
      </c>
      <c r="AM34" s="1" t="s">
        <v>255</v>
      </c>
      <c r="AN34" s="1">
        <v>4211058</v>
      </c>
      <c r="AO34" s="1"/>
      <c r="AP34" s="12" t="s">
        <v>256</v>
      </c>
      <c r="AQ34" s="13">
        <v>-8</v>
      </c>
      <c r="AR34" s="1" t="s">
        <v>53</v>
      </c>
      <c r="AS34" s="1" t="s">
        <v>54</v>
      </c>
      <c r="AU34" s="84" t="s">
        <v>516</v>
      </c>
      <c r="AV34" s="87">
        <v>46141.592546296299</v>
      </c>
      <c r="AW34" s="84" t="s">
        <v>659</v>
      </c>
    </row>
    <row r="35" spans="1:49" x14ac:dyDescent="0.35">
      <c r="A35" s="11">
        <v>46132</v>
      </c>
      <c r="B35" s="1" t="s">
        <v>257</v>
      </c>
      <c r="C35" s="1" t="s">
        <v>42</v>
      </c>
      <c r="D35" s="1">
        <v>14082173</v>
      </c>
      <c r="E35" s="1" t="s">
        <v>171</v>
      </c>
      <c r="F35" s="1">
        <v>3</v>
      </c>
      <c r="G35" s="1" t="s">
        <v>43</v>
      </c>
      <c r="H35" s="1" t="s">
        <v>92</v>
      </c>
      <c r="I35" s="1" t="s">
        <v>45</v>
      </c>
      <c r="J35" s="1" t="s">
        <v>45</v>
      </c>
      <c r="K35" s="1"/>
      <c r="L35" s="1"/>
      <c r="M35" s="1"/>
      <c r="N35" s="1"/>
      <c r="O35" s="1"/>
      <c r="P35" s="1"/>
      <c r="Q35" s="1"/>
      <c r="R35" s="1"/>
      <c r="S35" s="1"/>
      <c r="T35" s="1" t="s">
        <v>98</v>
      </c>
      <c r="U35" s="1" t="s">
        <v>226</v>
      </c>
      <c r="V35" s="1" t="s">
        <v>104</v>
      </c>
      <c r="W35" s="1" t="s">
        <v>93</v>
      </c>
      <c r="X35" s="1" t="s">
        <v>59</v>
      </c>
      <c r="Y35" s="1">
        <v>0</v>
      </c>
      <c r="Z35" s="1" t="s">
        <v>50</v>
      </c>
      <c r="AA35" s="1" t="s">
        <v>94</v>
      </c>
      <c r="AB35" s="1" t="s">
        <v>61</v>
      </c>
      <c r="AC35" s="1"/>
      <c r="AD35" s="1" t="s">
        <v>52</v>
      </c>
      <c r="AE35" s="1"/>
      <c r="AF35" s="1">
        <v>46132</v>
      </c>
      <c r="AG35" s="1">
        <v>46132</v>
      </c>
      <c r="AH35" s="1">
        <v>46133</v>
      </c>
      <c r="AI35" s="1">
        <v>29</v>
      </c>
      <c r="AJ35" s="1">
        <v>13.61</v>
      </c>
      <c r="AK35" s="1" t="s">
        <v>46</v>
      </c>
      <c r="AL35" s="1">
        <v>40.83</v>
      </c>
      <c r="AM35" s="1" t="s">
        <v>258</v>
      </c>
      <c r="AN35" s="1">
        <v>2021885</v>
      </c>
      <c r="AO35" s="1"/>
      <c r="AP35" s="12" t="s">
        <v>259</v>
      </c>
      <c r="AQ35" s="13">
        <v>-7</v>
      </c>
      <c r="AR35" s="1" t="s">
        <v>53</v>
      </c>
      <c r="AS35" s="1" t="s">
        <v>54</v>
      </c>
    </row>
    <row r="36" spans="1:49" x14ac:dyDescent="0.35">
      <c r="A36" s="11">
        <v>46137</v>
      </c>
      <c r="B36" s="1" t="s">
        <v>416</v>
      </c>
      <c r="C36" s="1" t="s">
        <v>42</v>
      </c>
      <c r="D36" s="1">
        <v>14079477</v>
      </c>
      <c r="E36" s="1" t="s">
        <v>156</v>
      </c>
      <c r="F36" s="1">
        <v>2</v>
      </c>
      <c r="G36" s="1" t="s">
        <v>43</v>
      </c>
      <c r="H36" s="1" t="s">
        <v>92</v>
      </c>
      <c r="I36" s="1" t="s">
        <v>45</v>
      </c>
      <c r="J36" s="1" t="s">
        <v>45</v>
      </c>
      <c r="K36" s="11">
        <v>45978</v>
      </c>
      <c r="L36" s="1" t="s">
        <v>80</v>
      </c>
      <c r="M36" s="1">
        <v>574.13</v>
      </c>
      <c r="N36" s="1" t="s">
        <v>56</v>
      </c>
      <c r="O36" s="1">
        <v>100</v>
      </c>
      <c r="P36" s="1" t="s">
        <v>43</v>
      </c>
      <c r="Q36" s="1">
        <v>1208</v>
      </c>
      <c r="R36" s="1">
        <v>8</v>
      </c>
      <c r="S36" s="1">
        <v>4500874512</v>
      </c>
      <c r="T36" s="1" t="s">
        <v>98</v>
      </c>
      <c r="U36" s="1" t="s">
        <v>69</v>
      </c>
      <c r="V36" s="1" t="s">
        <v>70</v>
      </c>
      <c r="W36" s="1" t="s">
        <v>93</v>
      </c>
      <c r="X36" s="1" t="s">
        <v>59</v>
      </c>
      <c r="Y36" s="1">
        <v>0</v>
      </c>
      <c r="Z36" s="1" t="s">
        <v>50</v>
      </c>
      <c r="AA36" s="1" t="s">
        <v>94</v>
      </c>
      <c r="AB36" s="1" t="s">
        <v>61</v>
      </c>
      <c r="AC36" s="1"/>
      <c r="AD36" s="1" t="s">
        <v>52</v>
      </c>
      <c r="AE36" s="1"/>
      <c r="AF36" s="1">
        <v>46137</v>
      </c>
      <c r="AG36" s="1">
        <v>46137</v>
      </c>
      <c r="AH36" s="1">
        <v>46138</v>
      </c>
      <c r="AI36" s="1">
        <v>0</v>
      </c>
      <c r="AJ36" s="1">
        <v>17.79</v>
      </c>
      <c r="AK36" s="1" t="s">
        <v>46</v>
      </c>
      <c r="AL36" s="1">
        <v>35.58</v>
      </c>
      <c r="AM36" s="1" t="s">
        <v>417</v>
      </c>
      <c r="AN36" s="1">
        <v>4216025</v>
      </c>
      <c r="AO36" s="1"/>
      <c r="AP36" s="12" t="s">
        <v>418</v>
      </c>
      <c r="AQ36" s="13">
        <v>-2</v>
      </c>
      <c r="AR36" s="1" t="s">
        <v>53</v>
      </c>
      <c r="AS36" s="1" t="s">
        <v>54</v>
      </c>
    </row>
    <row r="37" spans="1:49" ht="16.5" customHeight="1" x14ac:dyDescent="0.35">
      <c r="A37" s="11">
        <v>46137</v>
      </c>
      <c r="B37" s="1" t="s">
        <v>419</v>
      </c>
      <c r="C37" s="1" t="s">
        <v>42</v>
      </c>
      <c r="D37" s="101">
        <v>14092511</v>
      </c>
      <c r="E37" s="1" t="s">
        <v>352</v>
      </c>
      <c r="F37" s="1">
        <v>1</v>
      </c>
      <c r="G37" s="1" t="s">
        <v>43</v>
      </c>
      <c r="H37" s="1" t="s">
        <v>44</v>
      </c>
      <c r="I37" s="1" t="s">
        <v>45</v>
      </c>
      <c r="J37" s="1" t="s">
        <v>45</v>
      </c>
      <c r="K37" s="1"/>
      <c r="L37" s="1"/>
      <c r="M37" s="1"/>
      <c r="N37" s="1"/>
      <c r="O37" s="1"/>
      <c r="P37" s="1"/>
      <c r="Q37" s="1"/>
      <c r="R37" s="1"/>
      <c r="S37" s="1"/>
      <c r="T37" s="1" t="s">
        <v>98</v>
      </c>
      <c r="U37" s="1" t="s">
        <v>144</v>
      </c>
      <c r="V37" s="1" t="s">
        <v>70</v>
      </c>
      <c r="W37" s="1" t="s">
        <v>84</v>
      </c>
      <c r="X37" s="1" t="s">
        <v>49</v>
      </c>
      <c r="Y37" s="1">
        <v>0</v>
      </c>
      <c r="Z37" s="1" t="s">
        <v>50</v>
      </c>
      <c r="AA37" s="1" t="s">
        <v>87</v>
      </c>
      <c r="AB37" s="1" t="s">
        <v>61</v>
      </c>
      <c r="AC37" s="1"/>
      <c r="AD37" s="1" t="s">
        <v>52</v>
      </c>
      <c r="AE37" s="1"/>
      <c r="AF37" s="1">
        <v>46137</v>
      </c>
      <c r="AG37" s="1">
        <v>46137</v>
      </c>
      <c r="AH37" s="1">
        <v>46138</v>
      </c>
      <c r="AI37" s="1">
        <v>0</v>
      </c>
      <c r="AJ37" s="1">
        <v>91.93</v>
      </c>
      <c r="AK37" s="1" t="s">
        <v>46</v>
      </c>
      <c r="AL37" s="1">
        <v>91.93</v>
      </c>
      <c r="AM37" s="1" t="s">
        <v>420</v>
      </c>
      <c r="AN37" s="1">
        <v>4214734</v>
      </c>
      <c r="AO37" s="1"/>
      <c r="AP37" s="12" t="s">
        <v>421</v>
      </c>
      <c r="AQ37" s="13">
        <v>-2</v>
      </c>
      <c r="AR37" s="1" t="s">
        <v>53</v>
      </c>
      <c r="AS37" s="1" t="s">
        <v>54</v>
      </c>
      <c r="AU37" s="84" t="s">
        <v>516</v>
      </c>
      <c r="AV37" s="87">
        <v>46141.592546296299</v>
      </c>
      <c r="AW37" s="84" t="s">
        <v>659</v>
      </c>
    </row>
    <row r="38" spans="1:49" x14ac:dyDescent="0.35">
      <c r="A38" s="11">
        <v>46142</v>
      </c>
      <c r="B38" s="1" t="s">
        <v>689</v>
      </c>
      <c r="C38" s="1" t="s">
        <v>81</v>
      </c>
      <c r="D38" s="1">
        <v>14093911</v>
      </c>
      <c r="E38" s="1" t="s">
        <v>690</v>
      </c>
      <c r="F38" s="1">
        <v>1</v>
      </c>
      <c r="G38" s="1" t="s">
        <v>43</v>
      </c>
      <c r="H38" s="1" t="s">
        <v>44</v>
      </c>
      <c r="I38" s="1">
        <v>103.15</v>
      </c>
      <c r="J38" s="1">
        <v>102842</v>
      </c>
      <c r="K38" s="11">
        <v>46112</v>
      </c>
      <c r="L38" s="1" t="s">
        <v>174</v>
      </c>
      <c r="M38" s="1">
        <v>103.15</v>
      </c>
      <c r="N38" s="1" t="s">
        <v>56</v>
      </c>
      <c r="O38" s="1">
        <v>1</v>
      </c>
      <c r="P38" s="1" t="s">
        <v>43</v>
      </c>
      <c r="Q38" s="1">
        <v>1207</v>
      </c>
      <c r="R38" s="1">
        <v>1</v>
      </c>
      <c r="S38" s="1">
        <v>4500898506</v>
      </c>
      <c r="T38" s="1" t="s">
        <v>691</v>
      </c>
      <c r="U38" s="1" t="s">
        <v>84</v>
      </c>
      <c r="V38" s="1" t="s">
        <v>135</v>
      </c>
      <c r="W38" s="1" t="s">
        <v>84</v>
      </c>
      <c r="X38" s="1" t="s">
        <v>49</v>
      </c>
      <c r="Y38" s="1">
        <v>0</v>
      </c>
      <c r="Z38" s="1" t="s">
        <v>50</v>
      </c>
      <c r="AA38" s="1" t="s">
        <v>96</v>
      </c>
      <c r="AB38" s="1" t="s">
        <v>83</v>
      </c>
      <c r="AC38" s="1"/>
      <c r="AD38" s="1" t="s">
        <v>52</v>
      </c>
      <c r="AE38" s="1"/>
      <c r="AF38" s="1">
        <v>46142</v>
      </c>
      <c r="AG38" s="1">
        <v>46142</v>
      </c>
      <c r="AH38" s="1">
        <v>46171</v>
      </c>
      <c r="AI38" s="1">
        <v>29</v>
      </c>
      <c r="AJ38" s="1">
        <v>350.87</v>
      </c>
      <c r="AK38" s="1" t="s">
        <v>46</v>
      </c>
      <c r="AL38" s="1">
        <v>350.87</v>
      </c>
      <c r="AM38" s="1"/>
      <c r="AN38" s="1"/>
      <c r="AO38" s="1"/>
      <c r="AP38" s="12" t="s">
        <v>692</v>
      </c>
      <c r="AQ38" s="13">
        <v>3</v>
      </c>
      <c r="AR38" s="1" t="s">
        <v>62</v>
      </c>
      <c r="AS38" s="1" t="s">
        <v>54</v>
      </c>
      <c r="AV38" s="87"/>
    </row>
    <row r="39" spans="1:49" x14ac:dyDescent="0.35">
      <c r="A39" s="39">
        <v>46141</v>
      </c>
      <c r="B39" s="40" t="s">
        <v>693</v>
      </c>
      <c r="C39" s="40" t="s">
        <v>42</v>
      </c>
      <c r="D39" s="40">
        <v>14098827</v>
      </c>
      <c r="E39" s="40" t="s">
        <v>694</v>
      </c>
      <c r="F39" s="40">
        <v>1</v>
      </c>
      <c r="G39" s="40" t="s">
        <v>43</v>
      </c>
      <c r="H39" s="40" t="s">
        <v>44</v>
      </c>
      <c r="I39" s="40" t="s">
        <v>45</v>
      </c>
      <c r="J39" s="40" t="s">
        <v>45</v>
      </c>
      <c r="K39" s="40" t="s">
        <v>657</v>
      </c>
      <c r="L39" s="40" t="s">
        <v>716</v>
      </c>
      <c r="M39" s="102">
        <v>250</v>
      </c>
      <c r="N39" s="40" t="s">
        <v>46</v>
      </c>
      <c r="O39" s="40" t="s">
        <v>657</v>
      </c>
      <c r="P39" s="40" t="s">
        <v>657</v>
      </c>
      <c r="Q39" s="40" t="s">
        <v>657</v>
      </c>
      <c r="R39" s="40" t="s">
        <v>657</v>
      </c>
      <c r="S39" s="40" t="s">
        <v>657</v>
      </c>
      <c r="T39" s="40" t="s">
        <v>597</v>
      </c>
      <c r="U39" s="40" t="s">
        <v>128</v>
      </c>
      <c r="V39" s="40" t="s">
        <v>70</v>
      </c>
      <c r="W39" s="40" t="s">
        <v>84</v>
      </c>
      <c r="X39" s="40" t="s">
        <v>49</v>
      </c>
      <c r="Y39" s="40">
        <v>0</v>
      </c>
      <c r="Z39" s="40" t="s">
        <v>50</v>
      </c>
      <c r="AA39" s="40" t="s">
        <v>87</v>
      </c>
      <c r="AB39" s="40" t="s">
        <v>61</v>
      </c>
      <c r="AC39" s="40"/>
      <c r="AD39" s="40" t="s">
        <v>52</v>
      </c>
      <c r="AE39" s="40"/>
      <c r="AF39" s="40">
        <v>46141</v>
      </c>
      <c r="AG39" s="40">
        <v>46141</v>
      </c>
      <c r="AH39" s="40">
        <v>46142</v>
      </c>
      <c r="AI39" s="40">
        <v>0</v>
      </c>
      <c r="AJ39" s="40">
        <v>250</v>
      </c>
      <c r="AK39" s="40" t="s">
        <v>46</v>
      </c>
      <c r="AL39" s="40">
        <v>250</v>
      </c>
      <c r="AM39" s="40" t="s">
        <v>695</v>
      </c>
      <c r="AN39" s="40">
        <v>4210861</v>
      </c>
      <c r="AO39" s="40"/>
      <c r="AP39" s="41" t="s">
        <v>696</v>
      </c>
      <c r="AQ39" s="42">
        <v>2</v>
      </c>
      <c r="AR39" s="40" t="s">
        <v>62</v>
      </c>
      <c r="AS39" s="40" t="s">
        <v>54</v>
      </c>
      <c r="AT39" s="63">
        <v>4500904161</v>
      </c>
      <c r="AU39" s="55" t="s">
        <v>512</v>
      </c>
      <c r="AV39" s="74">
        <v>46142.41978009259</v>
      </c>
      <c r="AW39" s="55"/>
    </row>
    <row r="40" spans="1:49" x14ac:dyDescent="0.35">
      <c r="A40" s="11">
        <v>46089</v>
      </c>
      <c r="B40" s="1" t="s">
        <v>697</v>
      </c>
      <c r="C40" s="1" t="s">
        <v>64</v>
      </c>
      <c r="D40" s="1">
        <v>14084695</v>
      </c>
      <c r="E40" s="1" t="s">
        <v>698</v>
      </c>
      <c r="F40" s="1">
        <v>10</v>
      </c>
      <c r="G40" s="1" t="s">
        <v>43</v>
      </c>
      <c r="H40" s="1" t="s">
        <v>75</v>
      </c>
      <c r="I40" s="1" t="s">
        <v>45</v>
      </c>
      <c r="J40" s="1" t="s">
        <v>45</v>
      </c>
      <c r="K40" s="1"/>
      <c r="L40" s="1"/>
      <c r="M40" s="1"/>
      <c r="N40" s="1"/>
      <c r="O40" s="1"/>
      <c r="P40" s="1"/>
      <c r="Q40" s="1"/>
      <c r="R40" s="1"/>
      <c r="S40" s="1"/>
      <c r="T40" s="1" t="s">
        <v>699</v>
      </c>
      <c r="U40" s="1" t="s">
        <v>76</v>
      </c>
      <c r="V40" s="1" t="s">
        <v>57</v>
      </c>
      <c r="W40" s="1" t="s">
        <v>77</v>
      </c>
      <c r="X40" s="1" t="s">
        <v>59</v>
      </c>
      <c r="Y40" s="1">
        <v>0</v>
      </c>
      <c r="Z40" s="1" t="s">
        <v>50</v>
      </c>
      <c r="AA40" s="1" t="s">
        <v>78</v>
      </c>
      <c r="AB40" s="1" t="s">
        <v>61</v>
      </c>
      <c r="AC40" s="1"/>
      <c r="AD40" s="1" t="s">
        <v>52</v>
      </c>
      <c r="AE40" s="1"/>
      <c r="AF40" s="1">
        <v>46089</v>
      </c>
      <c r="AG40" s="1">
        <v>46141</v>
      </c>
      <c r="AH40" s="1">
        <v>46090</v>
      </c>
      <c r="AI40" s="1">
        <v>0</v>
      </c>
      <c r="AJ40" s="1">
        <v>19.600000000000001</v>
      </c>
      <c r="AK40" s="1" t="s">
        <v>46</v>
      </c>
      <c r="AL40" s="1">
        <v>196</v>
      </c>
      <c r="AM40" s="1" t="s">
        <v>700</v>
      </c>
      <c r="AN40" s="1">
        <v>6300000065</v>
      </c>
      <c r="AO40" s="1"/>
      <c r="AP40" s="12" t="s">
        <v>701</v>
      </c>
      <c r="AQ40" s="13">
        <v>-50</v>
      </c>
      <c r="AR40" s="1" t="s">
        <v>53</v>
      </c>
      <c r="AS40" s="1" t="s">
        <v>54</v>
      </c>
      <c r="AV40" s="87"/>
    </row>
    <row r="41" spans="1:49" x14ac:dyDescent="0.35">
      <c r="A41" s="11">
        <v>46089</v>
      </c>
      <c r="B41" s="1" t="s">
        <v>697</v>
      </c>
      <c r="C41" s="1" t="s">
        <v>42</v>
      </c>
      <c r="D41" s="1">
        <v>14084696</v>
      </c>
      <c r="E41" s="1" t="s">
        <v>702</v>
      </c>
      <c r="F41" s="1">
        <v>20</v>
      </c>
      <c r="G41" s="1" t="s">
        <v>43</v>
      </c>
      <c r="H41" s="1" t="s">
        <v>75</v>
      </c>
      <c r="I41" s="1" t="s">
        <v>45</v>
      </c>
      <c r="J41" s="1" t="s">
        <v>45</v>
      </c>
      <c r="K41" s="1"/>
      <c r="L41" s="1"/>
      <c r="M41" s="1"/>
      <c r="N41" s="1"/>
      <c r="O41" s="1"/>
      <c r="P41" s="1"/>
      <c r="Q41" s="1"/>
      <c r="R41" s="1"/>
      <c r="S41" s="1"/>
      <c r="T41" s="1" t="s">
        <v>703</v>
      </c>
      <c r="U41" s="1" t="s">
        <v>76</v>
      </c>
      <c r="V41" s="1" t="s">
        <v>57</v>
      </c>
      <c r="W41" s="1" t="s">
        <v>77</v>
      </c>
      <c r="X41" s="1" t="s">
        <v>59</v>
      </c>
      <c r="Y41" s="1">
        <v>0</v>
      </c>
      <c r="Z41" s="1" t="s">
        <v>50</v>
      </c>
      <c r="AA41" s="1" t="s">
        <v>78</v>
      </c>
      <c r="AB41" s="1" t="s">
        <v>61</v>
      </c>
      <c r="AC41" s="1"/>
      <c r="AD41" s="1" t="s">
        <v>52</v>
      </c>
      <c r="AE41" s="1"/>
      <c r="AF41" s="1">
        <v>46089</v>
      </c>
      <c r="AG41" s="1">
        <v>46141</v>
      </c>
      <c r="AH41" s="1">
        <v>46090</v>
      </c>
      <c r="AI41" s="1">
        <v>0</v>
      </c>
      <c r="AJ41" s="1">
        <v>38.479999999999997</v>
      </c>
      <c r="AK41" s="1" t="s">
        <v>46</v>
      </c>
      <c r="AL41" s="1">
        <v>769.6</v>
      </c>
      <c r="AM41" s="1" t="s">
        <v>704</v>
      </c>
      <c r="AN41" s="1">
        <v>6300000065</v>
      </c>
      <c r="AO41" s="1"/>
      <c r="AP41" s="12" t="s">
        <v>705</v>
      </c>
      <c r="AQ41" s="13">
        <v>-50</v>
      </c>
      <c r="AR41" s="1" t="s">
        <v>53</v>
      </c>
      <c r="AS41" s="1" t="s">
        <v>54</v>
      </c>
      <c r="AV41" s="87"/>
    </row>
    <row r="42" spans="1:49" x14ac:dyDescent="0.35">
      <c r="A42" s="11">
        <v>46089</v>
      </c>
      <c r="B42" s="1" t="s">
        <v>697</v>
      </c>
      <c r="C42" s="1" t="s">
        <v>63</v>
      </c>
      <c r="D42" s="1">
        <v>14076130</v>
      </c>
      <c r="E42" s="1" t="s">
        <v>706</v>
      </c>
      <c r="F42" s="1">
        <v>16</v>
      </c>
      <c r="G42" s="1" t="s">
        <v>43</v>
      </c>
      <c r="H42" s="1" t="s">
        <v>75</v>
      </c>
      <c r="I42" s="1" t="s">
        <v>45</v>
      </c>
      <c r="J42" s="1" t="s">
        <v>45</v>
      </c>
      <c r="K42" s="1"/>
      <c r="L42" s="1"/>
      <c r="M42" s="1"/>
      <c r="N42" s="1"/>
      <c r="O42" s="1"/>
      <c r="P42" s="1"/>
      <c r="Q42" s="1"/>
      <c r="R42" s="1"/>
      <c r="S42" s="1"/>
      <c r="T42" s="1" t="s">
        <v>703</v>
      </c>
      <c r="U42" s="1" t="s">
        <v>76</v>
      </c>
      <c r="V42" s="1" t="s">
        <v>57</v>
      </c>
      <c r="W42" s="1" t="s">
        <v>77</v>
      </c>
      <c r="X42" s="1" t="s">
        <v>59</v>
      </c>
      <c r="Y42" s="1">
        <v>0</v>
      </c>
      <c r="Z42" s="1" t="s">
        <v>50</v>
      </c>
      <c r="AA42" s="1" t="s">
        <v>78</v>
      </c>
      <c r="AB42" s="1" t="s">
        <v>61</v>
      </c>
      <c r="AC42" s="1"/>
      <c r="AD42" s="1" t="s">
        <v>52</v>
      </c>
      <c r="AE42" s="1"/>
      <c r="AF42" s="1">
        <v>46089</v>
      </c>
      <c r="AG42" s="1">
        <v>46141</v>
      </c>
      <c r="AH42" s="1">
        <v>46090</v>
      </c>
      <c r="AI42" s="1">
        <v>29</v>
      </c>
      <c r="AJ42" s="1">
        <v>0.01</v>
      </c>
      <c r="AK42" s="1" t="s">
        <v>46</v>
      </c>
      <c r="AL42" s="1">
        <v>0.16</v>
      </c>
      <c r="AM42" s="1" t="s">
        <v>707</v>
      </c>
      <c r="AN42" s="1">
        <v>6300000065</v>
      </c>
      <c r="AO42" s="1"/>
      <c r="AP42" s="12" t="s">
        <v>708</v>
      </c>
      <c r="AQ42" s="13">
        <v>-50</v>
      </c>
      <c r="AR42" s="1" t="s">
        <v>53</v>
      </c>
      <c r="AS42" s="1" t="s">
        <v>54</v>
      </c>
      <c r="AV42" s="87"/>
    </row>
    <row r="43" spans="1:49" x14ac:dyDescent="0.35">
      <c r="A43" s="11">
        <v>46089</v>
      </c>
      <c r="B43" s="1" t="s">
        <v>697</v>
      </c>
      <c r="C43" s="1" t="s">
        <v>105</v>
      </c>
      <c r="D43" s="1">
        <v>14078385</v>
      </c>
      <c r="E43" s="1" t="s">
        <v>709</v>
      </c>
      <c r="F43" s="1">
        <v>16</v>
      </c>
      <c r="G43" s="1" t="s">
        <v>43</v>
      </c>
      <c r="H43" s="1" t="s">
        <v>75</v>
      </c>
      <c r="I43" s="1" t="s">
        <v>45</v>
      </c>
      <c r="J43" s="1" t="s">
        <v>45</v>
      </c>
      <c r="K43" s="1"/>
      <c r="L43" s="1"/>
      <c r="M43" s="1"/>
      <c r="N43" s="1"/>
      <c r="O43" s="1"/>
      <c r="P43" s="1"/>
      <c r="Q43" s="1"/>
      <c r="R43" s="1"/>
      <c r="S43" s="1"/>
      <c r="T43" s="1" t="s">
        <v>703</v>
      </c>
      <c r="U43" s="1" t="s">
        <v>76</v>
      </c>
      <c r="V43" s="1" t="s">
        <v>57</v>
      </c>
      <c r="W43" s="1" t="s">
        <v>77</v>
      </c>
      <c r="X43" s="1" t="s">
        <v>59</v>
      </c>
      <c r="Y43" s="1">
        <v>0</v>
      </c>
      <c r="Z43" s="1" t="s">
        <v>50</v>
      </c>
      <c r="AA43" s="1" t="s">
        <v>78</v>
      </c>
      <c r="AB43" s="1" t="s">
        <v>61</v>
      </c>
      <c r="AC43" s="1"/>
      <c r="AD43" s="1" t="s">
        <v>52</v>
      </c>
      <c r="AE43" s="1"/>
      <c r="AF43" s="1">
        <v>46089</v>
      </c>
      <c r="AG43" s="1">
        <v>46141</v>
      </c>
      <c r="AH43" s="1">
        <v>46090</v>
      </c>
      <c r="AI43" s="1">
        <v>0</v>
      </c>
      <c r="AJ43" s="1">
        <v>0.01</v>
      </c>
      <c r="AK43" s="1" t="s">
        <v>46</v>
      </c>
      <c r="AL43" s="1">
        <v>0.16</v>
      </c>
      <c r="AM43" s="1" t="s">
        <v>710</v>
      </c>
      <c r="AN43" s="1">
        <v>6300000065</v>
      </c>
      <c r="AO43" s="1"/>
      <c r="AP43" s="12" t="s">
        <v>711</v>
      </c>
      <c r="AQ43" s="13">
        <v>-50</v>
      </c>
      <c r="AR43" s="1" t="s">
        <v>53</v>
      </c>
      <c r="AS43" s="1" t="s">
        <v>54</v>
      </c>
      <c r="AV43" s="87"/>
    </row>
    <row r="44" spans="1:49" x14ac:dyDescent="0.35">
      <c r="A44" s="11">
        <v>46140</v>
      </c>
      <c r="B44" s="1" t="s">
        <v>599</v>
      </c>
      <c r="C44" s="1" t="s">
        <v>42</v>
      </c>
      <c r="D44" s="67">
        <v>14075156</v>
      </c>
      <c r="E44" s="1" t="s">
        <v>600</v>
      </c>
      <c r="F44" s="1">
        <v>5</v>
      </c>
      <c r="G44" s="1" t="s">
        <v>43</v>
      </c>
      <c r="H44" s="1" t="s">
        <v>75</v>
      </c>
      <c r="I44" s="1">
        <v>13.253389830508477</v>
      </c>
      <c r="J44" s="1">
        <v>152326</v>
      </c>
      <c r="K44" s="11">
        <v>46092</v>
      </c>
      <c r="L44" s="1" t="s">
        <v>601</v>
      </c>
      <c r="M44" s="1">
        <v>25.42</v>
      </c>
      <c r="N44" s="1" t="s">
        <v>46</v>
      </c>
      <c r="O44" s="1">
        <v>1</v>
      </c>
      <c r="P44" s="1" t="s">
        <v>43</v>
      </c>
      <c r="Q44" s="1">
        <v>1601</v>
      </c>
      <c r="R44" s="1">
        <v>1</v>
      </c>
      <c r="S44" s="1">
        <v>4500895359</v>
      </c>
      <c r="T44" s="1" t="s">
        <v>602</v>
      </c>
      <c r="U44" s="1" t="s">
        <v>544</v>
      </c>
      <c r="V44" s="1" t="s">
        <v>57</v>
      </c>
      <c r="W44" s="1" t="s">
        <v>77</v>
      </c>
      <c r="X44" s="1" t="s">
        <v>59</v>
      </c>
      <c r="Y44" s="1">
        <v>0</v>
      </c>
      <c r="Z44" s="1" t="s">
        <v>50</v>
      </c>
      <c r="AA44" s="1" t="s">
        <v>78</v>
      </c>
      <c r="AB44" s="1" t="s">
        <v>61</v>
      </c>
      <c r="AC44" s="1"/>
      <c r="AD44" s="1" t="s">
        <v>52</v>
      </c>
      <c r="AE44" s="1"/>
      <c r="AF44" s="1">
        <v>46140</v>
      </c>
      <c r="AG44" s="1">
        <v>46140</v>
      </c>
      <c r="AH44" s="1">
        <v>46141</v>
      </c>
      <c r="AI44" s="1">
        <v>0</v>
      </c>
      <c r="AJ44" s="1">
        <v>15.83</v>
      </c>
      <c r="AK44" s="1" t="s">
        <v>46</v>
      </c>
      <c r="AL44" s="1">
        <v>79.150000000000006</v>
      </c>
      <c r="AM44" s="1" t="s">
        <v>603</v>
      </c>
      <c r="AN44" s="1">
        <v>6200000131</v>
      </c>
      <c r="AO44" s="1"/>
      <c r="AP44" s="12" t="s">
        <v>604</v>
      </c>
      <c r="AQ44" s="13">
        <v>1</v>
      </c>
      <c r="AR44" s="1" t="s">
        <v>62</v>
      </c>
      <c r="AS44" s="1" t="s">
        <v>54</v>
      </c>
      <c r="AU44" s="84" t="s">
        <v>516</v>
      </c>
      <c r="AV44" s="87">
        <v>46141.486828703702</v>
      </c>
      <c r="AW44" s="84" t="s">
        <v>647</v>
      </c>
    </row>
    <row r="45" spans="1:49" x14ac:dyDescent="0.35">
      <c r="A45" s="11">
        <v>46024</v>
      </c>
      <c r="B45" s="1" t="s">
        <v>189</v>
      </c>
      <c r="C45" s="1" t="s">
        <v>91</v>
      </c>
      <c r="D45" s="1">
        <v>14099959</v>
      </c>
      <c r="E45" s="1" t="s">
        <v>190</v>
      </c>
      <c r="F45" s="1">
        <v>1</v>
      </c>
      <c r="G45" s="1" t="s">
        <v>43</v>
      </c>
      <c r="H45" s="1" t="s">
        <v>75</v>
      </c>
      <c r="I45" s="1" t="s">
        <v>45</v>
      </c>
      <c r="J45" s="1" t="s">
        <v>45</v>
      </c>
      <c r="K45" s="1"/>
      <c r="L45" s="1"/>
      <c r="M45" s="1"/>
      <c r="N45" s="1"/>
      <c r="O45" s="1"/>
      <c r="P45" s="1"/>
      <c r="Q45" s="1"/>
      <c r="R45" s="1"/>
      <c r="S45" s="1"/>
      <c r="T45" s="1" t="s">
        <v>107</v>
      </c>
      <c r="U45" s="1" t="s">
        <v>76</v>
      </c>
      <c r="V45" s="1" t="s">
        <v>57</v>
      </c>
      <c r="W45" s="1" t="s">
        <v>77</v>
      </c>
      <c r="X45" s="1" t="s">
        <v>59</v>
      </c>
      <c r="Y45" s="1">
        <v>0</v>
      </c>
      <c r="Z45" s="1" t="s">
        <v>131</v>
      </c>
      <c r="AA45" s="1" t="s">
        <v>78</v>
      </c>
      <c r="AB45" s="1" t="s">
        <v>61</v>
      </c>
      <c r="AC45" s="1" t="s">
        <v>191</v>
      </c>
      <c r="AD45" s="1" t="s">
        <v>42</v>
      </c>
      <c r="AE45" s="1">
        <v>46028</v>
      </c>
      <c r="AF45" s="1">
        <v>46024</v>
      </c>
      <c r="AG45" s="1">
        <v>46024</v>
      </c>
      <c r="AH45" s="1">
        <v>46025</v>
      </c>
      <c r="AI45" s="1">
        <v>29</v>
      </c>
      <c r="AJ45" s="1">
        <v>32.950000000000003</v>
      </c>
      <c r="AK45" s="1" t="s">
        <v>46</v>
      </c>
      <c r="AL45" s="1">
        <v>32.950000000000003</v>
      </c>
      <c r="AM45" s="1" t="s">
        <v>192</v>
      </c>
      <c r="AN45" s="1">
        <v>2001584</v>
      </c>
      <c r="AO45" s="1"/>
      <c r="AP45" s="12" t="s">
        <v>193</v>
      </c>
      <c r="AQ45" s="13">
        <v>-115</v>
      </c>
      <c r="AR45" s="1" t="s">
        <v>53</v>
      </c>
      <c r="AS45" s="1" t="s">
        <v>54</v>
      </c>
      <c r="AV45" s="87"/>
    </row>
    <row r="46" spans="1:49" x14ac:dyDescent="0.35">
      <c r="A46" s="66">
        <v>46099</v>
      </c>
      <c r="B46" s="67" t="s">
        <v>113</v>
      </c>
      <c r="C46" s="67" t="s">
        <v>63</v>
      </c>
      <c r="D46" s="67">
        <v>14101609</v>
      </c>
      <c r="E46" s="67" t="s">
        <v>114</v>
      </c>
      <c r="F46" s="67">
        <v>7</v>
      </c>
      <c r="G46" s="67" t="s">
        <v>43</v>
      </c>
      <c r="H46" s="67" t="s">
        <v>44</v>
      </c>
      <c r="I46" s="67" t="s">
        <v>45</v>
      </c>
      <c r="J46" s="67" t="s">
        <v>45</v>
      </c>
      <c r="K46" s="67"/>
      <c r="L46" s="67"/>
      <c r="M46" s="67"/>
      <c r="N46" s="67"/>
      <c r="O46" s="67"/>
      <c r="P46" s="67"/>
      <c r="Q46" s="67"/>
      <c r="R46" s="67"/>
      <c r="S46" s="67"/>
      <c r="T46" s="67" t="s">
        <v>107</v>
      </c>
      <c r="U46" s="67" t="s">
        <v>69</v>
      </c>
      <c r="V46" s="67" t="s">
        <v>70</v>
      </c>
      <c r="W46" s="67" t="s">
        <v>84</v>
      </c>
      <c r="X46" s="67" t="s">
        <v>49</v>
      </c>
      <c r="Y46" s="67">
        <v>0</v>
      </c>
      <c r="Z46" s="67" t="s">
        <v>50</v>
      </c>
      <c r="AA46" s="67" t="s">
        <v>96</v>
      </c>
      <c r="AB46" s="67" t="s">
        <v>61</v>
      </c>
      <c r="AC46" s="67"/>
      <c r="AD46" s="67" t="s">
        <v>52</v>
      </c>
      <c r="AE46" s="67"/>
      <c r="AF46" s="67">
        <v>46099</v>
      </c>
      <c r="AG46" s="67">
        <v>46099</v>
      </c>
      <c r="AH46" s="67">
        <v>46100</v>
      </c>
      <c r="AI46" s="67">
        <v>0</v>
      </c>
      <c r="AJ46" s="67">
        <v>33.07</v>
      </c>
      <c r="AK46" s="67" t="s">
        <v>46</v>
      </c>
      <c r="AL46" s="67">
        <v>231.49</v>
      </c>
      <c r="AM46" s="67" t="s">
        <v>115</v>
      </c>
      <c r="AN46" s="67">
        <v>4213917</v>
      </c>
      <c r="AO46" s="67"/>
      <c r="AP46" s="68" t="s">
        <v>116</v>
      </c>
      <c r="AQ46" s="69">
        <v>-40</v>
      </c>
      <c r="AR46" s="67" t="s">
        <v>53</v>
      </c>
      <c r="AS46" s="67" t="s">
        <v>54</v>
      </c>
      <c r="AT46" s="70"/>
      <c r="AU46" s="71" t="s">
        <v>510</v>
      </c>
      <c r="AV46" s="72">
        <v>46141.597731481481</v>
      </c>
      <c r="AW46" s="71" t="s">
        <v>660</v>
      </c>
    </row>
    <row r="47" spans="1:49" x14ac:dyDescent="0.35">
      <c r="A47" s="11">
        <v>46141</v>
      </c>
      <c r="B47" s="1" t="s">
        <v>712</v>
      </c>
      <c r="C47" s="1" t="s">
        <v>42</v>
      </c>
      <c r="D47" s="1">
        <v>14078907</v>
      </c>
      <c r="E47" s="1" t="s">
        <v>713</v>
      </c>
      <c r="F47" s="1">
        <v>4</v>
      </c>
      <c r="G47" s="1" t="s">
        <v>43</v>
      </c>
      <c r="H47" s="1" t="s">
        <v>88</v>
      </c>
      <c r="I47" s="1" t="s">
        <v>45</v>
      </c>
      <c r="J47" s="1" t="s">
        <v>45</v>
      </c>
      <c r="K47" s="11">
        <v>46059</v>
      </c>
      <c r="L47" s="1" t="s">
        <v>240</v>
      </c>
      <c r="M47" s="1">
        <v>15.65</v>
      </c>
      <c r="N47" s="1" t="s">
        <v>56</v>
      </c>
      <c r="O47" s="1">
        <v>1</v>
      </c>
      <c r="P47" s="1" t="s">
        <v>43</v>
      </c>
      <c r="Q47" s="1">
        <v>1208</v>
      </c>
      <c r="R47" s="1">
        <v>2</v>
      </c>
      <c r="S47" s="1">
        <v>4500889736</v>
      </c>
      <c r="T47" s="1" t="s">
        <v>107</v>
      </c>
      <c r="U47" s="1" t="s">
        <v>69</v>
      </c>
      <c r="V47" s="1" t="s">
        <v>70</v>
      </c>
      <c r="W47" s="1" t="s">
        <v>89</v>
      </c>
      <c r="X47" s="1" t="s">
        <v>59</v>
      </c>
      <c r="Y47" s="1">
        <v>0</v>
      </c>
      <c r="Z47" s="1" t="s">
        <v>50</v>
      </c>
      <c r="AA47" s="1" t="s">
        <v>90</v>
      </c>
      <c r="AB47" s="1" t="s">
        <v>61</v>
      </c>
      <c r="AC47" s="1"/>
      <c r="AD47" s="1" t="s">
        <v>52</v>
      </c>
      <c r="AE47" s="1"/>
      <c r="AF47" s="1">
        <v>46141</v>
      </c>
      <c r="AG47" s="1">
        <v>46141</v>
      </c>
      <c r="AH47" s="1">
        <v>46142</v>
      </c>
      <c r="AI47" s="1">
        <v>0</v>
      </c>
      <c r="AJ47" s="1">
        <v>87.67</v>
      </c>
      <c r="AK47" s="1" t="s">
        <v>46</v>
      </c>
      <c r="AL47" s="1">
        <v>350.68</v>
      </c>
      <c r="AM47" s="1" t="s">
        <v>714</v>
      </c>
      <c r="AN47" s="1">
        <v>4215490</v>
      </c>
      <c r="AO47" s="1"/>
      <c r="AP47" s="12" t="s">
        <v>715</v>
      </c>
      <c r="AQ47" s="13">
        <v>2</v>
      </c>
      <c r="AR47" s="1" t="s">
        <v>62</v>
      </c>
      <c r="AS47" s="1" t="s">
        <v>54</v>
      </c>
    </row>
    <row r="48" spans="1:49" x14ac:dyDescent="0.35">
      <c r="A48" s="11">
        <v>45904</v>
      </c>
      <c r="B48" s="1" t="s">
        <v>356</v>
      </c>
      <c r="C48" s="1" t="s">
        <v>64</v>
      </c>
      <c r="D48" s="67">
        <v>14076908</v>
      </c>
      <c r="E48" s="1" t="s">
        <v>357</v>
      </c>
      <c r="F48" s="1">
        <v>50</v>
      </c>
      <c r="G48" s="1" t="s">
        <v>43</v>
      </c>
      <c r="H48" s="1" t="s">
        <v>92</v>
      </c>
      <c r="I48" s="1" t="s">
        <v>45</v>
      </c>
      <c r="J48" s="1" t="s">
        <v>45</v>
      </c>
      <c r="K48" s="1"/>
      <c r="L48" s="1"/>
      <c r="M48" s="1"/>
      <c r="N48" s="1"/>
      <c r="O48" s="1"/>
      <c r="P48" s="1"/>
      <c r="Q48" s="1"/>
      <c r="R48" s="1"/>
      <c r="S48" s="1"/>
      <c r="T48" s="1" t="s">
        <v>68</v>
      </c>
      <c r="U48" s="1" t="s">
        <v>355</v>
      </c>
      <c r="V48" s="1" t="s">
        <v>104</v>
      </c>
      <c r="W48" s="1" t="s">
        <v>93</v>
      </c>
      <c r="X48" s="1" t="s">
        <v>59</v>
      </c>
      <c r="Y48" s="1">
        <v>0</v>
      </c>
      <c r="Z48" s="1" t="s">
        <v>131</v>
      </c>
      <c r="AA48" s="1" t="s">
        <v>94</v>
      </c>
      <c r="AB48" s="1" t="s">
        <v>61</v>
      </c>
      <c r="AC48" s="1" t="s">
        <v>358</v>
      </c>
      <c r="AD48" s="1" t="s">
        <v>42</v>
      </c>
      <c r="AE48" s="1">
        <v>45910</v>
      </c>
      <c r="AF48" s="1">
        <v>45904</v>
      </c>
      <c r="AG48" s="1">
        <v>45910</v>
      </c>
      <c r="AH48" s="1">
        <v>45934</v>
      </c>
      <c r="AI48" s="1">
        <v>29</v>
      </c>
      <c r="AJ48" s="1">
        <v>32.72</v>
      </c>
      <c r="AK48" s="1" t="s">
        <v>46</v>
      </c>
      <c r="AL48" s="1">
        <v>1636</v>
      </c>
      <c r="AM48" s="1" t="s">
        <v>359</v>
      </c>
      <c r="AN48" s="1">
        <v>4204477</v>
      </c>
      <c r="AO48" s="1"/>
      <c r="AP48" s="12" t="s">
        <v>360</v>
      </c>
      <c r="AQ48" s="13">
        <v>-235</v>
      </c>
      <c r="AR48" s="1" t="s">
        <v>53</v>
      </c>
      <c r="AS48" s="1" t="s">
        <v>54</v>
      </c>
      <c r="AU48" s="84" t="s">
        <v>516</v>
      </c>
      <c r="AV48" s="87">
        <v>46141.486828703702</v>
      </c>
      <c r="AW48" s="84" t="s">
        <v>647</v>
      </c>
    </row>
    <row r="49" spans="1:49" x14ac:dyDescent="0.35">
      <c r="A49" s="11">
        <v>46115</v>
      </c>
      <c r="B49" s="1" t="s">
        <v>165</v>
      </c>
      <c r="C49" s="1" t="s">
        <v>81</v>
      </c>
      <c r="D49" s="1">
        <v>14017759</v>
      </c>
      <c r="E49" s="1" t="s">
        <v>166</v>
      </c>
      <c r="F49" s="1">
        <v>900</v>
      </c>
      <c r="G49" s="1" t="s">
        <v>43</v>
      </c>
      <c r="H49" s="1" t="s">
        <v>44</v>
      </c>
      <c r="I49" s="1" t="s">
        <v>45</v>
      </c>
      <c r="J49" s="1" t="s">
        <v>45</v>
      </c>
      <c r="K49" s="11">
        <v>45957</v>
      </c>
      <c r="L49" s="1" t="s">
        <v>167</v>
      </c>
      <c r="M49" s="1">
        <v>70</v>
      </c>
      <c r="N49" s="1" t="s">
        <v>46</v>
      </c>
      <c r="O49" s="1">
        <v>100</v>
      </c>
      <c r="P49" s="1" t="s">
        <v>43</v>
      </c>
      <c r="Q49" s="1">
        <v>1207</v>
      </c>
      <c r="R49" s="1">
        <v>900</v>
      </c>
      <c r="S49" s="1">
        <v>4500870816</v>
      </c>
      <c r="T49" s="1" t="s">
        <v>108</v>
      </c>
      <c r="U49" s="1" t="s">
        <v>84</v>
      </c>
      <c r="V49" s="1" t="s">
        <v>47</v>
      </c>
      <c r="W49" s="1" t="s">
        <v>84</v>
      </c>
      <c r="X49" s="1" t="s">
        <v>49</v>
      </c>
      <c r="Y49" s="1">
        <v>0</v>
      </c>
      <c r="Z49" s="1" t="s">
        <v>194</v>
      </c>
      <c r="AA49" s="1" t="s">
        <v>96</v>
      </c>
      <c r="AB49" s="1" t="s">
        <v>83</v>
      </c>
      <c r="AC49" s="1"/>
      <c r="AD49" s="1" t="s">
        <v>52</v>
      </c>
      <c r="AE49" s="1"/>
      <c r="AF49" s="1">
        <v>46132</v>
      </c>
      <c r="AG49" s="1">
        <v>46115</v>
      </c>
      <c r="AH49" s="1">
        <v>46161</v>
      </c>
      <c r="AI49" s="1">
        <v>29</v>
      </c>
      <c r="AJ49" s="1">
        <v>0.61</v>
      </c>
      <c r="AK49" s="1" t="s">
        <v>46</v>
      </c>
      <c r="AL49" s="1">
        <v>549</v>
      </c>
      <c r="AM49" s="1"/>
      <c r="AN49" s="1"/>
      <c r="AO49" s="1"/>
      <c r="AP49" s="12" t="s">
        <v>168</v>
      </c>
      <c r="AQ49" s="13">
        <v>-24</v>
      </c>
      <c r="AR49" s="1" t="s">
        <v>53</v>
      </c>
      <c r="AS49" s="1" t="s">
        <v>54</v>
      </c>
      <c r="AV49" s="87"/>
    </row>
    <row r="50" spans="1:49" x14ac:dyDescent="0.35">
      <c r="A50" s="11">
        <v>46125</v>
      </c>
      <c r="B50" s="1" t="s">
        <v>205</v>
      </c>
      <c r="C50" s="1" t="s">
        <v>81</v>
      </c>
      <c r="D50" s="1">
        <v>14077711</v>
      </c>
      <c r="E50" s="1" t="s">
        <v>129</v>
      </c>
      <c r="F50" s="1">
        <v>300</v>
      </c>
      <c r="G50" s="1" t="s">
        <v>43</v>
      </c>
      <c r="H50" s="1" t="s">
        <v>44</v>
      </c>
      <c r="I50" s="1" t="s">
        <v>45</v>
      </c>
      <c r="J50" s="1" t="s">
        <v>45</v>
      </c>
      <c r="K50" s="11">
        <v>46084</v>
      </c>
      <c r="L50" s="1" t="s">
        <v>82</v>
      </c>
      <c r="M50" s="1">
        <v>0.73</v>
      </c>
      <c r="N50" s="1" t="s">
        <v>56</v>
      </c>
      <c r="O50" s="1">
        <v>100</v>
      </c>
      <c r="P50" s="1" t="s">
        <v>43</v>
      </c>
      <c r="Q50" s="1">
        <v>1207</v>
      </c>
      <c r="R50" s="1">
        <v>500</v>
      </c>
      <c r="S50" s="1">
        <v>4500893861</v>
      </c>
      <c r="T50" s="1" t="s">
        <v>108</v>
      </c>
      <c r="U50" s="1" t="s">
        <v>84</v>
      </c>
      <c r="V50" s="1" t="s">
        <v>47</v>
      </c>
      <c r="W50" s="1" t="s">
        <v>84</v>
      </c>
      <c r="X50" s="1" t="s">
        <v>49</v>
      </c>
      <c r="Y50" s="1">
        <v>0</v>
      </c>
      <c r="Z50" s="1" t="s">
        <v>194</v>
      </c>
      <c r="AA50" s="1" t="s">
        <v>96</v>
      </c>
      <c r="AB50" s="1" t="s">
        <v>83</v>
      </c>
      <c r="AC50" s="1"/>
      <c r="AD50" s="1" t="s">
        <v>52</v>
      </c>
      <c r="AE50" s="1"/>
      <c r="AF50" s="1">
        <v>46128</v>
      </c>
      <c r="AG50" s="1">
        <v>46125</v>
      </c>
      <c r="AH50" s="1">
        <v>46157</v>
      </c>
      <c r="AI50" s="1">
        <v>29</v>
      </c>
      <c r="AJ50" s="1">
        <v>0.03</v>
      </c>
      <c r="AK50" s="1" t="s">
        <v>46</v>
      </c>
      <c r="AL50" s="1">
        <v>9</v>
      </c>
      <c r="AM50" s="1"/>
      <c r="AN50" s="1"/>
      <c r="AO50" s="1"/>
      <c r="AP50" s="12" t="s">
        <v>206</v>
      </c>
      <c r="AQ50" s="13">
        <v>-14</v>
      </c>
      <c r="AR50" s="1" t="s">
        <v>53</v>
      </c>
      <c r="AS50" s="1" t="s">
        <v>54</v>
      </c>
      <c r="AV50" s="87"/>
    </row>
    <row r="51" spans="1:49" x14ac:dyDescent="0.35">
      <c r="A51" s="11">
        <v>46141</v>
      </c>
      <c r="B51" s="1" t="s">
        <v>621</v>
      </c>
      <c r="C51" s="1" t="s">
        <v>42</v>
      </c>
      <c r="D51" s="1">
        <v>14010804</v>
      </c>
      <c r="E51" s="1" t="s">
        <v>622</v>
      </c>
      <c r="F51" s="1">
        <v>2</v>
      </c>
      <c r="G51" s="1" t="s">
        <v>43</v>
      </c>
      <c r="H51" s="1" t="s">
        <v>88</v>
      </c>
      <c r="I51" s="1">
        <v>0.49</v>
      </c>
      <c r="J51" s="1">
        <v>151931</v>
      </c>
      <c r="K51" s="11">
        <v>46108</v>
      </c>
      <c r="L51" s="1" t="s">
        <v>623</v>
      </c>
      <c r="M51" s="1">
        <v>0.51</v>
      </c>
      <c r="N51" s="1" t="s">
        <v>56</v>
      </c>
      <c r="O51" s="1">
        <v>1</v>
      </c>
      <c r="P51" s="1" t="s">
        <v>43</v>
      </c>
      <c r="Q51" s="1">
        <v>1208</v>
      </c>
      <c r="R51" s="1">
        <v>8</v>
      </c>
      <c r="S51" s="1">
        <v>4500897804</v>
      </c>
      <c r="T51" s="1" t="s">
        <v>624</v>
      </c>
      <c r="U51" s="1" t="s">
        <v>69</v>
      </c>
      <c r="V51" s="1" t="s">
        <v>70</v>
      </c>
      <c r="W51" s="1" t="s">
        <v>89</v>
      </c>
      <c r="X51" s="1" t="s">
        <v>59</v>
      </c>
      <c r="Y51" s="1">
        <v>0</v>
      </c>
      <c r="Z51" s="1" t="s">
        <v>50</v>
      </c>
      <c r="AA51" s="1" t="s">
        <v>90</v>
      </c>
      <c r="AB51" s="1" t="s">
        <v>61</v>
      </c>
      <c r="AC51" s="1"/>
      <c r="AD51" s="1" t="s">
        <v>52</v>
      </c>
      <c r="AE51" s="1"/>
      <c r="AF51" s="1">
        <v>46141</v>
      </c>
      <c r="AG51" s="1">
        <v>46141</v>
      </c>
      <c r="AH51" s="1">
        <v>46142</v>
      </c>
      <c r="AI51" s="1">
        <v>0</v>
      </c>
      <c r="AJ51" s="1">
        <v>1.34</v>
      </c>
      <c r="AK51" s="1" t="s">
        <v>46</v>
      </c>
      <c r="AL51" s="1">
        <v>2.68</v>
      </c>
      <c r="AM51" s="1" t="s">
        <v>625</v>
      </c>
      <c r="AN51" s="1">
        <v>4216098</v>
      </c>
      <c r="AO51" s="1"/>
      <c r="AP51" s="12" t="s">
        <v>626</v>
      </c>
      <c r="AQ51" s="13">
        <v>2</v>
      </c>
      <c r="AR51" s="1" t="s">
        <v>62</v>
      </c>
      <c r="AS51" s="1" t="s">
        <v>54</v>
      </c>
      <c r="AV51" s="87"/>
    </row>
    <row r="52" spans="1:49" x14ac:dyDescent="0.35">
      <c r="A52" s="11">
        <v>46141</v>
      </c>
      <c r="B52" s="1" t="s">
        <v>627</v>
      </c>
      <c r="C52" s="1" t="s">
        <v>81</v>
      </c>
      <c r="D52" s="1">
        <v>14074566</v>
      </c>
      <c r="E52" s="1" t="s">
        <v>628</v>
      </c>
      <c r="F52" s="1">
        <v>300</v>
      </c>
      <c r="G52" s="1" t="s">
        <v>43</v>
      </c>
      <c r="H52" s="1" t="s">
        <v>44</v>
      </c>
      <c r="I52" s="1">
        <v>0.11</v>
      </c>
      <c r="J52" s="1">
        <v>151931</v>
      </c>
      <c r="K52" s="11">
        <v>46125</v>
      </c>
      <c r="L52" s="1" t="s">
        <v>623</v>
      </c>
      <c r="M52" s="1">
        <v>0.11</v>
      </c>
      <c r="N52" s="1" t="s">
        <v>56</v>
      </c>
      <c r="O52" s="1">
        <v>1</v>
      </c>
      <c r="P52" s="1" t="s">
        <v>43</v>
      </c>
      <c r="Q52" s="1">
        <v>1207</v>
      </c>
      <c r="R52" s="1">
        <v>300</v>
      </c>
      <c r="S52" s="1">
        <v>4500900456</v>
      </c>
      <c r="T52" s="1" t="s">
        <v>629</v>
      </c>
      <c r="U52" s="1" t="s">
        <v>84</v>
      </c>
      <c r="V52" s="1" t="s">
        <v>47</v>
      </c>
      <c r="W52" s="1" t="s">
        <v>84</v>
      </c>
      <c r="X52" s="1" t="s">
        <v>49</v>
      </c>
      <c r="Y52" s="1">
        <v>0</v>
      </c>
      <c r="Z52" s="1" t="s">
        <v>50</v>
      </c>
      <c r="AA52" s="1" t="s">
        <v>96</v>
      </c>
      <c r="AB52" s="1" t="s">
        <v>83</v>
      </c>
      <c r="AC52" s="1"/>
      <c r="AD52" s="1" t="s">
        <v>52</v>
      </c>
      <c r="AE52" s="1"/>
      <c r="AF52" s="1">
        <v>46142</v>
      </c>
      <c r="AG52" s="1">
        <v>46141</v>
      </c>
      <c r="AH52" s="1">
        <v>46171</v>
      </c>
      <c r="AI52" s="1">
        <v>29</v>
      </c>
      <c r="AJ52" s="1">
        <v>0.38</v>
      </c>
      <c r="AK52" s="1" t="s">
        <v>46</v>
      </c>
      <c r="AL52" s="1">
        <v>114</v>
      </c>
      <c r="AM52" s="1"/>
      <c r="AN52" s="1"/>
      <c r="AO52" s="1"/>
      <c r="AP52" s="12" t="s">
        <v>630</v>
      </c>
      <c r="AQ52" s="13">
        <v>2</v>
      </c>
      <c r="AR52" s="1" t="s">
        <v>62</v>
      </c>
      <c r="AS52" s="1" t="s">
        <v>54</v>
      </c>
      <c r="AV52" s="87"/>
    </row>
    <row r="53" spans="1:49" x14ac:dyDescent="0.35">
      <c r="A53" s="66">
        <v>46135</v>
      </c>
      <c r="B53" s="67" t="s">
        <v>631</v>
      </c>
      <c r="C53" s="67" t="s">
        <v>63</v>
      </c>
      <c r="D53" s="67">
        <v>14093042</v>
      </c>
      <c r="E53" s="67" t="s">
        <v>632</v>
      </c>
      <c r="F53" s="67">
        <v>1</v>
      </c>
      <c r="G53" s="67" t="s">
        <v>43</v>
      </c>
      <c r="H53" s="67" t="s">
        <v>44</v>
      </c>
      <c r="I53" s="67" t="s">
        <v>45</v>
      </c>
      <c r="J53" s="67" t="s">
        <v>45</v>
      </c>
      <c r="K53" s="67"/>
      <c r="L53" s="67"/>
      <c r="M53" s="67"/>
      <c r="N53" s="67"/>
      <c r="O53" s="67"/>
      <c r="P53" s="67"/>
      <c r="Q53" s="67"/>
      <c r="R53" s="67"/>
      <c r="S53" s="67"/>
      <c r="T53" s="67" t="s">
        <v>633</v>
      </c>
      <c r="U53" s="67" t="s">
        <v>69</v>
      </c>
      <c r="V53" s="67" t="s">
        <v>70</v>
      </c>
      <c r="W53" s="67" t="s">
        <v>84</v>
      </c>
      <c r="X53" s="67" t="s">
        <v>49</v>
      </c>
      <c r="Y53" s="67">
        <v>0</v>
      </c>
      <c r="Z53" s="67" t="s">
        <v>131</v>
      </c>
      <c r="AA53" s="67" t="s">
        <v>85</v>
      </c>
      <c r="AB53" s="67" t="s">
        <v>61</v>
      </c>
      <c r="AC53" s="67" t="s">
        <v>634</v>
      </c>
      <c r="AD53" s="67" t="s">
        <v>64</v>
      </c>
      <c r="AE53" s="67">
        <v>46136</v>
      </c>
      <c r="AF53" s="67">
        <v>46135</v>
      </c>
      <c r="AG53" s="67">
        <v>46135</v>
      </c>
      <c r="AH53" s="67">
        <v>46136</v>
      </c>
      <c r="AI53" s="67">
        <v>29</v>
      </c>
      <c r="AJ53" s="67">
        <v>430.46</v>
      </c>
      <c r="AK53" s="67" t="s">
        <v>46</v>
      </c>
      <c r="AL53" s="67">
        <v>430.46</v>
      </c>
      <c r="AM53" s="67" t="s">
        <v>635</v>
      </c>
      <c r="AN53" s="67">
        <v>4215752</v>
      </c>
      <c r="AO53" s="67"/>
      <c r="AP53" s="68" t="s">
        <v>636</v>
      </c>
      <c r="AQ53" s="69">
        <v>-4</v>
      </c>
      <c r="AR53" s="67" t="s">
        <v>53</v>
      </c>
      <c r="AS53" s="67" t="s">
        <v>54</v>
      </c>
      <c r="AT53" s="70"/>
      <c r="AU53" s="71" t="s">
        <v>510</v>
      </c>
      <c r="AV53" s="72">
        <v>46141.565775462965</v>
      </c>
      <c r="AW53" s="71" t="s">
        <v>653</v>
      </c>
    </row>
    <row r="54" spans="1:49" x14ac:dyDescent="0.35">
      <c r="A54" s="88"/>
      <c r="B54" s="84"/>
      <c r="C54" s="84"/>
      <c r="D54" s="84"/>
      <c r="E54" s="84"/>
      <c r="F54" s="84"/>
      <c r="G54" s="84"/>
      <c r="H54" s="84"/>
      <c r="I54" s="84"/>
      <c r="J54" s="84"/>
      <c r="K54" s="88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84"/>
      <c r="AN54" s="84"/>
      <c r="AO54" s="84"/>
      <c r="AP54" s="89"/>
      <c r="AQ54" s="90"/>
      <c r="AR54" s="84"/>
      <c r="AS54" s="84"/>
      <c r="AV54" s="87"/>
    </row>
    <row r="55" spans="1:49" x14ac:dyDescent="0.35">
      <c r="A55" s="88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84"/>
      <c r="AN55" s="84"/>
      <c r="AO55" s="84"/>
      <c r="AP55" s="89"/>
      <c r="AQ55" s="90"/>
      <c r="AR55" s="84"/>
      <c r="AS55" s="84"/>
    </row>
    <row r="56" spans="1:49" x14ac:dyDescent="0.35">
      <c r="A56" s="88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  <c r="AO56" s="84"/>
      <c r="AP56" s="89"/>
      <c r="AQ56" s="90"/>
      <c r="AR56" s="84"/>
      <c r="AS56" s="84"/>
      <c r="AV56" s="87"/>
    </row>
    <row r="57" spans="1:49" x14ac:dyDescent="0.35">
      <c r="A57" s="88"/>
      <c r="B57" s="84"/>
      <c r="C57" s="84"/>
      <c r="D57" s="84"/>
      <c r="E57" s="84"/>
      <c r="F57" s="84"/>
      <c r="G57" s="84"/>
      <c r="H57" s="84"/>
      <c r="I57" s="84"/>
      <c r="J57" s="84"/>
      <c r="K57" s="88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84"/>
      <c r="AN57" s="84"/>
      <c r="AO57" s="84"/>
      <c r="AP57" s="89"/>
      <c r="AQ57" s="90"/>
      <c r="AR57" s="84"/>
      <c r="AS57" s="84"/>
      <c r="AV57" s="87"/>
    </row>
    <row r="58" spans="1:49" x14ac:dyDescent="0.35">
      <c r="A58" s="88"/>
      <c r="B58" s="84"/>
      <c r="C58" s="84"/>
      <c r="D58" s="84"/>
      <c r="E58" s="84"/>
      <c r="F58" s="84"/>
      <c r="G58" s="84"/>
      <c r="H58" s="84"/>
      <c r="I58" s="84"/>
      <c r="J58" s="84"/>
      <c r="K58" s="88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  <c r="AO58" s="84"/>
      <c r="AP58" s="89"/>
      <c r="AQ58" s="90"/>
      <c r="AR58" s="84"/>
      <c r="AS58" s="84"/>
      <c r="AV58" s="87"/>
    </row>
    <row r="59" spans="1:49" x14ac:dyDescent="0.35">
      <c r="A59" s="88"/>
      <c r="B59" s="84"/>
      <c r="C59" s="84"/>
      <c r="D59" s="84"/>
      <c r="E59" s="84"/>
      <c r="F59" s="84"/>
      <c r="G59" s="84"/>
      <c r="H59" s="84"/>
      <c r="I59" s="84"/>
      <c r="J59" s="84"/>
      <c r="K59" s="88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9"/>
      <c r="AQ59" s="90"/>
      <c r="AR59" s="84"/>
      <c r="AS59" s="84"/>
      <c r="AV59" s="87"/>
    </row>
    <row r="60" spans="1:49" x14ac:dyDescent="0.35">
      <c r="A60" s="88"/>
      <c r="B60" s="84"/>
      <c r="C60" s="84"/>
      <c r="D60" s="84"/>
      <c r="E60" s="84"/>
      <c r="F60" s="84"/>
      <c r="G60" s="84"/>
      <c r="H60" s="84"/>
      <c r="I60" s="84"/>
      <c r="J60" s="84"/>
      <c r="K60" s="88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/>
      <c r="AP60" s="89"/>
      <c r="AQ60" s="90"/>
      <c r="AR60" s="84"/>
      <c r="AS60" s="84"/>
      <c r="AV60" s="87"/>
    </row>
    <row r="61" spans="1:49" x14ac:dyDescent="0.35">
      <c r="A61" s="88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/>
      <c r="AP61" s="89"/>
      <c r="AQ61" s="90"/>
      <c r="AR61" s="84"/>
      <c r="AS61" s="84"/>
      <c r="AV61" s="87"/>
    </row>
    <row r="62" spans="1:49" x14ac:dyDescent="0.35">
      <c r="A62" s="88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  <c r="AO62" s="84"/>
      <c r="AP62" s="89"/>
      <c r="AQ62" s="90"/>
      <c r="AR62" s="84"/>
      <c r="AS62" s="84"/>
      <c r="AV62" s="87"/>
    </row>
    <row r="63" spans="1:49" ht="15" customHeight="1" x14ac:dyDescent="0.35">
      <c r="A63" s="88"/>
      <c r="B63" s="84"/>
      <c r="C63" s="84"/>
      <c r="D63" s="84"/>
      <c r="E63" s="84"/>
      <c r="F63" s="84"/>
      <c r="G63" s="84"/>
      <c r="H63" s="84"/>
      <c r="I63" s="84"/>
      <c r="J63" s="84"/>
      <c r="K63" s="88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9"/>
      <c r="AQ63" s="90"/>
      <c r="AR63" s="84"/>
      <c r="AS63" s="84"/>
    </row>
    <row r="64" spans="1:49" x14ac:dyDescent="0.35">
      <c r="A64" s="88"/>
      <c r="B64" s="84"/>
      <c r="C64" s="84"/>
      <c r="D64" s="84"/>
      <c r="E64" s="84"/>
      <c r="F64" s="84"/>
      <c r="G64" s="84"/>
      <c r="H64" s="84"/>
      <c r="I64" s="84"/>
      <c r="J64" s="84"/>
      <c r="K64" s="88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9"/>
      <c r="AQ64" s="90"/>
      <c r="AR64" s="84"/>
      <c r="AS64" s="84"/>
    </row>
    <row r="65" spans="1:48" x14ac:dyDescent="0.35">
      <c r="A65" s="88"/>
      <c r="B65" s="84"/>
      <c r="C65" s="84"/>
      <c r="D65" s="84"/>
      <c r="E65" s="84"/>
      <c r="F65" s="84"/>
      <c r="G65" s="84"/>
      <c r="H65" s="84"/>
      <c r="I65" s="84"/>
      <c r="J65" s="84"/>
      <c r="K65" s="88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  <c r="AO65" s="84"/>
      <c r="AP65" s="89"/>
      <c r="AQ65" s="90"/>
      <c r="AR65" s="84"/>
      <c r="AS65" s="84"/>
    </row>
    <row r="66" spans="1:48" x14ac:dyDescent="0.35">
      <c r="A66" s="88"/>
      <c r="B66" s="84"/>
      <c r="C66" s="84"/>
      <c r="D66" s="84"/>
      <c r="E66" s="84"/>
      <c r="F66" s="84"/>
      <c r="G66" s="84"/>
      <c r="H66" s="84"/>
      <c r="I66" s="84"/>
      <c r="J66" s="84"/>
      <c r="K66" s="88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  <c r="AN66" s="84"/>
      <c r="AO66" s="84"/>
      <c r="AP66" s="89"/>
      <c r="AQ66" s="90"/>
      <c r="AR66" s="84"/>
      <c r="AS66" s="84"/>
    </row>
    <row r="67" spans="1:48" x14ac:dyDescent="0.35">
      <c r="A67" s="88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  <c r="AO67" s="84"/>
      <c r="AP67" s="89"/>
      <c r="AQ67" s="90"/>
      <c r="AR67" s="84"/>
      <c r="AS67" s="84"/>
      <c r="AV67" s="87"/>
    </row>
    <row r="68" spans="1:48" x14ac:dyDescent="0.35">
      <c r="A68" s="88"/>
      <c r="B68" s="84"/>
      <c r="C68" s="84"/>
      <c r="D68" s="84"/>
      <c r="E68" s="84"/>
      <c r="F68" s="84"/>
      <c r="G68" s="84"/>
      <c r="H68" s="84"/>
      <c r="I68" s="84"/>
      <c r="J68" s="84"/>
      <c r="K68" s="88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  <c r="AO68" s="84"/>
      <c r="AP68" s="89"/>
      <c r="AQ68" s="90"/>
      <c r="AR68" s="84"/>
      <c r="AS68" s="84"/>
    </row>
    <row r="69" spans="1:48" x14ac:dyDescent="0.35">
      <c r="A69" s="88"/>
      <c r="B69" s="84"/>
      <c r="C69" s="84"/>
      <c r="D69" s="84"/>
      <c r="E69" s="84"/>
      <c r="F69" s="84"/>
      <c r="G69" s="84"/>
      <c r="H69" s="84"/>
      <c r="I69" s="84"/>
      <c r="J69" s="84"/>
      <c r="K69" s="88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  <c r="AO69" s="84"/>
      <c r="AP69" s="89"/>
      <c r="AQ69" s="90"/>
      <c r="AR69" s="84"/>
      <c r="AS69" s="84"/>
      <c r="AV69" s="87"/>
    </row>
    <row r="70" spans="1:48" x14ac:dyDescent="0.35">
      <c r="A70" s="88"/>
      <c r="B70" s="84"/>
      <c r="C70" s="84"/>
      <c r="D70" s="84"/>
      <c r="E70" s="84"/>
      <c r="F70" s="84"/>
      <c r="G70" s="84"/>
      <c r="H70" s="84"/>
      <c r="I70" s="84"/>
      <c r="J70" s="84"/>
      <c r="K70" s="88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9"/>
      <c r="AQ70" s="90"/>
      <c r="AR70" s="84"/>
      <c r="AS70" s="84"/>
    </row>
    <row r="71" spans="1:48" x14ac:dyDescent="0.35">
      <c r="A71" s="88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  <c r="AL71" s="84"/>
      <c r="AM71" s="84"/>
      <c r="AN71" s="84"/>
      <c r="AO71" s="84"/>
      <c r="AP71" s="89"/>
      <c r="AQ71" s="90"/>
      <c r="AR71" s="84"/>
      <c r="AS71" s="84"/>
    </row>
    <row r="72" spans="1:48" ht="16" customHeight="1" x14ac:dyDescent="0.35">
      <c r="A72" s="88"/>
      <c r="B72" s="84"/>
      <c r="C72" s="84"/>
      <c r="D72" s="84"/>
      <c r="E72" s="84"/>
      <c r="F72" s="84"/>
      <c r="G72" s="84"/>
      <c r="H72" s="84"/>
      <c r="I72" s="84"/>
      <c r="J72" s="84"/>
      <c r="K72" s="88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  <c r="AO72" s="84"/>
      <c r="AP72" s="89"/>
      <c r="AQ72" s="90"/>
      <c r="AR72" s="84"/>
      <c r="AS72" s="84"/>
    </row>
    <row r="73" spans="1:48" x14ac:dyDescent="0.35">
      <c r="A73" s="88"/>
      <c r="B73" s="84"/>
      <c r="C73" s="84"/>
      <c r="D73" s="84"/>
      <c r="E73" s="84"/>
      <c r="F73" s="84"/>
      <c r="G73" s="84"/>
      <c r="H73" s="84"/>
      <c r="I73" s="84"/>
      <c r="J73" s="84"/>
      <c r="K73" s="88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  <c r="AO73" s="84"/>
      <c r="AP73" s="89"/>
      <c r="AQ73" s="90"/>
      <c r="AR73" s="84"/>
      <c r="AS73" s="84"/>
    </row>
    <row r="74" spans="1:48" x14ac:dyDescent="0.35">
      <c r="A74" s="88"/>
      <c r="B74" s="84"/>
      <c r="C74" s="84"/>
      <c r="D74" s="84"/>
      <c r="E74" s="84"/>
      <c r="F74" s="84"/>
      <c r="G74" s="84"/>
      <c r="H74" s="84"/>
      <c r="I74" s="84"/>
      <c r="J74" s="84"/>
      <c r="K74" s="88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  <c r="AO74" s="84"/>
      <c r="AP74" s="89"/>
      <c r="AQ74" s="90"/>
      <c r="AR74" s="84"/>
      <c r="AS74" s="84"/>
    </row>
    <row r="75" spans="1:48" x14ac:dyDescent="0.35">
      <c r="A75" s="88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  <c r="AM75" s="84"/>
      <c r="AN75" s="84"/>
      <c r="AO75" s="84"/>
      <c r="AP75" s="89"/>
      <c r="AQ75" s="90"/>
      <c r="AR75" s="84"/>
      <c r="AS75" s="84"/>
    </row>
    <row r="76" spans="1:48" x14ac:dyDescent="0.35">
      <c r="A76" s="88"/>
      <c r="B76" s="84"/>
      <c r="C76" s="84"/>
      <c r="D76" s="84"/>
      <c r="E76" s="84"/>
      <c r="F76" s="84"/>
      <c r="G76" s="84"/>
      <c r="H76" s="84"/>
      <c r="I76" s="84"/>
      <c r="J76" s="84"/>
      <c r="K76" s="88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  <c r="AO76" s="84"/>
      <c r="AP76" s="89"/>
      <c r="AQ76" s="90"/>
      <c r="AR76" s="84"/>
      <c r="AS76" s="84"/>
    </row>
    <row r="77" spans="1:48" x14ac:dyDescent="0.35">
      <c r="A77" s="88"/>
      <c r="B77" s="84"/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9"/>
      <c r="AQ77" s="90"/>
      <c r="AR77" s="84"/>
      <c r="AS77" s="84"/>
    </row>
    <row r="78" spans="1:48" x14ac:dyDescent="0.35">
      <c r="A78" s="88"/>
      <c r="B78" s="84"/>
      <c r="C78" s="84"/>
      <c r="D78" s="84"/>
      <c r="E78" s="84"/>
      <c r="F78" s="84"/>
      <c r="G78" s="84"/>
      <c r="H78" s="84"/>
      <c r="I78" s="84"/>
      <c r="J78" s="84"/>
      <c r="K78" s="88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  <c r="AL78" s="84"/>
      <c r="AM78" s="84"/>
      <c r="AN78" s="84"/>
      <c r="AO78" s="84"/>
      <c r="AP78" s="89"/>
      <c r="AQ78" s="90"/>
      <c r="AR78" s="84"/>
      <c r="AS78" s="84"/>
    </row>
    <row r="79" spans="1:48" x14ac:dyDescent="0.35">
      <c r="A79" s="88"/>
      <c r="B79" s="84"/>
      <c r="C79" s="84"/>
      <c r="D79" s="84"/>
      <c r="E79" s="84"/>
      <c r="F79" s="84"/>
      <c r="G79" s="84"/>
      <c r="H79" s="84"/>
      <c r="I79" s="84"/>
      <c r="J79" s="84"/>
      <c r="K79" s="88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  <c r="AO79" s="84"/>
      <c r="AP79" s="89"/>
      <c r="AQ79" s="90"/>
      <c r="AR79" s="84"/>
      <c r="AS79" s="84"/>
    </row>
    <row r="80" spans="1:48" x14ac:dyDescent="0.35">
      <c r="A80" s="88"/>
      <c r="B80" s="84"/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  <c r="AO80" s="84"/>
      <c r="AP80" s="89"/>
      <c r="AQ80" s="90"/>
      <c r="AR80" s="84"/>
      <c r="AS80" s="84"/>
    </row>
    <row r="81" spans="1:49" x14ac:dyDescent="0.35">
      <c r="A81" s="88"/>
      <c r="B81" s="84"/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/>
      <c r="AP81" s="89"/>
      <c r="AQ81" s="90"/>
      <c r="AR81" s="84"/>
      <c r="AS81" s="84"/>
    </row>
    <row r="82" spans="1:49" x14ac:dyDescent="0.35">
      <c r="A82" s="88"/>
      <c r="B82" s="84"/>
      <c r="C82" s="84"/>
      <c r="D82" s="84"/>
      <c r="E82" s="84"/>
      <c r="F82" s="84"/>
      <c r="G82" s="84"/>
      <c r="H82" s="84"/>
      <c r="I82" s="84"/>
      <c r="J82" s="84"/>
      <c r="K82" s="88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4"/>
      <c r="AP82" s="89"/>
      <c r="AQ82" s="90"/>
      <c r="AR82" s="84"/>
      <c r="AS82" s="84"/>
    </row>
    <row r="83" spans="1:49" s="93" customFormat="1" x14ac:dyDescent="0.35">
      <c r="A83" s="88"/>
      <c r="B83" s="84"/>
      <c r="C83" s="84"/>
      <c r="D83" s="84"/>
      <c r="E83" s="84"/>
      <c r="F83" s="84"/>
      <c r="G83" s="84"/>
      <c r="H83" s="84"/>
      <c r="I83" s="84"/>
      <c r="J83" s="84"/>
      <c r="K83" s="88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4"/>
      <c r="AF83" s="84"/>
      <c r="AG83" s="84"/>
      <c r="AH83" s="84"/>
      <c r="AI83" s="84"/>
      <c r="AJ83" s="84"/>
      <c r="AK83" s="84"/>
      <c r="AL83" s="84"/>
      <c r="AM83" s="84"/>
      <c r="AN83" s="84"/>
      <c r="AO83" s="84"/>
      <c r="AP83" s="89"/>
      <c r="AQ83" s="90"/>
      <c r="AR83" s="84"/>
      <c r="AS83" s="84"/>
      <c r="AT83" s="91"/>
      <c r="AU83" s="92"/>
      <c r="AV83" s="92"/>
      <c r="AW83" s="92"/>
    </row>
    <row r="84" spans="1:49" x14ac:dyDescent="0.35">
      <c r="A84" s="88"/>
      <c r="B84" s="84"/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  <c r="AO84" s="84"/>
      <c r="AP84" s="89"/>
      <c r="AQ84" s="90"/>
      <c r="AR84" s="84"/>
      <c r="AS84" s="84"/>
    </row>
    <row r="85" spans="1:49" s="93" customFormat="1" x14ac:dyDescent="0.35">
      <c r="A85" s="88"/>
      <c r="B85" s="84"/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  <c r="AO85" s="84"/>
      <c r="AP85" s="89"/>
      <c r="AQ85" s="90"/>
      <c r="AR85" s="84"/>
      <c r="AS85" s="84"/>
      <c r="AT85" s="86"/>
      <c r="AU85" s="92"/>
      <c r="AV85" s="92"/>
      <c r="AW85" s="92"/>
    </row>
    <row r="86" spans="1:49" s="93" customFormat="1" x14ac:dyDescent="0.35">
      <c r="A86" s="88"/>
      <c r="B86" s="84"/>
      <c r="C86" s="84"/>
      <c r="D86" s="84"/>
      <c r="E86" s="84"/>
      <c r="F86" s="84"/>
      <c r="G86" s="84"/>
      <c r="H86" s="84"/>
      <c r="I86" s="84"/>
      <c r="J86" s="84"/>
      <c r="K86" s="88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  <c r="AO86" s="84"/>
      <c r="AP86" s="89"/>
      <c r="AQ86" s="90"/>
      <c r="AR86" s="84"/>
      <c r="AS86" s="84"/>
      <c r="AT86" s="91"/>
      <c r="AU86" s="92"/>
      <c r="AV86" s="92"/>
      <c r="AW86" s="92"/>
    </row>
    <row r="87" spans="1:49" x14ac:dyDescent="0.35">
      <c r="A87" s="88"/>
      <c r="B87" s="84"/>
      <c r="C87" s="84"/>
      <c r="D87" s="84"/>
      <c r="E87" s="84"/>
      <c r="F87" s="84"/>
      <c r="G87" s="84"/>
      <c r="H87" s="84"/>
      <c r="I87" s="84"/>
      <c r="J87" s="84"/>
      <c r="K87" s="88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  <c r="AO87" s="84"/>
      <c r="AP87" s="89"/>
      <c r="AQ87" s="90"/>
      <c r="AR87" s="84"/>
      <c r="AS87" s="84"/>
    </row>
    <row r="88" spans="1:49" x14ac:dyDescent="0.35">
      <c r="A88" s="88"/>
      <c r="B88" s="84"/>
      <c r="C88" s="84"/>
      <c r="D88" s="84"/>
      <c r="E88" s="84"/>
      <c r="F88" s="84"/>
      <c r="G88" s="84"/>
      <c r="H88" s="84"/>
      <c r="I88" s="84"/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/>
      <c r="AG88" s="84"/>
      <c r="AH88" s="84"/>
      <c r="AI88" s="84"/>
      <c r="AJ88" s="84"/>
      <c r="AK88" s="84"/>
      <c r="AL88" s="84"/>
      <c r="AM88" s="84"/>
      <c r="AN88" s="84"/>
      <c r="AO88" s="84"/>
      <c r="AP88" s="89"/>
      <c r="AQ88" s="90"/>
      <c r="AR88" s="84"/>
      <c r="AS88" s="84"/>
    </row>
    <row r="89" spans="1:49" x14ac:dyDescent="0.35">
      <c r="A89" s="88"/>
      <c r="B89" s="84"/>
      <c r="C89" s="84"/>
      <c r="D89" s="84"/>
      <c r="E89" s="84"/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/>
      <c r="AP89" s="89"/>
      <c r="AQ89" s="90"/>
      <c r="AR89" s="84"/>
      <c r="AS89" s="84"/>
      <c r="AT89" s="91"/>
    </row>
    <row r="90" spans="1:49" x14ac:dyDescent="0.35">
      <c r="A90" s="88"/>
      <c r="B90" s="84"/>
      <c r="C90" s="84"/>
      <c r="D90" s="84"/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4"/>
      <c r="AP90" s="89"/>
      <c r="AQ90" s="90"/>
      <c r="AR90" s="84"/>
      <c r="AS90" s="84"/>
    </row>
    <row r="91" spans="1:49" x14ac:dyDescent="0.35">
      <c r="A91" s="88"/>
      <c r="B91" s="84"/>
      <c r="C91" s="84"/>
      <c r="D91" s="84"/>
      <c r="E91" s="84"/>
      <c r="F91" s="84"/>
      <c r="G91" s="84"/>
      <c r="H91" s="84"/>
      <c r="I91" s="84"/>
      <c r="J91" s="84"/>
      <c r="K91" s="88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/>
      <c r="AP91" s="89"/>
      <c r="AQ91" s="90"/>
      <c r="AR91" s="84"/>
      <c r="AS91" s="84"/>
    </row>
    <row r="92" spans="1:49" x14ac:dyDescent="0.35">
      <c r="A92" s="88"/>
      <c r="B92" s="84"/>
      <c r="C92" s="84"/>
      <c r="D92" s="84"/>
      <c r="E92" s="84"/>
      <c r="F92" s="84"/>
      <c r="G92" s="84"/>
      <c r="H92" s="84"/>
      <c r="I92" s="84"/>
      <c r="J92" s="84"/>
      <c r="K92" s="88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  <c r="AO92" s="84"/>
      <c r="AP92" s="89"/>
      <c r="AQ92" s="90"/>
      <c r="AR92" s="84"/>
      <c r="AS92" s="84"/>
    </row>
    <row r="93" spans="1:49" s="93" customFormat="1" x14ac:dyDescent="0.35">
      <c r="A93" s="88"/>
      <c r="B93" s="84"/>
      <c r="C93" s="84"/>
      <c r="D93" s="84"/>
      <c r="E93" s="84"/>
      <c r="F93" s="84"/>
      <c r="G93" s="84"/>
      <c r="H93" s="84"/>
      <c r="I93" s="84"/>
      <c r="J93" s="84"/>
      <c r="K93" s="88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  <c r="AO93" s="84"/>
      <c r="AP93" s="89"/>
      <c r="AQ93" s="90"/>
      <c r="AR93" s="84"/>
      <c r="AS93" s="84"/>
      <c r="AT93" s="86"/>
      <c r="AU93" s="92"/>
      <c r="AV93" s="92"/>
      <c r="AW93" s="92"/>
    </row>
    <row r="94" spans="1:49" x14ac:dyDescent="0.35">
      <c r="A94" s="88"/>
      <c r="B94" s="84"/>
      <c r="C94" s="84"/>
      <c r="D94" s="84"/>
      <c r="E94" s="84"/>
      <c r="F94" s="84"/>
      <c r="G94" s="84"/>
      <c r="H94" s="84"/>
      <c r="I94" s="84"/>
      <c r="J94" s="84"/>
      <c r="K94" s="88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4"/>
      <c r="AJ94" s="84"/>
      <c r="AK94" s="84"/>
      <c r="AL94" s="84"/>
      <c r="AM94" s="84"/>
      <c r="AN94" s="84"/>
      <c r="AO94" s="84"/>
      <c r="AP94" s="89"/>
      <c r="AQ94" s="90"/>
      <c r="AR94" s="84"/>
      <c r="AS94" s="84"/>
    </row>
    <row r="95" spans="1:49" x14ac:dyDescent="0.35">
      <c r="A95" s="88"/>
      <c r="B95" s="84"/>
      <c r="C95" s="84"/>
      <c r="D95" s="84"/>
      <c r="E95" s="84"/>
      <c r="F95" s="84"/>
      <c r="G95" s="84"/>
      <c r="H95" s="84"/>
      <c r="I95" s="84"/>
      <c r="J95" s="84"/>
      <c r="K95" s="88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84"/>
      <c r="AM95" s="84"/>
      <c r="AN95" s="84"/>
      <c r="AO95" s="84"/>
      <c r="AP95" s="89"/>
      <c r="AQ95" s="90"/>
      <c r="AR95" s="84"/>
      <c r="AS95" s="84"/>
    </row>
    <row r="96" spans="1:49" x14ac:dyDescent="0.35">
      <c r="A96" s="88"/>
      <c r="B96" s="84"/>
      <c r="C96" s="84"/>
      <c r="D96" s="84"/>
      <c r="E96" s="84"/>
      <c r="F96" s="84"/>
      <c r="G96" s="84"/>
      <c r="H96" s="84"/>
      <c r="I96" s="84"/>
      <c r="J96" s="84"/>
      <c r="K96" s="88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4"/>
      <c r="AP96" s="89"/>
      <c r="AQ96" s="90"/>
      <c r="AR96" s="84"/>
      <c r="AS96" s="84"/>
    </row>
    <row r="97" spans="1:49" x14ac:dyDescent="0.35">
      <c r="A97" s="88"/>
      <c r="B97" s="84"/>
      <c r="C97" s="84"/>
      <c r="D97" s="84"/>
      <c r="E97" s="84"/>
      <c r="F97" s="84"/>
      <c r="G97" s="84"/>
      <c r="H97" s="84"/>
      <c r="I97" s="84"/>
      <c r="J97" s="84"/>
      <c r="K97" s="88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  <c r="AO97" s="84"/>
      <c r="AP97" s="89"/>
      <c r="AQ97" s="90"/>
      <c r="AR97" s="84"/>
      <c r="AS97" s="84"/>
    </row>
    <row r="98" spans="1:49" x14ac:dyDescent="0.35">
      <c r="A98" s="88"/>
      <c r="B98" s="84"/>
      <c r="C98" s="84"/>
      <c r="D98" s="84"/>
      <c r="E98" s="84"/>
      <c r="F98" s="84"/>
      <c r="G98" s="84"/>
      <c r="H98" s="84"/>
      <c r="I98" s="84"/>
      <c r="J98" s="84"/>
      <c r="K98" s="88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89"/>
      <c r="AQ98" s="90"/>
      <c r="AR98" s="84"/>
      <c r="AS98" s="84"/>
    </row>
    <row r="99" spans="1:49" x14ac:dyDescent="0.35">
      <c r="A99" s="88"/>
      <c r="B99" s="84"/>
      <c r="C99" s="84"/>
      <c r="D99" s="84"/>
      <c r="E99" s="84"/>
      <c r="F99" s="84"/>
      <c r="G99" s="84"/>
      <c r="H99" s="84"/>
      <c r="I99" s="84"/>
      <c r="J99" s="84"/>
      <c r="K99" s="88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/>
      <c r="AP99" s="89"/>
      <c r="AQ99" s="90"/>
      <c r="AR99" s="84"/>
      <c r="AS99" s="84"/>
    </row>
    <row r="100" spans="1:49" s="93" customFormat="1" x14ac:dyDescent="0.35">
      <c r="A100" s="88"/>
      <c r="B100" s="84"/>
      <c r="C100" s="84"/>
      <c r="D100" s="84"/>
      <c r="E100" s="84"/>
      <c r="F100" s="84"/>
      <c r="G100" s="84"/>
      <c r="H100" s="84"/>
      <c r="I100" s="84"/>
      <c r="J100" s="84"/>
      <c r="K100" s="88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84"/>
      <c r="AM100" s="84"/>
      <c r="AN100" s="84"/>
      <c r="AO100" s="84"/>
      <c r="AP100" s="89"/>
      <c r="AQ100" s="90"/>
      <c r="AR100" s="84"/>
      <c r="AS100" s="84"/>
      <c r="AT100" s="91"/>
      <c r="AU100" s="92"/>
      <c r="AV100" s="92"/>
      <c r="AW100" s="92"/>
    </row>
    <row r="101" spans="1:49" s="93" customFormat="1" x14ac:dyDescent="0.35">
      <c r="A101" s="88"/>
      <c r="B101" s="84"/>
      <c r="C101" s="84"/>
      <c r="D101" s="84"/>
      <c r="E101" s="84"/>
      <c r="F101" s="84"/>
      <c r="G101" s="84"/>
      <c r="H101" s="84"/>
      <c r="I101" s="84"/>
      <c r="J101" s="84"/>
      <c r="K101" s="88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  <c r="AO101" s="84"/>
      <c r="AP101" s="89"/>
      <c r="AQ101" s="90"/>
      <c r="AR101" s="84"/>
      <c r="AS101" s="84"/>
      <c r="AT101" s="86"/>
      <c r="AU101" s="92"/>
      <c r="AV101" s="92"/>
      <c r="AW101" s="92"/>
    </row>
    <row r="102" spans="1:49" x14ac:dyDescent="0.35">
      <c r="A102" s="88"/>
      <c r="B102" s="84"/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  <c r="AO102" s="84"/>
      <c r="AP102" s="89"/>
      <c r="AQ102" s="90"/>
      <c r="AR102" s="84"/>
      <c r="AS102" s="84"/>
    </row>
    <row r="103" spans="1:49" x14ac:dyDescent="0.35">
      <c r="A103" s="88"/>
      <c r="B103" s="84"/>
      <c r="C103" s="84"/>
      <c r="D103" s="84"/>
      <c r="E103" s="84"/>
      <c r="F103" s="84"/>
      <c r="G103" s="84"/>
      <c r="H103" s="84"/>
      <c r="I103" s="84"/>
      <c r="J103" s="84"/>
      <c r="K103" s="88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84"/>
      <c r="AM103" s="84"/>
      <c r="AN103" s="84"/>
      <c r="AO103" s="84"/>
      <c r="AP103" s="89"/>
      <c r="AQ103" s="90"/>
      <c r="AR103" s="84"/>
      <c r="AS103" s="84"/>
    </row>
    <row r="104" spans="1:49" x14ac:dyDescent="0.35">
      <c r="A104" s="88"/>
      <c r="B104" s="84"/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  <c r="AO104" s="84"/>
      <c r="AP104" s="89"/>
      <c r="AQ104" s="90"/>
      <c r="AR104" s="84"/>
      <c r="AS104" s="84"/>
    </row>
    <row r="105" spans="1:49" x14ac:dyDescent="0.35">
      <c r="A105" s="88"/>
      <c r="B105" s="84"/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/>
      <c r="AP105" s="89"/>
      <c r="AQ105" s="90"/>
      <c r="AR105" s="84"/>
      <c r="AS105" s="84"/>
    </row>
    <row r="106" spans="1:49" x14ac:dyDescent="0.35">
      <c r="A106" s="88"/>
      <c r="B106" s="84"/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  <c r="AO106" s="84"/>
      <c r="AP106" s="89"/>
      <c r="AQ106" s="90"/>
      <c r="AR106" s="84"/>
      <c r="AS106" s="84"/>
    </row>
    <row r="107" spans="1:49" x14ac:dyDescent="0.35">
      <c r="A107" s="88"/>
      <c r="B107" s="84"/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  <c r="AO107" s="84"/>
      <c r="AP107" s="89"/>
      <c r="AQ107" s="90"/>
      <c r="AR107" s="84"/>
      <c r="AS107" s="84"/>
    </row>
    <row r="108" spans="1:49" x14ac:dyDescent="0.35">
      <c r="A108" s="88"/>
      <c r="B108" s="84"/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  <c r="AL108" s="84"/>
      <c r="AM108" s="84"/>
      <c r="AN108" s="84"/>
      <c r="AO108" s="84"/>
      <c r="AP108" s="89"/>
      <c r="AQ108" s="90"/>
      <c r="AR108" s="84"/>
      <c r="AS108" s="84"/>
    </row>
    <row r="109" spans="1:49" x14ac:dyDescent="0.35">
      <c r="A109" s="88"/>
      <c r="B109" s="84"/>
      <c r="C109" s="84"/>
      <c r="D109" s="84"/>
      <c r="E109" s="84"/>
      <c r="F109" s="84"/>
      <c r="G109" s="84"/>
      <c r="H109" s="84"/>
      <c r="I109" s="84"/>
      <c r="J109" s="84"/>
      <c r="K109" s="88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/>
      <c r="AP109" s="89"/>
      <c r="AQ109" s="90"/>
      <c r="AR109" s="84"/>
      <c r="AS109" s="84"/>
    </row>
    <row r="110" spans="1:49" x14ac:dyDescent="0.35">
      <c r="A110" s="88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  <c r="AL110" s="84"/>
      <c r="AM110" s="84"/>
      <c r="AN110" s="84"/>
      <c r="AO110" s="84"/>
      <c r="AP110" s="89"/>
      <c r="AQ110" s="90"/>
      <c r="AR110" s="84"/>
      <c r="AS110" s="84"/>
      <c r="AT110" s="91"/>
    </row>
    <row r="111" spans="1:49" x14ac:dyDescent="0.35">
      <c r="A111" s="88"/>
      <c r="B111" s="84"/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  <c r="W111" s="84"/>
      <c r="X111" s="84"/>
      <c r="Y111" s="84"/>
      <c r="Z111" s="84"/>
      <c r="AA111" s="84"/>
      <c r="AB111" s="84"/>
      <c r="AC111" s="84"/>
      <c r="AD111" s="84"/>
      <c r="AE111" s="84"/>
      <c r="AF111" s="84"/>
      <c r="AG111" s="84"/>
      <c r="AH111" s="84"/>
      <c r="AI111" s="84"/>
      <c r="AJ111" s="84"/>
      <c r="AK111" s="84"/>
      <c r="AL111" s="84"/>
      <c r="AM111" s="84"/>
      <c r="AN111" s="84"/>
      <c r="AO111" s="84"/>
      <c r="AP111" s="89"/>
      <c r="AQ111" s="90"/>
      <c r="AR111" s="84"/>
      <c r="AS111" s="84"/>
    </row>
    <row r="112" spans="1:49" x14ac:dyDescent="0.35">
      <c r="A112" s="88"/>
      <c r="B112" s="84"/>
      <c r="C112" s="84"/>
      <c r="D112" s="84"/>
      <c r="E112" s="84"/>
      <c r="F112" s="84"/>
      <c r="G112" s="84"/>
      <c r="H112" s="84"/>
      <c r="I112" s="84"/>
      <c r="J112" s="84"/>
      <c r="K112" s="88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  <c r="W112" s="84"/>
      <c r="X112" s="84"/>
      <c r="Y112" s="84"/>
      <c r="Z112" s="84"/>
      <c r="AA112" s="84"/>
      <c r="AB112" s="84"/>
      <c r="AC112" s="84"/>
      <c r="AD112" s="84"/>
      <c r="AE112" s="84"/>
      <c r="AF112" s="84"/>
      <c r="AG112" s="84"/>
      <c r="AH112" s="84"/>
      <c r="AI112" s="84"/>
      <c r="AJ112" s="84"/>
      <c r="AK112" s="84"/>
      <c r="AL112" s="84"/>
      <c r="AM112" s="84"/>
      <c r="AN112" s="84"/>
      <c r="AO112" s="84"/>
      <c r="AP112" s="89"/>
      <c r="AQ112" s="90"/>
      <c r="AR112" s="84"/>
      <c r="AS112" s="84"/>
    </row>
    <row r="113" spans="1:46" x14ac:dyDescent="0.35">
      <c r="A113" s="88"/>
      <c r="B113" s="84"/>
      <c r="C113" s="84"/>
      <c r="D113" s="84"/>
      <c r="E113" s="84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84"/>
      <c r="AN113" s="84"/>
      <c r="AO113" s="84"/>
      <c r="AP113" s="89"/>
      <c r="AQ113" s="90"/>
      <c r="AR113" s="84"/>
      <c r="AS113" s="84"/>
    </row>
    <row r="114" spans="1:46" x14ac:dyDescent="0.35">
      <c r="A114" s="88"/>
      <c r="B114" s="84"/>
      <c r="C114" s="84"/>
      <c r="D114" s="84"/>
      <c r="E114" s="84"/>
      <c r="F114" s="84"/>
      <c r="G114" s="84"/>
      <c r="H114" s="84"/>
      <c r="I114" s="84"/>
      <c r="J114" s="84"/>
      <c r="K114" s="88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  <c r="AN114" s="84"/>
      <c r="AO114" s="84"/>
      <c r="AP114" s="89"/>
      <c r="AQ114" s="90"/>
      <c r="AR114" s="84"/>
      <c r="AS114" s="84"/>
    </row>
    <row r="115" spans="1:46" x14ac:dyDescent="0.35">
      <c r="A115" s="88"/>
      <c r="B115" s="84"/>
      <c r="C115" s="84"/>
      <c r="D115" s="84"/>
      <c r="E115" s="84"/>
      <c r="F115" s="84"/>
      <c r="G115" s="84"/>
      <c r="H115" s="84"/>
      <c r="I115" s="84"/>
      <c r="J115" s="84"/>
      <c r="K115" s="88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/>
      <c r="AP115" s="89"/>
      <c r="AQ115" s="90"/>
      <c r="AR115" s="84"/>
      <c r="AS115" s="84"/>
    </row>
    <row r="116" spans="1:46" x14ac:dyDescent="0.35">
      <c r="A116" s="88"/>
      <c r="B116" s="84"/>
      <c r="C116" s="84"/>
      <c r="D116" s="84"/>
      <c r="E116" s="84"/>
      <c r="F116" s="84"/>
      <c r="G116" s="84"/>
      <c r="H116" s="84"/>
      <c r="I116" s="84"/>
      <c r="J116" s="84"/>
      <c r="K116" s="88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  <c r="AL116" s="84"/>
      <c r="AM116" s="84"/>
      <c r="AN116" s="84"/>
      <c r="AO116" s="84"/>
      <c r="AP116" s="89"/>
      <c r="AQ116" s="90"/>
      <c r="AR116" s="84"/>
      <c r="AS116" s="84"/>
    </row>
    <row r="117" spans="1:46" ht="15.5" customHeight="1" x14ac:dyDescent="0.35">
      <c r="A117" s="88"/>
      <c r="B117" s="84"/>
      <c r="C117" s="84"/>
      <c r="D117" s="84"/>
      <c r="E117" s="84"/>
      <c r="F117" s="84"/>
      <c r="G117" s="84"/>
      <c r="H117" s="84"/>
      <c r="I117" s="84"/>
      <c r="J117" s="84"/>
      <c r="K117" s="88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  <c r="AL117" s="84"/>
      <c r="AM117" s="84"/>
      <c r="AN117" s="84"/>
      <c r="AO117" s="84"/>
      <c r="AP117" s="89"/>
      <c r="AQ117" s="90"/>
      <c r="AR117" s="84"/>
      <c r="AS117" s="84"/>
    </row>
    <row r="118" spans="1:46" x14ac:dyDescent="0.35">
      <c r="A118" s="88"/>
      <c r="B118" s="84"/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89"/>
      <c r="AQ118" s="90"/>
      <c r="AR118" s="84"/>
      <c r="AS118" s="84"/>
      <c r="AT118" s="91"/>
    </row>
    <row r="119" spans="1:46" x14ac:dyDescent="0.35">
      <c r="A119" s="88"/>
      <c r="B119" s="84"/>
      <c r="C119" s="84"/>
      <c r="D119" s="84"/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/>
      <c r="AM119" s="84"/>
      <c r="AN119" s="84"/>
      <c r="AO119" s="84"/>
      <c r="AP119" s="89"/>
      <c r="AQ119" s="90"/>
      <c r="AR119" s="84"/>
      <c r="AS119" s="84"/>
    </row>
    <row r="120" spans="1:46" x14ac:dyDescent="0.35">
      <c r="A120" s="88"/>
      <c r="B120" s="84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/>
      <c r="AP120" s="89"/>
      <c r="AQ120" s="90"/>
      <c r="AR120" s="84"/>
      <c r="AS120" s="84"/>
    </row>
    <row r="121" spans="1:46" x14ac:dyDescent="0.35">
      <c r="A121" s="88"/>
      <c r="B121" s="84"/>
      <c r="C121" s="84"/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  <c r="AL121" s="84"/>
      <c r="AM121" s="84"/>
      <c r="AN121" s="84"/>
      <c r="AO121" s="84"/>
      <c r="AP121" s="89"/>
      <c r="AQ121" s="90"/>
      <c r="AR121" s="84"/>
      <c r="AS121" s="84"/>
    </row>
    <row r="122" spans="1:46" ht="18.5" customHeight="1" x14ac:dyDescent="0.35">
      <c r="A122" s="88"/>
      <c r="B122" s="84"/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  <c r="Y122" s="84"/>
      <c r="Z122" s="84"/>
      <c r="AA122" s="84"/>
      <c r="AB122" s="84"/>
      <c r="AC122" s="84"/>
      <c r="AD122" s="84"/>
      <c r="AE122" s="84"/>
      <c r="AF122" s="84"/>
      <c r="AG122" s="84"/>
      <c r="AH122" s="84"/>
      <c r="AI122" s="84"/>
      <c r="AJ122" s="84"/>
      <c r="AK122" s="84"/>
      <c r="AL122" s="84"/>
      <c r="AM122" s="84"/>
      <c r="AN122" s="84"/>
      <c r="AO122" s="84"/>
      <c r="AP122" s="89"/>
      <c r="AQ122" s="90"/>
      <c r="AR122" s="84"/>
      <c r="AS122" s="84"/>
    </row>
    <row r="123" spans="1:46" x14ac:dyDescent="0.35">
      <c r="A123" s="88"/>
      <c r="B123" s="84"/>
      <c r="C123" s="84"/>
      <c r="D123" s="84"/>
      <c r="E123" s="84"/>
      <c r="F123" s="84"/>
      <c r="G123" s="84"/>
      <c r="H123" s="84"/>
      <c r="I123" s="84"/>
      <c r="J123" s="84"/>
      <c r="K123" s="88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  <c r="AL123" s="84"/>
      <c r="AM123" s="84"/>
      <c r="AN123" s="84"/>
      <c r="AO123" s="84"/>
      <c r="AP123" s="89"/>
      <c r="AQ123" s="90"/>
      <c r="AR123" s="84"/>
      <c r="AS123" s="84"/>
    </row>
    <row r="124" spans="1:46" x14ac:dyDescent="0.35">
      <c r="A124" s="88"/>
      <c r="B124" s="84"/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/>
      <c r="AP124" s="89"/>
      <c r="AQ124" s="90"/>
      <c r="AR124" s="84"/>
      <c r="AS124" s="84"/>
    </row>
    <row r="125" spans="1:46" x14ac:dyDescent="0.35">
      <c r="A125" s="88"/>
      <c r="B125" s="84"/>
      <c r="C125" s="84"/>
      <c r="D125" s="84"/>
      <c r="E125" s="84"/>
      <c r="F125" s="84"/>
      <c r="G125" s="84"/>
      <c r="H125" s="84"/>
      <c r="I125" s="84"/>
      <c r="J125" s="84"/>
      <c r="K125" s="88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  <c r="AL125" s="84"/>
      <c r="AM125" s="84"/>
      <c r="AN125" s="84"/>
      <c r="AO125" s="84"/>
      <c r="AP125" s="89"/>
      <c r="AQ125" s="90"/>
      <c r="AR125" s="84"/>
      <c r="AS125" s="84"/>
    </row>
    <row r="126" spans="1:46" x14ac:dyDescent="0.35">
      <c r="A126" s="88"/>
      <c r="B126" s="84"/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  <c r="AL126" s="84"/>
      <c r="AM126" s="84"/>
      <c r="AN126" s="84"/>
      <c r="AO126" s="84"/>
      <c r="AP126" s="89"/>
      <c r="AQ126" s="90"/>
      <c r="AR126" s="84"/>
      <c r="AS126" s="84"/>
    </row>
    <row r="127" spans="1:46" x14ac:dyDescent="0.35">
      <c r="A127" s="88"/>
      <c r="B127" s="84"/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  <c r="AL127" s="84"/>
      <c r="AM127" s="84"/>
      <c r="AN127" s="84"/>
      <c r="AO127" s="84"/>
      <c r="AP127" s="89"/>
      <c r="AQ127" s="90"/>
      <c r="AR127" s="84"/>
      <c r="AS127" s="84"/>
    </row>
    <row r="128" spans="1:46" x14ac:dyDescent="0.35">
      <c r="A128" s="88"/>
      <c r="B128" s="84"/>
      <c r="C128" s="84"/>
      <c r="D128" s="84"/>
      <c r="E128" s="84"/>
      <c r="F128" s="84"/>
      <c r="G128" s="84"/>
      <c r="H128" s="84"/>
      <c r="I128" s="84"/>
      <c r="J128" s="84"/>
      <c r="K128" s="88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  <c r="AA128" s="84"/>
      <c r="AB128" s="84"/>
      <c r="AC128" s="84"/>
      <c r="AD128" s="84"/>
      <c r="AE128" s="84"/>
      <c r="AF128" s="84"/>
      <c r="AG128" s="84"/>
      <c r="AH128" s="84"/>
      <c r="AI128" s="84"/>
      <c r="AJ128" s="84"/>
      <c r="AK128" s="84"/>
      <c r="AL128" s="84"/>
      <c r="AM128" s="84"/>
      <c r="AN128" s="84"/>
      <c r="AO128" s="84"/>
      <c r="AP128" s="89"/>
      <c r="AQ128" s="90"/>
      <c r="AR128" s="84"/>
      <c r="AS128" s="84"/>
    </row>
    <row r="129" spans="1:45" x14ac:dyDescent="0.35">
      <c r="A129" s="88"/>
      <c r="B129" s="84"/>
      <c r="C129" s="84"/>
      <c r="D129" s="84"/>
      <c r="E129" s="84"/>
      <c r="F129" s="84"/>
      <c r="G129" s="84"/>
      <c r="H129" s="84"/>
      <c r="I129" s="84"/>
      <c r="J129" s="84"/>
      <c r="K129" s="88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 s="84"/>
      <c r="AB129" s="84"/>
      <c r="AC129" s="84"/>
      <c r="AD129" s="84"/>
      <c r="AE129" s="84"/>
      <c r="AF129" s="84"/>
      <c r="AG129" s="84"/>
      <c r="AH129" s="84"/>
      <c r="AI129" s="84"/>
      <c r="AJ129" s="84"/>
      <c r="AK129" s="84"/>
      <c r="AL129" s="84"/>
      <c r="AM129" s="84"/>
      <c r="AN129" s="84"/>
      <c r="AO129" s="84"/>
      <c r="AP129" s="89"/>
      <c r="AQ129" s="90"/>
      <c r="AR129" s="84"/>
      <c r="AS129" s="84"/>
    </row>
    <row r="130" spans="1:45" ht="15" customHeight="1" x14ac:dyDescent="0.35">
      <c r="A130" s="88"/>
      <c r="B130" s="84"/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  <c r="AL130" s="84"/>
      <c r="AM130" s="84"/>
      <c r="AN130" s="84"/>
      <c r="AO130" s="84"/>
      <c r="AP130" s="89"/>
      <c r="AQ130" s="90"/>
      <c r="AR130" s="84"/>
      <c r="AS130" s="84"/>
    </row>
    <row r="131" spans="1:45" x14ac:dyDescent="0.35">
      <c r="A131" s="88"/>
      <c r="B131" s="84"/>
      <c r="C131" s="84"/>
      <c r="D131" s="84"/>
      <c r="E131" s="84"/>
      <c r="F131" s="84"/>
      <c r="G131" s="84"/>
      <c r="H131" s="84"/>
      <c r="I131" s="84"/>
      <c r="J131" s="84"/>
      <c r="K131" s="88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  <c r="AL131" s="84"/>
      <c r="AM131" s="84"/>
      <c r="AN131" s="84"/>
      <c r="AO131" s="84"/>
      <c r="AP131" s="89"/>
      <c r="AQ131" s="90"/>
      <c r="AR131" s="84"/>
      <c r="AS131" s="84"/>
    </row>
    <row r="132" spans="1:45" x14ac:dyDescent="0.35">
      <c r="A132" s="88"/>
      <c r="B132" s="84"/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  <c r="AL132" s="84"/>
      <c r="AM132" s="84"/>
      <c r="AN132" s="84"/>
      <c r="AO132" s="84"/>
      <c r="AP132" s="89"/>
      <c r="AQ132" s="90"/>
      <c r="AR132" s="84"/>
      <c r="AS132" s="84"/>
    </row>
    <row r="133" spans="1:45" ht="32.5" customHeight="1" x14ac:dyDescent="0.35">
      <c r="A133" s="88"/>
      <c r="B133" s="84"/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  <c r="AL133" s="84"/>
      <c r="AM133" s="84"/>
      <c r="AN133" s="84"/>
      <c r="AO133" s="84"/>
      <c r="AP133" s="89"/>
      <c r="AQ133" s="90"/>
      <c r="AR133" s="84"/>
      <c r="AS133" s="84"/>
    </row>
    <row r="134" spans="1:45" x14ac:dyDescent="0.35">
      <c r="A134" s="88"/>
      <c r="B134" s="84"/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84"/>
      <c r="AG134" s="84"/>
      <c r="AH134" s="84"/>
      <c r="AI134" s="84"/>
      <c r="AJ134" s="84"/>
      <c r="AK134" s="84"/>
      <c r="AL134" s="84"/>
      <c r="AM134" s="84"/>
      <c r="AN134" s="84"/>
      <c r="AO134" s="84"/>
      <c r="AP134" s="89"/>
      <c r="AQ134" s="90"/>
      <c r="AR134" s="84"/>
      <c r="AS134" s="84"/>
    </row>
    <row r="135" spans="1:45" x14ac:dyDescent="0.35">
      <c r="A135" s="88"/>
      <c r="B135" s="84"/>
      <c r="C135" s="84"/>
      <c r="D135" s="84"/>
      <c r="E135" s="84"/>
      <c r="F135" s="84"/>
      <c r="G135" s="84"/>
      <c r="H135" s="84"/>
      <c r="I135" s="84"/>
      <c r="J135" s="84"/>
      <c r="K135" s="88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  <c r="AL135" s="84"/>
      <c r="AM135" s="84"/>
      <c r="AN135" s="84"/>
      <c r="AO135" s="84"/>
      <c r="AP135" s="89"/>
      <c r="AQ135" s="90"/>
      <c r="AR135" s="84"/>
      <c r="AS135" s="84"/>
    </row>
    <row r="136" spans="1:45" x14ac:dyDescent="0.35">
      <c r="A136" s="88"/>
      <c r="B136" s="84"/>
      <c r="C136" s="84"/>
      <c r="D136" s="84"/>
      <c r="E136" s="84"/>
      <c r="F136" s="84"/>
      <c r="G136" s="84"/>
      <c r="H136" s="84"/>
      <c r="I136" s="84"/>
      <c r="J136" s="84"/>
      <c r="K136" s="88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  <c r="AL136" s="84"/>
      <c r="AM136" s="84"/>
      <c r="AN136" s="84"/>
      <c r="AO136" s="84"/>
      <c r="AP136" s="89"/>
      <c r="AQ136" s="90"/>
      <c r="AR136" s="84"/>
      <c r="AS136" s="84"/>
    </row>
    <row r="137" spans="1:45" x14ac:dyDescent="0.35">
      <c r="A137" s="88"/>
      <c r="B137" s="84"/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  <c r="AL137" s="84"/>
      <c r="AM137" s="84"/>
      <c r="AN137" s="84"/>
      <c r="AO137" s="84"/>
      <c r="AP137" s="89"/>
      <c r="AQ137" s="90"/>
      <c r="AR137" s="84"/>
      <c r="AS137" s="84"/>
    </row>
    <row r="138" spans="1:45" x14ac:dyDescent="0.35">
      <c r="A138" s="88"/>
      <c r="B138" s="84"/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  <c r="AL138" s="84"/>
      <c r="AM138" s="84"/>
      <c r="AN138" s="84"/>
      <c r="AO138" s="84"/>
      <c r="AP138" s="89"/>
      <c r="AQ138" s="90"/>
      <c r="AR138" s="84"/>
      <c r="AS138" s="84"/>
    </row>
    <row r="139" spans="1:45" x14ac:dyDescent="0.35">
      <c r="A139" s="88"/>
      <c r="B139" s="84"/>
      <c r="C139" s="84"/>
      <c r="D139" s="84"/>
      <c r="E139" s="84"/>
      <c r="F139" s="84"/>
      <c r="G139" s="84"/>
      <c r="H139" s="84"/>
      <c r="I139" s="84"/>
      <c r="J139" s="84"/>
      <c r="K139" s="88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  <c r="W139" s="84"/>
      <c r="X139" s="84"/>
      <c r="Y139" s="84"/>
      <c r="Z139" s="84"/>
      <c r="AA139" s="84"/>
      <c r="AB139" s="84"/>
      <c r="AC139" s="84"/>
      <c r="AD139" s="84"/>
      <c r="AE139" s="84"/>
      <c r="AF139" s="84"/>
      <c r="AG139" s="84"/>
      <c r="AH139" s="84"/>
      <c r="AI139" s="84"/>
      <c r="AJ139" s="84"/>
      <c r="AK139" s="84"/>
      <c r="AL139" s="84"/>
      <c r="AM139" s="84"/>
      <c r="AN139" s="84"/>
      <c r="AO139" s="84"/>
      <c r="AP139" s="89"/>
      <c r="AQ139" s="90"/>
      <c r="AR139" s="84"/>
      <c r="AS139" s="84"/>
    </row>
    <row r="140" spans="1:45" x14ac:dyDescent="0.35">
      <c r="A140" s="88"/>
      <c r="B140" s="84"/>
      <c r="C140" s="84"/>
      <c r="D140" s="84"/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  <c r="AA140" s="84"/>
      <c r="AB140" s="84"/>
      <c r="AC140" s="84"/>
      <c r="AD140" s="84"/>
      <c r="AE140" s="84"/>
      <c r="AF140" s="84"/>
      <c r="AG140" s="84"/>
      <c r="AH140" s="84"/>
      <c r="AI140" s="84"/>
      <c r="AJ140" s="84"/>
      <c r="AK140" s="84"/>
      <c r="AL140" s="84"/>
      <c r="AM140" s="84"/>
      <c r="AN140" s="84"/>
      <c r="AO140" s="84"/>
      <c r="AP140" s="89"/>
      <c r="AQ140" s="90"/>
      <c r="AR140" s="84"/>
      <c r="AS140" s="84"/>
    </row>
    <row r="141" spans="1:45" x14ac:dyDescent="0.35">
      <c r="A141" s="88"/>
      <c r="B141" s="84"/>
      <c r="C141" s="84"/>
      <c r="D141" s="84"/>
      <c r="E141" s="84"/>
      <c r="F141" s="84"/>
      <c r="G141" s="84"/>
      <c r="H141" s="84"/>
      <c r="I141" s="84"/>
      <c r="J141" s="84"/>
      <c r="K141" s="88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  <c r="AL141" s="84"/>
      <c r="AM141" s="84"/>
      <c r="AN141" s="84"/>
      <c r="AO141" s="84"/>
      <c r="AP141" s="89"/>
      <c r="AQ141" s="90"/>
      <c r="AR141" s="84"/>
      <c r="AS141" s="84"/>
    </row>
    <row r="142" spans="1:45" x14ac:dyDescent="0.35">
      <c r="A142" s="88"/>
      <c r="B142" s="84"/>
      <c r="C142" s="84"/>
      <c r="D142" s="84"/>
      <c r="E142" s="84"/>
      <c r="F142" s="84"/>
      <c r="G142" s="84"/>
      <c r="H142" s="84"/>
      <c r="I142" s="84"/>
      <c r="J142" s="84"/>
      <c r="K142" s="88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  <c r="Y142" s="84"/>
      <c r="Z142" s="84"/>
      <c r="AA142" s="84"/>
      <c r="AB142" s="84"/>
      <c r="AC142" s="84"/>
      <c r="AD142" s="84"/>
      <c r="AE142" s="84"/>
      <c r="AF142" s="84"/>
      <c r="AG142" s="84"/>
      <c r="AH142" s="84"/>
      <c r="AI142" s="84"/>
      <c r="AJ142" s="84"/>
      <c r="AK142" s="84"/>
      <c r="AL142" s="84"/>
      <c r="AM142" s="84"/>
      <c r="AN142" s="84"/>
      <c r="AO142" s="84"/>
      <c r="AP142" s="89"/>
      <c r="AQ142" s="90"/>
      <c r="AR142" s="84"/>
      <c r="AS142" s="84"/>
    </row>
    <row r="143" spans="1:45" x14ac:dyDescent="0.35">
      <c r="A143" s="88"/>
      <c r="B143" s="84"/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  <c r="AL143" s="84"/>
      <c r="AM143" s="84"/>
      <c r="AN143" s="84"/>
      <c r="AO143" s="84"/>
      <c r="AP143" s="89"/>
      <c r="AQ143" s="90"/>
      <c r="AR143" s="84"/>
      <c r="AS143" s="84"/>
    </row>
    <row r="144" spans="1:45" x14ac:dyDescent="0.35">
      <c r="A144" s="88"/>
      <c r="B144" s="84"/>
      <c r="C144" s="84"/>
      <c r="D144" s="84"/>
      <c r="E144" s="84"/>
      <c r="F144" s="84"/>
      <c r="G144" s="84"/>
      <c r="H144" s="84"/>
      <c r="I144" s="84"/>
      <c r="J144" s="84"/>
      <c r="K144" s="88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  <c r="AL144" s="84"/>
      <c r="AM144" s="84"/>
      <c r="AN144" s="84"/>
      <c r="AO144" s="84"/>
      <c r="AP144" s="89"/>
      <c r="AQ144" s="90"/>
      <c r="AR144" s="84"/>
      <c r="AS144" s="84"/>
    </row>
    <row r="145" spans="1:45" x14ac:dyDescent="0.35">
      <c r="A145" s="88"/>
      <c r="B145" s="84"/>
      <c r="C145" s="84"/>
      <c r="D145" s="84"/>
      <c r="E145" s="84"/>
      <c r="F145" s="84"/>
      <c r="G145" s="84"/>
      <c r="H145" s="84"/>
      <c r="I145" s="84"/>
      <c r="J145" s="84"/>
      <c r="K145" s="88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  <c r="AA145" s="84"/>
      <c r="AB145" s="84"/>
      <c r="AC145" s="84"/>
      <c r="AD145" s="84"/>
      <c r="AE145" s="84"/>
      <c r="AF145" s="84"/>
      <c r="AG145" s="84"/>
      <c r="AH145" s="84"/>
      <c r="AI145" s="84"/>
      <c r="AJ145" s="84"/>
      <c r="AK145" s="84"/>
      <c r="AL145" s="84"/>
      <c r="AM145" s="84"/>
      <c r="AN145" s="84"/>
      <c r="AO145" s="84"/>
      <c r="AP145" s="89"/>
      <c r="AQ145" s="90"/>
      <c r="AR145" s="84"/>
      <c r="AS145" s="84"/>
    </row>
    <row r="146" spans="1:45" x14ac:dyDescent="0.35">
      <c r="A146" s="88"/>
      <c r="B146" s="84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  <c r="AA146" s="84"/>
      <c r="AB146" s="84"/>
      <c r="AC146" s="84"/>
      <c r="AD146" s="84"/>
      <c r="AE146" s="84"/>
      <c r="AF146" s="84"/>
      <c r="AG146" s="84"/>
      <c r="AH146" s="84"/>
      <c r="AI146" s="84"/>
      <c r="AJ146" s="84"/>
      <c r="AK146" s="84"/>
      <c r="AL146" s="84"/>
      <c r="AM146" s="84"/>
      <c r="AN146" s="84"/>
      <c r="AO146" s="84"/>
      <c r="AP146" s="89"/>
      <c r="AQ146" s="90"/>
      <c r="AR146" s="84"/>
      <c r="AS146" s="84"/>
    </row>
    <row r="147" spans="1:45" x14ac:dyDescent="0.35">
      <c r="A147" s="88"/>
      <c r="B147" s="84"/>
      <c r="C147" s="84"/>
      <c r="D147" s="84"/>
      <c r="E147" s="84"/>
      <c r="F147" s="84"/>
      <c r="G147" s="84"/>
      <c r="H147" s="84"/>
      <c r="I147" s="84"/>
      <c r="J147" s="84"/>
      <c r="K147" s="88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  <c r="AL147" s="84"/>
      <c r="AM147" s="84"/>
      <c r="AN147" s="84"/>
      <c r="AO147" s="84"/>
      <c r="AP147" s="89"/>
      <c r="AQ147" s="90"/>
      <c r="AR147" s="84"/>
      <c r="AS147" s="84"/>
    </row>
    <row r="148" spans="1:45" x14ac:dyDescent="0.35">
      <c r="A148" s="88"/>
      <c r="B148" s="84"/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  <c r="Y148" s="84"/>
      <c r="Z148" s="84"/>
      <c r="AA148" s="84"/>
      <c r="AB148" s="84"/>
      <c r="AC148" s="84"/>
      <c r="AD148" s="84"/>
      <c r="AE148" s="84"/>
      <c r="AF148" s="84"/>
      <c r="AG148" s="84"/>
      <c r="AH148" s="84"/>
      <c r="AI148" s="84"/>
      <c r="AJ148" s="84"/>
      <c r="AK148" s="84"/>
      <c r="AL148" s="84"/>
      <c r="AM148" s="84"/>
      <c r="AN148" s="84"/>
      <c r="AO148" s="84"/>
      <c r="AP148" s="89"/>
      <c r="AQ148" s="90"/>
      <c r="AR148" s="84"/>
      <c r="AS148" s="84"/>
    </row>
    <row r="149" spans="1:45" x14ac:dyDescent="0.35">
      <c r="A149" s="88"/>
      <c r="B149" s="84"/>
      <c r="C149" s="84"/>
      <c r="D149" s="84"/>
      <c r="E149" s="84"/>
      <c r="F149" s="84"/>
      <c r="G149" s="84"/>
      <c r="H149" s="84"/>
      <c r="I149" s="84"/>
      <c r="J149" s="84"/>
      <c r="K149" s="88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  <c r="W149" s="84"/>
      <c r="X149" s="84"/>
      <c r="Y149" s="84"/>
      <c r="Z149" s="84"/>
      <c r="AA149" s="84"/>
      <c r="AB149" s="84"/>
      <c r="AC149" s="84"/>
      <c r="AD149" s="84"/>
      <c r="AE149" s="84"/>
      <c r="AF149" s="84"/>
      <c r="AG149" s="84"/>
      <c r="AH149" s="84"/>
      <c r="AI149" s="84"/>
      <c r="AJ149" s="84"/>
      <c r="AK149" s="84"/>
      <c r="AL149" s="84"/>
      <c r="AM149" s="84"/>
      <c r="AN149" s="84"/>
      <c r="AO149" s="84"/>
      <c r="AP149" s="89"/>
      <c r="AQ149" s="90"/>
      <c r="AR149" s="84"/>
      <c r="AS149" s="84"/>
    </row>
    <row r="150" spans="1:45" x14ac:dyDescent="0.35">
      <c r="A150" s="88"/>
      <c r="B150" s="84"/>
      <c r="C150" s="84"/>
      <c r="D150" s="84"/>
      <c r="E150" s="84"/>
      <c r="F150" s="84"/>
      <c r="G150" s="84"/>
      <c r="H150" s="84"/>
      <c r="I150" s="84"/>
      <c r="J150" s="84"/>
      <c r="K150" s="88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84"/>
      <c r="Y150" s="84"/>
      <c r="Z150" s="84"/>
      <c r="AA150" s="84"/>
      <c r="AB150" s="84"/>
      <c r="AC150" s="84"/>
      <c r="AD150" s="84"/>
      <c r="AE150" s="84"/>
      <c r="AF150" s="84"/>
      <c r="AG150" s="84"/>
      <c r="AH150" s="84"/>
      <c r="AI150" s="84"/>
      <c r="AJ150" s="84"/>
      <c r="AK150" s="84"/>
      <c r="AL150" s="84"/>
      <c r="AM150" s="84"/>
      <c r="AN150" s="84"/>
      <c r="AO150" s="84"/>
      <c r="AP150" s="89"/>
      <c r="AQ150" s="90"/>
      <c r="AR150" s="84"/>
      <c r="AS150" s="84"/>
    </row>
    <row r="151" spans="1:45" x14ac:dyDescent="0.35">
      <c r="A151" s="88"/>
      <c r="B151" s="84"/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  <c r="W151" s="84"/>
      <c r="X151" s="84"/>
      <c r="Y151" s="84"/>
      <c r="Z151" s="84"/>
      <c r="AA151" s="84"/>
      <c r="AB151" s="84"/>
      <c r="AC151" s="84"/>
      <c r="AD151" s="84"/>
      <c r="AE151" s="84"/>
      <c r="AF151" s="84"/>
      <c r="AG151" s="84"/>
      <c r="AH151" s="84"/>
      <c r="AI151" s="84"/>
      <c r="AJ151" s="84"/>
      <c r="AK151" s="84"/>
      <c r="AL151" s="84"/>
      <c r="AM151" s="84"/>
      <c r="AN151" s="84"/>
      <c r="AO151" s="84"/>
      <c r="AP151" s="89"/>
      <c r="AQ151" s="90"/>
      <c r="AR151" s="84"/>
      <c r="AS151" s="84"/>
    </row>
    <row r="152" spans="1:45" x14ac:dyDescent="0.35">
      <c r="A152" s="88"/>
      <c r="B152" s="84"/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  <c r="W152" s="84"/>
      <c r="X152" s="84"/>
      <c r="Y152" s="84"/>
      <c r="Z152" s="84"/>
      <c r="AA152" s="84"/>
      <c r="AB152" s="84"/>
      <c r="AC152" s="84"/>
      <c r="AD152" s="84"/>
      <c r="AE152" s="84"/>
      <c r="AF152" s="84"/>
      <c r="AG152" s="84"/>
      <c r="AH152" s="84"/>
      <c r="AI152" s="84"/>
      <c r="AJ152" s="84"/>
      <c r="AK152" s="84"/>
      <c r="AL152" s="84"/>
      <c r="AM152" s="84"/>
      <c r="AN152" s="84"/>
      <c r="AO152" s="84"/>
      <c r="AP152" s="89"/>
      <c r="AQ152" s="90"/>
      <c r="AR152" s="84"/>
      <c r="AS152" s="84"/>
    </row>
    <row r="153" spans="1:45" x14ac:dyDescent="0.35">
      <c r="A153" s="88"/>
      <c r="B153" s="84"/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84"/>
      <c r="Y153" s="84"/>
      <c r="Z153" s="84"/>
      <c r="AA153" s="84"/>
      <c r="AB153" s="84"/>
      <c r="AC153" s="84"/>
      <c r="AD153" s="84"/>
      <c r="AE153" s="84"/>
      <c r="AF153" s="84"/>
      <c r="AG153" s="84"/>
      <c r="AH153" s="84"/>
      <c r="AI153" s="84"/>
      <c r="AJ153" s="84"/>
      <c r="AK153" s="84"/>
      <c r="AL153" s="84"/>
      <c r="AM153" s="84"/>
      <c r="AN153" s="84"/>
      <c r="AO153" s="84"/>
      <c r="AP153" s="89"/>
      <c r="AQ153" s="90"/>
      <c r="AR153" s="84"/>
      <c r="AS153" s="84"/>
    </row>
    <row r="154" spans="1:45" x14ac:dyDescent="0.35">
      <c r="A154" s="88"/>
      <c r="B154" s="84"/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84"/>
      <c r="Y154" s="84"/>
      <c r="Z154" s="84"/>
      <c r="AA154" s="84"/>
      <c r="AB154" s="84"/>
      <c r="AC154" s="84"/>
      <c r="AD154" s="84"/>
      <c r="AE154" s="84"/>
      <c r="AF154" s="84"/>
      <c r="AG154" s="84"/>
      <c r="AH154" s="84"/>
      <c r="AI154" s="84"/>
      <c r="AJ154" s="84"/>
      <c r="AK154" s="84"/>
      <c r="AL154" s="84"/>
      <c r="AM154" s="84"/>
      <c r="AN154" s="84"/>
      <c r="AO154" s="84"/>
      <c r="AP154" s="89"/>
      <c r="AQ154" s="90"/>
      <c r="AR154" s="84"/>
      <c r="AS154" s="84"/>
    </row>
    <row r="155" spans="1:45" x14ac:dyDescent="0.35">
      <c r="A155" s="88"/>
      <c r="B155" s="84"/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  <c r="W155" s="84"/>
      <c r="X155" s="84"/>
      <c r="Y155" s="84"/>
      <c r="Z155" s="84"/>
      <c r="AA155" s="84"/>
      <c r="AB155" s="84"/>
      <c r="AC155" s="84"/>
      <c r="AD155" s="84"/>
      <c r="AE155" s="84"/>
      <c r="AF155" s="84"/>
      <c r="AG155" s="84"/>
      <c r="AH155" s="84"/>
      <c r="AI155" s="84"/>
      <c r="AJ155" s="84"/>
      <c r="AK155" s="84"/>
      <c r="AL155" s="84"/>
      <c r="AM155" s="84"/>
      <c r="AN155" s="84"/>
      <c r="AO155" s="84"/>
      <c r="AP155" s="89"/>
      <c r="AQ155" s="90"/>
      <c r="AR155" s="84"/>
      <c r="AS155" s="84"/>
    </row>
    <row r="156" spans="1:45" x14ac:dyDescent="0.35">
      <c r="A156" s="94"/>
      <c r="B156" s="95"/>
      <c r="C156" s="95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  <c r="AC156" s="95"/>
      <c r="AD156" s="95"/>
      <c r="AE156" s="95"/>
      <c r="AF156" s="95"/>
      <c r="AG156" s="95"/>
      <c r="AH156" s="95"/>
      <c r="AI156" s="95"/>
      <c r="AJ156" s="95"/>
      <c r="AK156" s="95"/>
      <c r="AL156" s="95"/>
      <c r="AM156" s="95"/>
      <c r="AN156" s="95"/>
      <c r="AO156" s="84"/>
      <c r="AP156" s="89"/>
      <c r="AQ156" s="90"/>
      <c r="AR156" s="84"/>
      <c r="AS156" s="84"/>
    </row>
    <row r="157" spans="1:45" x14ac:dyDescent="0.35">
      <c r="A157" s="88"/>
      <c r="B157" s="84"/>
      <c r="C157" s="84"/>
      <c r="D157" s="84"/>
      <c r="E157" s="84"/>
      <c r="F157" s="84"/>
      <c r="G157" s="84"/>
      <c r="H157" s="84"/>
      <c r="I157" s="84"/>
      <c r="J157" s="84"/>
      <c r="K157" s="88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  <c r="W157" s="84"/>
      <c r="X157" s="84"/>
      <c r="Y157" s="84"/>
      <c r="Z157" s="84"/>
      <c r="AA157" s="84"/>
      <c r="AB157" s="84"/>
      <c r="AC157" s="84"/>
      <c r="AD157" s="84"/>
      <c r="AE157" s="84"/>
      <c r="AF157" s="84"/>
      <c r="AG157" s="84"/>
      <c r="AH157" s="84"/>
      <c r="AI157" s="84"/>
      <c r="AJ157" s="84"/>
      <c r="AK157" s="84"/>
      <c r="AL157" s="84"/>
      <c r="AM157" s="84"/>
      <c r="AN157" s="84"/>
      <c r="AO157" s="84"/>
      <c r="AP157" s="89"/>
      <c r="AQ157" s="90"/>
      <c r="AR157" s="84"/>
      <c r="AS157" s="84"/>
    </row>
    <row r="158" spans="1:45" x14ac:dyDescent="0.35">
      <c r="A158" s="88"/>
      <c r="B158" s="84"/>
      <c r="C158" s="84"/>
      <c r="D158" s="84"/>
      <c r="E158" s="84"/>
      <c r="F158" s="84"/>
      <c r="G158" s="84"/>
      <c r="H158" s="84"/>
      <c r="I158" s="84"/>
      <c r="J158" s="84"/>
      <c r="K158" s="88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  <c r="AH158" s="84"/>
      <c r="AI158" s="84"/>
      <c r="AJ158" s="84"/>
      <c r="AK158" s="84"/>
      <c r="AL158" s="84"/>
      <c r="AM158" s="84"/>
      <c r="AN158" s="84"/>
      <c r="AO158" s="84"/>
      <c r="AP158" s="89"/>
      <c r="AQ158" s="90"/>
      <c r="AR158" s="84"/>
      <c r="AS158" s="84"/>
    </row>
    <row r="159" spans="1:45" x14ac:dyDescent="0.35">
      <c r="A159" s="88"/>
      <c r="B159" s="84"/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  <c r="S159" s="84"/>
      <c r="T159" s="84"/>
      <c r="U159" s="84"/>
      <c r="V159" s="84"/>
      <c r="W159" s="84"/>
      <c r="X159" s="84"/>
      <c r="Y159" s="84"/>
      <c r="Z159" s="84"/>
      <c r="AA159" s="84"/>
      <c r="AB159" s="84"/>
      <c r="AC159" s="84"/>
      <c r="AD159" s="84"/>
      <c r="AE159" s="84"/>
      <c r="AF159" s="84"/>
      <c r="AG159" s="84"/>
      <c r="AH159" s="84"/>
      <c r="AI159" s="84"/>
      <c r="AJ159" s="84"/>
      <c r="AK159" s="84"/>
      <c r="AL159" s="84"/>
      <c r="AM159" s="84"/>
      <c r="AN159" s="84"/>
      <c r="AO159" s="84"/>
      <c r="AP159" s="89"/>
      <c r="AQ159" s="90"/>
      <c r="AR159" s="84"/>
      <c r="AS159" s="84"/>
    </row>
    <row r="160" spans="1:45" x14ac:dyDescent="0.35">
      <c r="A160" s="88"/>
      <c r="B160" s="84"/>
      <c r="C160" s="84"/>
      <c r="D160" s="84"/>
      <c r="E160" s="84"/>
      <c r="F160" s="84"/>
      <c r="G160" s="84"/>
      <c r="H160" s="84"/>
      <c r="I160" s="84"/>
      <c r="J160" s="84"/>
      <c r="K160" s="88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  <c r="W160" s="84"/>
      <c r="X160" s="84"/>
      <c r="Y160" s="84"/>
      <c r="Z160" s="84"/>
      <c r="AA160" s="84"/>
      <c r="AB160" s="84"/>
      <c r="AC160" s="84"/>
      <c r="AD160" s="84"/>
      <c r="AE160" s="84"/>
      <c r="AF160" s="84"/>
      <c r="AG160" s="84"/>
      <c r="AH160" s="84"/>
      <c r="AI160" s="84"/>
      <c r="AJ160" s="84"/>
      <c r="AK160" s="84"/>
      <c r="AL160" s="84"/>
      <c r="AM160" s="84"/>
      <c r="AN160" s="84"/>
      <c r="AO160" s="84"/>
      <c r="AP160" s="89"/>
      <c r="AQ160" s="90"/>
      <c r="AR160" s="84"/>
      <c r="AS160" s="84"/>
    </row>
    <row r="161" spans="1:45" x14ac:dyDescent="0.35">
      <c r="A161" s="88"/>
      <c r="B161" s="84"/>
      <c r="C161" s="84"/>
      <c r="D161" s="84"/>
      <c r="E161" s="84"/>
      <c r="F161" s="84"/>
      <c r="G161" s="84"/>
      <c r="H161" s="84"/>
      <c r="I161" s="84"/>
      <c r="J161" s="84"/>
      <c r="K161" s="88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  <c r="W161" s="84"/>
      <c r="X161" s="84"/>
      <c r="Y161" s="84"/>
      <c r="Z161" s="84"/>
      <c r="AA161" s="84"/>
      <c r="AB161" s="84"/>
      <c r="AC161" s="84"/>
      <c r="AD161" s="84"/>
      <c r="AE161" s="84"/>
      <c r="AF161" s="84"/>
      <c r="AG161" s="84"/>
      <c r="AH161" s="84"/>
      <c r="AI161" s="84"/>
      <c r="AJ161" s="84"/>
      <c r="AK161" s="84"/>
      <c r="AL161" s="84"/>
      <c r="AM161" s="84"/>
      <c r="AN161" s="84"/>
      <c r="AO161" s="84"/>
      <c r="AP161" s="89"/>
      <c r="AQ161" s="90"/>
      <c r="AR161" s="84"/>
      <c r="AS161" s="84"/>
    </row>
    <row r="162" spans="1:45" x14ac:dyDescent="0.35">
      <c r="A162" s="88"/>
      <c r="B162" s="84"/>
      <c r="C162" s="84"/>
      <c r="D162" s="84"/>
      <c r="E162" s="84"/>
      <c r="F162" s="84"/>
      <c r="G162" s="84"/>
      <c r="H162" s="84"/>
      <c r="I162" s="84"/>
      <c r="J162" s="84"/>
      <c r="K162" s="88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4"/>
      <c r="Z162" s="84"/>
      <c r="AA162" s="84"/>
      <c r="AB162" s="84"/>
      <c r="AC162" s="84"/>
      <c r="AD162" s="84"/>
      <c r="AE162" s="84"/>
      <c r="AF162" s="84"/>
      <c r="AG162" s="84"/>
      <c r="AH162" s="84"/>
      <c r="AI162" s="84"/>
      <c r="AJ162" s="84"/>
      <c r="AK162" s="84"/>
      <c r="AL162" s="84"/>
      <c r="AM162" s="84"/>
      <c r="AN162" s="84"/>
      <c r="AO162" s="84"/>
      <c r="AP162" s="89"/>
      <c r="AQ162" s="90"/>
      <c r="AR162" s="84"/>
      <c r="AS162" s="84"/>
    </row>
    <row r="163" spans="1:45" x14ac:dyDescent="0.35">
      <c r="A163" s="88"/>
      <c r="B163" s="84"/>
      <c r="C163" s="84"/>
      <c r="D163" s="84"/>
      <c r="E163" s="84"/>
      <c r="F163" s="84"/>
      <c r="G163" s="84"/>
      <c r="H163" s="84"/>
      <c r="I163" s="84"/>
      <c r="J163" s="84"/>
      <c r="K163" s="88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  <c r="W163" s="84"/>
      <c r="X163" s="84"/>
      <c r="Y163" s="84"/>
      <c r="Z163" s="84"/>
      <c r="AA163" s="84"/>
      <c r="AB163" s="84"/>
      <c r="AC163" s="84"/>
      <c r="AD163" s="84"/>
      <c r="AE163" s="84"/>
      <c r="AF163" s="84"/>
      <c r="AG163" s="84"/>
      <c r="AH163" s="84"/>
      <c r="AI163" s="84"/>
      <c r="AJ163" s="84"/>
      <c r="AK163" s="84"/>
      <c r="AL163" s="84"/>
      <c r="AM163" s="84"/>
      <c r="AN163" s="84"/>
      <c r="AO163" s="84"/>
      <c r="AP163" s="89"/>
      <c r="AQ163" s="90"/>
      <c r="AR163" s="84"/>
      <c r="AS163" s="84"/>
    </row>
    <row r="164" spans="1:45" x14ac:dyDescent="0.35">
      <c r="A164" s="88"/>
      <c r="B164" s="84"/>
      <c r="C164" s="84"/>
      <c r="D164" s="84"/>
      <c r="E164" s="84"/>
      <c r="F164" s="84"/>
      <c r="G164" s="84"/>
      <c r="H164" s="84"/>
      <c r="I164" s="84"/>
      <c r="J164" s="84"/>
      <c r="K164" s="88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  <c r="W164" s="84"/>
      <c r="X164" s="84"/>
      <c r="Y164" s="84"/>
      <c r="Z164" s="84"/>
      <c r="AA164" s="84"/>
      <c r="AB164" s="84"/>
      <c r="AC164" s="84"/>
      <c r="AD164" s="84"/>
      <c r="AE164" s="84"/>
      <c r="AF164" s="84"/>
      <c r="AG164" s="84"/>
      <c r="AH164" s="84"/>
      <c r="AI164" s="84"/>
      <c r="AJ164" s="84"/>
      <c r="AK164" s="84"/>
      <c r="AL164" s="84"/>
      <c r="AM164" s="84"/>
      <c r="AN164" s="84"/>
      <c r="AO164" s="84"/>
      <c r="AP164" s="89"/>
      <c r="AQ164" s="90"/>
      <c r="AR164" s="84"/>
      <c r="AS164" s="84"/>
    </row>
    <row r="165" spans="1:45" x14ac:dyDescent="0.35">
      <c r="A165" s="88"/>
      <c r="B165" s="84"/>
      <c r="C165" s="84"/>
      <c r="D165" s="84"/>
      <c r="E165" s="84"/>
      <c r="F165" s="84"/>
      <c r="G165" s="84"/>
      <c r="H165" s="84"/>
      <c r="I165" s="84"/>
      <c r="J165" s="84"/>
      <c r="K165" s="88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  <c r="W165" s="84"/>
      <c r="X165" s="84"/>
      <c r="Y165" s="84"/>
      <c r="Z165" s="84"/>
      <c r="AA165" s="84"/>
      <c r="AB165" s="84"/>
      <c r="AC165" s="84"/>
      <c r="AD165" s="84"/>
      <c r="AE165" s="84"/>
      <c r="AF165" s="84"/>
      <c r="AG165" s="84"/>
      <c r="AH165" s="84"/>
      <c r="AI165" s="84"/>
      <c r="AJ165" s="84"/>
      <c r="AK165" s="84"/>
      <c r="AL165" s="84"/>
      <c r="AM165" s="84"/>
      <c r="AN165" s="84"/>
      <c r="AO165" s="84"/>
      <c r="AP165" s="89"/>
      <c r="AQ165" s="90"/>
      <c r="AR165" s="84"/>
      <c r="AS165" s="84"/>
    </row>
    <row r="166" spans="1:45" x14ac:dyDescent="0.35">
      <c r="A166" s="88"/>
      <c r="B166" s="84"/>
      <c r="C166" s="84"/>
      <c r="D166" s="84"/>
      <c r="E166" s="84"/>
      <c r="F166" s="84"/>
      <c r="G166" s="84"/>
      <c r="H166" s="84"/>
      <c r="I166" s="84"/>
      <c r="J166" s="84"/>
      <c r="K166" s="88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  <c r="AA166" s="84"/>
      <c r="AB166" s="84"/>
      <c r="AC166" s="84"/>
      <c r="AD166" s="84"/>
      <c r="AE166" s="84"/>
      <c r="AF166" s="84"/>
      <c r="AG166" s="84"/>
      <c r="AH166" s="84"/>
      <c r="AI166" s="84"/>
      <c r="AJ166" s="84"/>
      <c r="AK166" s="84"/>
      <c r="AL166" s="84"/>
      <c r="AM166" s="84"/>
      <c r="AN166" s="84"/>
      <c r="AO166" s="84"/>
      <c r="AP166" s="89"/>
      <c r="AQ166" s="90"/>
      <c r="AR166" s="84"/>
      <c r="AS166" s="84"/>
    </row>
    <row r="167" spans="1:45" x14ac:dyDescent="0.35">
      <c r="A167" s="88"/>
      <c r="B167" s="84"/>
      <c r="C167" s="84"/>
      <c r="D167" s="84"/>
      <c r="E167" s="84"/>
      <c r="F167" s="84"/>
      <c r="G167" s="84"/>
      <c r="H167" s="84"/>
      <c r="I167" s="84"/>
      <c r="J167" s="84"/>
      <c r="K167" s="88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  <c r="AA167" s="84"/>
      <c r="AB167" s="84"/>
      <c r="AC167" s="84"/>
      <c r="AD167" s="84"/>
      <c r="AE167" s="84"/>
      <c r="AF167" s="84"/>
      <c r="AG167" s="84"/>
      <c r="AH167" s="84"/>
      <c r="AI167" s="84"/>
      <c r="AJ167" s="84"/>
      <c r="AK167" s="84"/>
      <c r="AL167" s="84"/>
      <c r="AM167" s="84"/>
      <c r="AN167" s="84"/>
      <c r="AO167" s="84"/>
      <c r="AP167" s="89"/>
      <c r="AQ167" s="90"/>
      <c r="AR167" s="84"/>
      <c r="AS167" s="84"/>
    </row>
    <row r="168" spans="1:45" x14ac:dyDescent="0.35">
      <c r="A168" s="88"/>
      <c r="B168" s="84"/>
      <c r="C168" s="84"/>
      <c r="D168" s="84"/>
      <c r="E168" s="84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  <c r="Y168" s="84"/>
      <c r="Z168" s="84"/>
      <c r="AA168" s="84"/>
      <c r="AB168" s="84"/>
      <c r="AC168" s="84"/>
      <c r="AD168" s="84"/>
      <c r="AE168" s="84"/>
      <c r="AF168" s="84"/>
      <c r="AG168" s="84"/>
      <c r="AH168" s="84"/>
      <c r="AI168" s="84"/>
      <c r="AJ168" s="84"/>
      <c r="AK168" s="84"/>
      <c r="AL168" s="84"/>
      <c r="AM168" s="84"/>
      <c r="AN168" s="84"/>
      <c r="AO168" s="84"/>
      <c r="AP168" s="89"/>
      <c r="AQ168" s="90"/>
      <c r="AR168" s="84"/>
      <c r="AS168" s="84"/>
    </row>
    <row r="169" spans="1:45" x14ac:dyDescent="0.35">
      <c r="A169" s="88"/>
      <c r="B169" s="84"/>
      <c r="C169" s="84"/>
      <c r="D169" s="84"/>
      <c r="E169" s="84"/>
      <c r="F169" s="84"/>
      <c r="G169" s="84"/>
      <c r="H169" s="84"/>
      <c r="I169" s="84"/>
      <c r="J169" s="84"/>
      <c r="K169" s="88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  <c r="AA169" s="84"/>
      <c r="AB169" s="84"/>
      <c r="AC169" s="84"/>
      <c r="AD169" s="84"/>
      <c r="AE169" s="84"/>
      <c r="AF169" s="84"/>
      <c r="AG169" s="84"/>
      <c r="AH169" s="84"/>
      <c r="AI169" s="84"/>
      <c r="AJ169" s="84"/>
      <c r="AK169" s="84"/>
      <c r="AL169" s="84"/>
      <c r="AM169" s="84"/>
      <c r="AN169" s="84"/>
      <c r="AO169" s="84"/>
      <c r="AP169" s="89"/>
      <c r="AQ169" s="90"/>
      <c r="AR169" s="84"/>
      <c r="AS169" s="84"/>
    </row>
    <row r="170" spans="1:45" x14ac:dyDescent="0.35">
      <c r="A170" s="88"/>
      <c r="B170" s="84"/>
      <c r="C170" s="84"/>
      <c r="D170" s="84"/>
      <c r="E170" s="84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  <c r="AA170" s="84"/>
      <c r="AB170" s="84"/>
      <c r="AC170" s="84"/>
      <c r="AD170" s="84"/>
      <c r="AE170" s="84"/>
      <c r="AF170" s="84"/>
      <c r="AG170" s="84"/>
      <c r="AH170" s="84"/>
      <c r="AI170" s="84"/>
      <c r="AJ170" s="84"/>
      <c r="AK170" s="84"/>
      <c r="AL170" s="84"/>
      <c r="AM170" s="84"/>
      <c r="AN170" s="84"/>
      <c r="AO170" s="84"/>
      <c r="AP170" s="89"/>
      <c r="AQ170" s="90"/>
      <c r="AR170" s="84"/>
      <c r="AS170" s="84"/>
    </row>
    <row r="171" spans="1:45" x14ac:dyDescent="0.35">
      <c r="A171" s="88"/>
      <c r="B171" s="84"/>
      <c r="C171" s="84"/>
      <c r="D171" s="84"/>
      <c r="E171" s="84"/>
      <c r="F171" s="84"/>
      <c r="G171" s="84"/>
      <c r="H171" s="84"/>
      <c r="I171" s="84"/>
      <c r="J171" s="84"/>
      <c r="K171" s="88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  <c r="AA171" s="84"/>
      <c r="AB171" s="84"/>
      <c r="AC171" s="84"/>
      <c r="AD171" s="84"/>
      <c r="AE171" s="84"/>
      <c r="AF171" s="84"/>
      <c r="AG171" s="84"/>
      <c r="AH171" s="84"/>
      <c r="AI171" s="84"/>
      <c r="AJ171" s="84"/>
      <c r="AK171" s="84"/>
      <c r="AL171" s="84"/>
      <c r="AM171" s="84"/>
      <c r="AN171" s="84"/>
      <c r="AO171" s="84"/>
      <c r="AP171" s="89"/>
      <c r="AQ171" s="90"/>
      <c r="AR171" s="84"/>
      <c r="AS171" s="84"/>
    </row>
    <row r="172" spans="1:45" x14ac:dyDescent="0.35">
      <c r="A172" s="88"/>
      <c r="B172" s="84"/>
      <c r="C172" s="84"/>
      <c r="D172" s="84"/>
      <c r="E172" s="84"/>
      <c r="F172" s="84"/>
      <c r="G172" s="84"/>
      <c r="H172" s="84"/>
      <c r="I172" s="84"/>
      <c r="J172" s="84"/>
      <c r="K172" s="88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  <c r="AA172" s="84"/>
      <c r="AB172" s="84"/>
      <c r="AC172" s="84"/>
      <c r="AD172" s="84"/>
      <c r="AE172" s="84"/>
      <c r="AF172" s="84"/>
      <c r="AG172" s="84"/>
      <c r="AH172" s="84"/>
      <c r="AI172" s="84"/>
      <c r="AJ172" s="84"/>
      <c r="AK172" s="84"/>
      <c r="AL172" s="84"/>
      <c r="AM172" s="84"/>
      <c r="AN172" s="84"/>
      <c r="AO172" s="84"/>
      <c r="AP172" s="89"/>
      <c r="AQ172" s="90"/>
      <c r="AR172" s="84"/>
      <c r="AS172" s="84"/>
    </row>
    <row r="173" spans="1:45" x14ac:dyDescent="0.35">
      <c r="A173" s="88"/>
      <c r="B173" s="84"/>
      <c r="C173" s="84"/>
      <c r="D173" s="84"/>
      <c r="E173" s="84"/>
      <c r="F173" s="84"/>
      <c r="G173" s="84"/>
      <c r="H173" s="84"/>
      <c r="I173" s="84"/>
      <c r="J173" s="84"/>
      <c r="K173" s="88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  <c r="W173" s="84"/>
      <c r="X173" s="84"/>
      <c r="Y173" s="84"/>
      <c r="Z173" s="84"/>
      <c r="AA173" s="84"/>
      <c r="AB173" s="84"/>
      <c r="AC173" s="84"/>
      <c r="AD173" s="84"/>
      <c r="AE173" s="84"/>
      <c r="AF173" s="84"/>
      <c r="AG173" s="84"/>
      <c r="AH173" s="84"/>
      <c r="AI173" s="84"/>
      <c r="AJ173" s="84"/>
      <c r="AK173" s="84"/>
      <c r="AL173" s="84"/>
      <c r="AM173" s="84"/>
      <c r="AN173" s="84"/>
      <c r="AO173" s="84"/>
      <c r="AP173" s="89"/>
      <c r="AQ173" s="90"/>
      <c r="AR173" s="84"/>
      <c r="AS173" s="84"/>
    </row>
    <row r="174" spans="1:45" x14ac:dyDescent="0.35">
      <c r="A174" s="88"/>
      <c r="B174" s="84"/>
      <c r="C174" s="84"/>
      <c r="D174" s="84"/>
      <c r="E174" s="84"/>
      <c r="F174" s="84"/>
      <c r="G174" s="84"/>
      <c r="H174" s="84"/>
      <c r="I174" s="84"/>
      <c r="J174" s="84"/>
      <c r="K174" s="88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  <c r="W174" s="84"/>
      <c r="X174" s="84"/>
      <c r="Y174" s="84"/>
      <c r="Z174" s="84"/>
      <c r="AA174" s="84"/>
      <c r="AB174" s="84"/>
      <c r="AC174" s="84"/>
      <c r="AD174" s="84"/>
      <c r="AE174" s="84"/>
      <c r="AF174" s="84"/>
      <c r="AG174" s="84"/>
      <c r="AH174" s="84"/>
      <c r="AI174" s="84"/>
      <c r="AJ174" s="84"/>
      <c r="AK174" s="84"/>
      <c r="AL174" s="84"/>
      <c r="AM174" s="84"/>
      <c r="AN174" s="84"/>
      <c r="AO174" s="84"/>
      <c r="AP174" s="89"/>
      <c r="AQ174" s="90"/>
      <c r="AR174" s="84"/>
      <c r="AS174" s="84"/>
    </row>
    <row r="175" spans="1:45" x14ac:dyDescent="0.35">
      <c r="A175" s="88"/>
      <c r="B175" s="84"/>
      <c r="C175" s="84"/>
      <c r="D175" s="84"/>
      <c r="E175" s="84"/>
      <c r="F175" s="84"/>
      <c r="G175" s="84"/>
      <c r="H175" s="84"/>
      <c r="I175" s="84"/>
      <c r="J175" s="84"/>
      <c r="K175" s="88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  <c r="W175" s="84"/>
      <c r="X175" s="84"/>
      <c r="Y175" s="84"/>
      <c r="Z175" s="84"/>
      <c r="AA175" s="84"/>
      <c r="AB175" s="84"/>
      <c r="AC175" s="84"/>
      <c r="AD175" s="84"/>
      <c r="AE175" s="84"/>
      <c r="AF175" s="84"/>
      <c r="AG175" s="84"/>
      <c r="AH175" s="84"/>
      <c r="AI175" s="84"/>
      <c r="AJ175" s="84"/>
      <c r="AK175" s="84"/>
      <c r="AL175" s="84"/>
      <c r="AM175" s="84"/>
      <c r="AN175" s="84"/>
      <c r="AO175" s="84"/>
      <c r="AP175" s="89"/>
      <c r="AQ175" s="90"/>
      <c r="AR175" s="84"/>
      <c r="AS175" s="84"/>
    </row>
    <row r="176" spans="1:45" x14ac:dyDescent="0.35">
      <c r="A176" s="88"/>
      <c r="B176" s="84"/>
      <c r="C176" s="84"/>
      <c r="D176" s="84"/>
      <c r="E176" s="84"/>
      <c r="F176" s="84"/>
      <c r="G176" s="84"/>
      <c r="H176" s="84"/>
      <c r="I176" s="84"/>
      <c r="J176" s="84"/>
      <c r="K176" s="88"/>
      <c r="L176" s="84"/>
      <c r="M176" s="84"/>
      <c r="N176" s="84"/>
      <c r="O176" s="84"/>
      <c r="P176" s="84"/>
      <c r="Q176" s="84"/>
      <c r="R176" s="84"/>
      <c r="S176" s="84"/>
      <c r="T176" s="84"/>
      <c r="U176" s="84"/>
      <c r="V176" s="84"/>
      <c r="W176" s="84"/>
      <c r="X176" s="84"/>
      <c r="Y176" s="84"/>
      <c r="Z176" s="84"/>
      <c r="AA176" s="84"/>
      <c r="AB176" s="84"/>
      <c r="AC176" s="84"/>
      <c r="AD176" s="84"/>
      <c r="AE176" s="84"/>
      <c r="AF176" s="84"/>
      <c r="AG176" s="84"/>
      <c r="AH176" s="84"/>
      <c r="AI176" s="84"/>
      <c r="AJ176" s="84"/>
      <c r="AK176" s="84"/>
      <c r="AL176" s="84"/>
      <c r="AM176" s="84"/>
      <c r="AN176" s="84"/>
      <c r="AO176" s="84"/>
      <c r="AP176" s="89"/>
      <c r="AQ176" s="90"/>
      <c r="AR176" s="84"/>
      <c r="AS176" s="84"/>
    </row>
    <row r="177" spans="1:45" x14ac:dyDescent="0.35">
      <c r="A177" s="88"/>
      <c r="B177" s="84"/>
      <c r="C177" s="84"/>
      <c r="D177" s="84"/>
      <c r="E177" s="84"/>
      <c r="F177" s="84"/>
      <c r="G177" s="84"/>
      <c r="H177" s="84"/>
      <c r="I177" s="84"/>
      <c r="J177" s="84"/>
      <c r="K177" s="88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  <c r="W177" s="84"/>
      <c r="X177" s="84"/>
      <c r="Y177" s="84"/>
      <c r="Z177" s="84"/>
      <c r="AA177" s="84"/>
      <c r="AB177" s="84"/>
      <c r="AC177" s="84"/>
      <c r="AD177" s="84"/>
      <c r="AE177" s="84"/>
      <c r="AF177" s="84"/>
      <c r="AG177" s="84"/>
      <c r="AH177" s="84"/>
      <c r="AI177" s="84"/>
      <c r="AJ177" s="84"/>
      <c r="AK177" s="84"/>
      <c r="AL177" s="84"/>
      <c r="AM177" s="84"/>
      <c r="AN177" s="84"/>
      <c r="AO177" s="84"/>
      <c r="AP177" s="89"/>
      <c r="AQ177" s="90"/>
      <c r="AR177" s="84"/>
      <c r="AS177" s="84"/>
    </row>
    <row r="178" spans="1:45" x14ac:dyDescent="0.35">
      <c r="A178" s="88"/>
      <c r="B178" s="84"/>
      <c r="C178" s="84"/>
      <c r="D178" s="84"/>
      <c r="E178" s="84"/>
      <c r="F178" s="84"/>
      <c r="G178" s="84"/>
      <c r="H178" s="84"/>
      <c r="I178" s="84"/>
      <c r="J178" s="84"/>
      <c r="K178" s="88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  <c r="W178" s="84"/>
      <c r="X178" s="84"/>
      <c r="Y178" s="84"/>
      <c r="Z178" s="84"/>
      <c r="AA178" s="84"/>
      <c r="AB178" s="84"/>
      <c r="AC178" s="84"/>
      <c r="AD178" s="84"/>
      <c r="AE178" s="84"/>
      <c r="AF178" s="84"/>
      <c r="AG178" s="84"/>
      <c r="AH178" s="84"/>
      <c r="AI178" s="84"/>
      <c r="AJ178" s="84"/>
      <c r="AK178" s="84"/>
      <c r="AL178" s="84"/>
      <c r="AM178" s="84"/>
      <c r="AN178" s="84"/>
      <c r="AO178" s="84"/>
      <c r="AP178" s="89"/>
      <c r="AQ178" s="90"/>
      <c r="AR178" s="84"/>
      <c r="AS178" s="84"/>
    </row>
    <row r="179" spans="1:45" x14ac:dyDescent="0.35">
      <c r="A179" s="88"/>
      <c r="B179" s="84"/>
      <c r="C179" s="84"/>
      <c r="D179" s="84"/>
      <c r="E179" s="84"/>
      <c r="F179" s="84"/>
      <c r="G179" s="84"/>
      <c r="H179" s="84"/>
      <c r="I179" s="84"/>
      <c r="J179" s="84"/>
      <c r="K179" s="88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  <c r="W179" s="84"/>
      <c r="X179" s="84"/>
      <c r="Y179" s="84"/>
      <c r="Z179" s="84"/>
      <c r="AA179" s="84"/>
      <c r="AB179" s="84"/>
      <c r="AC179" s="84"/>
      <c r="AD179" s="84"/>
      <c r="AE179" s="84"/>
      <c r="AF179" s="84"/>
      <c r="AG179" s="84"/>
      <c r="AH179" s="84"/>
      <c r="AI179" s="84"/>
      <c r="AJ179" s="84"/>
      <c r="AK179" s="84"/>
      <c r="AL179" s="84"/>
      <c r="AM179" s="84"/>
      <c r="AN179" s="84"/>
      <c r="AO179" s="84"/>
      <c r="AP179" s="89"/>
      <c r="AQ179" s="90"/>
      <c r="AR179" s="84"/>
      <c r="AS179" s="84"/>
    </row>
    <row r="180" spans="1:45" x14ac:dyDescent="0.35">
      <c r="A180" s="88"/>
      <c r="B180" s="84"/>
      <c r="C180" s="84"/>
      <c r="D180" s="84"/>
      <c r="E180" s="84"/>
      <c r="F180" s="84"/>
      <c r="G180" s="84"/>
      <c r="H180" s="84"/>
      <c r="I180" s="84"/>
      <c r="J180" s="84"/>
      <c r="K180" s="88"/>
      <c r="L180" s="84"/>
      <c r="M180" s="84"/>
      <c r="N180" s="84"/>
      <c r="O180" s="84"/>
      <c r="P180" s="84"/>
      <c r="Q180" s="84"/>
      <c r="R180" s="84"/>
      <c r="S180" s="84"/>
      <c r="T180" s="84"/>
      <c r="U180" s="84"/>
      <c r="V180" s="84"/>
      <c r="W180" s="84"/>
      <c r="X180" s="84"/>
      <c r="Y180" s="84"/>
      <c r="Z180" s="84"/>
      <c r="AA180" s="84"/>
      <c r="AB180" s="84"/>
      <c r="AC180" s="84"/>
      <c r="AD180" s="84"/>
      <c r="AE180" s="84"/>
      <c r="AF180" s="84"/>
      <c r="AG180" s="84"/>
      <c r="AH180" s="84"/>
      <c r="AI180" s="84"/>
      <c r="AJ180" s="84"/>
      <c r="AK180" s="84"/>
      <c r="AL180" s="84"/>
      <c r="AM180" s="84"/>
      <c r="AN180" s="84"/>
      <c r="AO180" s="84"/>
      <c r="AP180" s="89"/>
      <c r="AQ180" s="90"/>
      <c r="AR180" s="84"/>
      <c r="AS180" s="84"/>
    </row>
    <row r="181" spans="1:45" x14ac:dyDescent="0.35">
      <c r="A181" s="88"/>
      <c r="B181" s="84"/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  <c r="W181" s="84"/>
      <c r="X181" s="84"/>
      <c r="Y181" s="84"/>
      <c r="Z181" s="84"/>
      <c r="AA181" s="84"/>
      <c r="AB181" s="84"/>
      <c r="AC181" s="84"/>
      <c r="AD181" s="84"/>
      <c r="AE181" s="84"/>
      <c r="AF181" s="84"/>
      <c r="AG181" s="84"/>
      <c r="AH181" s="84"/>
      <c r="AI181" s="84"/>
      <c r="AJ181" s="84"/>
      <c r="AK181" s="84"/>
      <c r="AL181" s="84"/>
      <c r="AM181" s="84"/>
      <c r="AN181" s="84"/>
      <c r="AO181" s="84"/>
      <c r="AP181" s="89"/>
      <c r="AQ181" s="90"/>
      <c r="AR181" s="84"/>
      <c r="AS181" s="84"/>
    </row>
    <row r="182" spans="1:45" x14ac:dyDescent="0.35">
      <c r="A182" s="88"/>
      <c r="B182" s="84"/>
      <c r="C182" s="84"/>
      <c r="D182" s="84"/>
      <c r="E182" s="84"/>
      <c r="F182" s="84"/>
      <c r="G182" s="84"/>
      <c r="H182" s="84"/>
      <c r="I182" s="84"/>
      <c r="J182" s="84"/>
      <c r="K182" s="88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  <c r="W182" s="84"/>
      <c r="X182" s="84"/>
      <c r="Y182" s="84"/>
      <c r="Z182" s="84"/>
      <c r="AA182" s="84"/>
      <c r="AB182" s="84"/>
      <c r="AC182" s="84"/>
      <c r="AD182" s="84"/>
      <c r="AE182" s="84"/>
      <c r="AF182" s="84"/>
      <c r="AG182" s="84"/>
      <c r="AH182" s="84"/>
      <c r="AI182" s="84"/>
      <c r="AJ182" s="84"/>
      <c r="AK182" s="84"/>
      <c r="AL182" s="84"/>
      <c r="AM182" s="84"/>
      <c r="AN182" s="84"/>
      <c r="AO182" s="84"/>
      <c r="AP182" s="89"/>
      <c r="AQ182" s="90"/>
      <c r="AR182" s="84"/>
      <c r="AS182" s="84"/>
    </row>
    <row r="183" spans="1:45" x14ac:dyDescent="0.35">
      <c r="A183" s="88"/>
      <c r="B183" s="84"/>
      <c r="C183" s="84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  <c r="W183" s="84"/>
      <c r="X183" s="84"/>
      <c r="Y183" s="84"/>
      <c r="Z183" s="84"/>
      <c r="AA183" s="84"/>
      <c r="AB183" s="84"/>
      <c r="AC183" s="84"/>
      <c r="AD183" s="84"/>
      <c r="AE183" s="84"/>
      <c r="AF183" s="84"/>
      <c r="AG183" s="84"/>
      <c r="AH183" s="84"/>
      <c r="AI183" s="84"/>
      <c r="AJ183" s="84"/>
      <c r="AK183" s="84"/>
      <c r="AL183" s="84"/>
      <c r="AM183" s="84"/>
      <c r="AN183" s="84"/>
      <c r="AO183" s="84"/>
      <c r="AP183" s="89"/>
      <c r="AQ183" s="90"/>
      <c r="AR183" s="84"/>
      <c r="AS183" s="84"/>
    </row>
    <row r="184" spans="1:45" x14ac:dyDescent="0.35">
      <c r="A184" s="88"/>
      <c r="B184" s="84"/>
      <c r="C184" s="84"/>
      <c r="D184" s="84"/>
      <c r="E184" s="84"/>
      <c r="F184" s="84"/>
      <c r="G184" s="84"/>
      <c r="H184" s="84"/>
      <c r="I184" s="84"/>
      <c r="J184" s="84"/>
      <c r="K184" s="88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  <c r="W184" s="84"/>
      <c r="X184" s="84"/>
      <c r="Y184" s="84"/>
      <c r="Z184" s="84"/>
      <c r="AA184" s="84"/>
      <c r="AB184" s="84"/>
      <c r="AC184" s="84"/>
      <c r="AD184" s="84"/>
      <c r="AE184" s="84"/>
      <c r="AF184" s="84"/>
      <c r="AG184" s="84"/>
      <c r="AH184" s="84"/>
      <c r="AI184" s="84"/>
      <c r="AJ184" s="84"/>
      <c r="AK184" s="84"/>
      <c r="AL184" s="84"/>
      <c r="AM184" s="84"/>
      <c r="AN184" s="84"/>
      <c r="AO184" s="84"/>
      <c r="AP184" s="89"/>
      <c r="AQ184" s="90"/>
      <c r="AR184" s="84"/>
      <c r="AS184" s="84"/>
    </row>
    <row r="185" spans="1:45" x14ac:dyDescent="0.35">
      <c r="A185" s="88"/>
      <c r="B185" s="84"/>
      <c r="C185" s="84"/>
      <c r="D185" s="84"/>
      <c r="E185" s="84"/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84"/>
      <c r="U185" s="84"/>
      <c r="V185" s="84"/>
      <c r="W185" s="84"/>
      <c r="X185" s="84"/>
      <c r="Y185" s="84"/>
      <c r="Z185" s="84"/>
      <c r="AA185" s="84"/>
      <c r="AB185" s="84"/>
      <c r="AC185" s="84"/>
      <c r="AD185" s="84"/>
      <c r="AE185" s="84"/>
      <c r="AF185" s="84"/>
      <c r="AG185" s="84"/>
      <c r="AH185" s="84"/>
      <c r="AI185" s="84"/>
      <c r="AJ185" s="84"/>
      <c r="AK185" s="84"/>
      <c r="AL185" s="84"/>
      <c r="AM185" s="84"/>
      <c r="AN185" s="84"/>
      <c r="AO185" s="84"/>
      <c r="AP185" s="89"/>
      <c r="AQ185" s="90"/>
      <c r="AR185" s="84"/>
      <c r="AS185" s="84"/>
    </row>
    <row r="186" spans="1:45" x14ac:dyDescent="0.35">
      <c r="A186" s="88"/>
      <c r="B186" s="84"/>
      <c r="C186" s="84"/>
      <c r="D186" s="84"/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  <c r="W186" s="84"/>
      <c r="X186" s="84"/>
      <c r="Y186" s="84"/>
      <c r="Z186" s="84"/>
      <c r="AA186" s="84"/>
      <c r="AB186" s="84"/>
      <c r="AC186" s="84"/>
      <c r="AD186" s="84"/>
      <c r="AE186" s="84"/>
      <c r="AF186" s="84"/>
      <c r="AG186" s="84"/>
      <c r="AH186" s="84"/>
      <c r="AI186" s="84"/>
      <c r="AJ186" s="84"/>
      <c r="AK186" s="84"/>
      <c r="AL186" s="84"/>
      <c r="AM186" s="84"/>
      <c r="AN186" s="84"/>
      <c r="AO186" s="84"/>
      <c r="AP186" s="89"/>
      <c r="AQ186" s="90"/>
      <c r="AR186" s="84"/>
      <c r="AS186" s="84"/>
    </row>
    <row r="187" spans="1:45" x14ac:dyDescent="0.35">
      <c r="A187" s="88"/>
      <c r="B187" s="84"/>
      <c r="C187" s="84"/>
      <c r="D187" s="84"/>
      <c r="E187" s="84"/>
      <c r="F187" s="84"/>
      <c r="G187" s="84"/>
      <c r="H187" s="84"/>
      <c r="I187" s="84"/>
      <c r="J187" s="84"/>
      <c r="K187" s="88"/>
      <c r="L187" s="84"/>
      <c r="M187" s="84"/>
      <c r="N187" s="84"/>
      <c r="O187" s="84"/>
      <c r="P187" s="84"/>
      <c r="Q187" s="84"/>
      <c r="R187" s="84"/>
      <c r="S187" s="84"/>
      <c r="T187" s="84"/>
      <c r="U187" s="84"/>
      <c r="V187" s="84"/>
      <c r="W187" s="84"/>
      <c r="X187" s="84"/>
      <c r="Y187" s="84"/>
      <c r="Z187" s="84"/>
      <c r="AA187" s="84"/>
      <c r="AB187" s="84"/>
      <c r="AC187" s="84"/>
      <c r="AD187" s="84"/>
      <c r="AE187" s="84"/>
      <c r="AF187" s="84"/>
      <c r="AG187" s="84"/>
      <c r="AH187" s="84"/>
      <c r="AI187" s="84"/>
      <c r="AJ187" s="84"/>
      <c r="AK187" s="84"/>
      <c r="AL187" s="84"/>
      <c r="AM187" s="84"/>
      <c r="AN187" s="84"/>
      <c r="AO187" s="84"/>
      <c r="AP187" s="89"/>
      <c r="AQ187" s="90"/>
      <c r="AR187" s="84"/>
      <c r="AS187" s="84"/>
    </row>
    <row r="188" spans="1:45" x14ac:dyDescent="0.35">
      <c r="A188" s="88"/>
      <c r="B188" s="84"/>
      <c r="C188" s="84"/>
      <c r="D188" s="84"/>
      <c r="E188" s="84"/>
      <c r="F188" s="84"/>
      <c r="G188" s="84"/>
      <c r="H188" s="84"/>
      <c r="I188" s="84"/>
      <c r="J188" s="84"/>
      <c r="K188" s="88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  <c r="W188" s="84"/>
      <c r="X188" s="84"/>
      <c r="Y188" s="84"/>
      <c r="Z188" s="84"/>
      <c r="AA188" s="84"/>
      <c r="AB188" s="84"/>
      <c r="AC188" s="84"/>
      <c r="AD188" s="84"/>
      <c r="AE188" s="84"/>
      <c r="AF188" s="84"/>
      <c r="AG188" s="84"/>
      <c r="AH188" s="84"/>
      <c r="AI188" s="84"/>
      <c r="AJ188" s="84"/>
      <c r="AK188" s="84"/>
      <c r="AL188" s="84"/>
      <c r="AM188" s="84"/>
      <c r="AN188" s="84"/>
      <c r="AO188" s="84"/>
      <c r="AP188" s="89"/>
      <c r="AQ188" s="90"/>
      <c r="AR188" s="84"/>
      <c r="AS188" s="84"/>
    </row>
    <row r="189" spans="1:45" x14ac:dyDescent="0.35">
      <c r="A189" s="88"/>
      <c r="B189" s="84"/>
      <c r="C189" s="84"/>
      <c r="D189" s="84"/>
      <c r="E189" s="84"/>
      <c r="F189" s="84"/>
      <c r="G189" s="84"/>
      <c r="H189" s="84"/>
      <c r="I189" s="84"/>
      <c r="J189" s="84"/>
      <c r="K189" s="88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  <c r="W189" s="84"/>
      <c r="X189" s="84"/>
      <c r="Y189" s="84"/>
      <c r="Z189" s="84"/>
      <c r="AA189" s="84"/>
      <c r="AB189" s="84"/>
      <c r="AC189" s="84"/>
      <c r="AD189" s="84"/>
      <c r="AE189" s="84"/>
      <c r="AF189" s="84"/>
      <c r="AG189" s="84"/>
      <c r="AH189" s="84"/>
      <c r="AI189" s="84"/>
      <c r="AJ189" s="84"/>
      <c r="AK189" s="84"/>
      <c r="AL189" s="84"/>
      <c r="AM189" s="84"/>
      <c r="AN189" s="84"/>
      <c r="AO189" s="84"/>
      <c r="AP189" s="89"/>
      <c r="AQ189" s="90"/>
      <c r="AR189" s="84"/>
      <c r="AS189" s="84"/>
    </row>
    <row r="190" spans="1:45" x14ac:dyDescent="0.35">
      <c r="A190" s="88"/>
      <c r="B190" s="84"/>
      <c r="C190" s="84"/>
      <c r="D190" s="84"/>
      <c r="E190" s="84"/>
      <c r="F190" s="84"/>
      <c r="G190" s="84"/>
      <c r="H190" s="84"/>
      <c r="I190" s="84"/>
      <c r="J190" s="84"/>
      <c r="K190" s="88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  <c r="W190" s="84"/>
      <c r="X190" s="84"/>
      <c r="Y190" s="84"/>
      <c r="Z190" s="84"/>
      <c r="AA190" s="84"/>
      <c r="AB190" s="84"/>
      <c r="AC190" s="84"/>
      <c r="AD190" s="84"/>
      <c r="AE190" s="84"/>
      <c r="AF190" s="84"/>
      <c r="AG190" s="84"/>
      <c r="AH190" s="84"/>
      <c r="AI190" s="84"/>
      <c r="AJ190" s="84"/>
      <c r="AK190" s="84"/>
      <c r="AL190" s="84"/>
      <c r="AM190" s="84"/>
      <c r="AN190" s="84"/>
      <c r="AO190" s="84"/>
      <c r="AP190" s="89"/>
      <c r="AQ190" s="90"/>
      <c r="AR190" s="84"/>
      <c r="AS190" s="84"/>
    </row>
    <row r="191" spans="1:45" x14ac:dyDescent="0.35">
      <c r="A191" s="88"/>
      <c r="B191" s="84"/>
      <c r="C191" s="84"/>
      <c r="D191" s="84"/>
      <c r="E191" s="84"/>
      <c r="F191" s="84"/>
      <c r="G191" s="84"/>
      <c r="H191" s="84"/>
      <c r="I191" s="84"/>
      <c r="J191" s="84"/>
      <c r="K191" s="88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  <c r="W191" s="84"/>
      <c r="X191" s="84"/>
      <c r="Y191" s="84"/>
      <c r="Z191" s="84"/>
      <c r="AA191" s="84"/>
      <c r="AB191" s="84"/>
      <c r="AC191" s="84"/>
      <c r="AD191" s="84"/>
      <c r="AE191" s="84"/>
      <c r="AF191" s="84"/>
      <c r="AG191" s="84"/>
      <c r="AH191" s="84"/>
      <c r="AI191" s="84"/>
      <c r="AJ191" s="84"/>
      <c r="AK191" s="84"/>
      <c r="AL191" s="84"/>
      <c r="AM191" s="84"/>
      <c r="AN191" s="84"/>
      <c r="AO191" s="84"/>
      <c r="AP191" s="89"/>
      <c r="AQ191" s="90"/>
      <c r="AR191" s="84"/>
      <c r="AS191" s="84"/>
    </row>
    <row r="192" spans="1:45" x14ac:dyDescent="0.35">
      <c r="A192" s="88"/>
      <c r="B192" s="84"/>
      <c r="C192" s="84"/>
      <c r="D192" s="84"/>
      <c r="E192" s="84"/>
      <c r="F192" s="84"/>
      <c r="G192" s="84"/>
      <c r="H192" s="84"/>
      <c r="I192" s="84"/>
      <c r="J192" s="84"/>
      <c r="K192" s="88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  <c r="W192" s="84"/>
      <c r="X192" s="84"/>
      <c r="Y192" s="84"/>
      <c r="Z192" s="84"/>
      <c r="AA192" s="84"/>
      <c r="AB192" s="84"/>
      <c r="AC192" s="84"/>
      <c r="AD192" s="84"/>
      <c r="AE192" s="84"/>
      <c r="AF192" s="84"/>
      <c r="AG192" s="84"/>
      <c r="AH192" s="84"/>
      <c r="AI192" s="84"/>
      <c r="AJ192" s="84"/>
      <c r="AK192" s="84"/>
      <c r="AL192" s="84"/>
      <c r="AM192" s="84"/>
      <c r="AN192" s="84"/>
      <c r="AO192" s="84"/>
      <c r="AP192" s="89"/>
      <c r="AQ192" s="90"/>
      <c r="AR192" s="84"/>
      <c r="AS192" s="84"/>
    </row>
    <row r="193" spans="1:45" x14ac:dyDescent="0.35">
      <c r="A193" s="88"/>
      <c r="B193" s="84"/>
      <c r="C193" s="84"/>
      <c r="D193" s="84"/>
      <c r="E193" s="84"/>
      <c r="F193" s="84"/>
      <c r="G193" s="84"/>
      <c r="H193" s="84"/>
      <c r="I193" s="84"/>
      <c r="J193" s="84"/>
      <c r="K193" s="88"/>
      <c r="L193" s="84"/>
      <c r="M193" s="84"/>
      <c r="N193" s="84"/>
      <c r="O193" s="84"/>
      <c r="P193" s="84"/>
      <c r="Q193" s="84"/>
      <c r="R193" s="84"/>
      <c r="S193" s="84"/>
      <c r="T193" s="84"/>
      <c r="U193" s="84"/>
      <c r="V193" s="84"/>
      <c r="W193" s="84"/>
      <c r="X193" s="84"/>
      <c r="Y193" s="84"/>
      <c r="Z193" s="84"/>
      <c r="AA193" s="84"/>
      <c r="AB193" s="84"/>
      <c r="AC193" s="84"/>
      <c r="AD193" s="84"/>
      <c r="AE193" s="84"/>
      <c r="AF193" s="84"/>
      <c r="AG193" s="84"/>
      <c r="AH193" s="84"/>
      <c r="AI193" s="84"/>
      <c r="AJ193" s="84"/>
      <c r="AK193" s="84"/>
      <c r="AL193" s="84"/>
      <c r="AM193" s="84"/>
      <c r="AN193" s="84"/>
      <c r="AO193" s="84"/>
      <c r="AP193" s="89"/>
      <c r="AQ193" s="90"/>
      <c r="AR193" s="84"/>
      <c r="AS193" s="84"/>
    </row>
    <row r="194" spans="1:45" x14ac:dyDescent="0.35">
      <c r="A194" s="88"/>
      <c r="B194" s="84"/>
      <c r="C194" s="84"/>
      <c r="D194" s="84"/>
      <c r="E194" s="84"/>
      <c r="F194" s="84"/>
      <c r="G194" s="84"/>
      <c r="H194" s="84"/>
      <c r="I194" s="84"/>
      <c r="J194" s="84"/>
      <c r="K194" s="88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  <c r="W194" s="84"/>
      <c r="X194" s="84"/>
      <c r="Y194" s="84"/>
      <c r="Z194" s="84"/>
      <c r="AA194" s="84"/>
      <c r="AB194" s="84"/>
      <c r="AC194" s="84"/>
      <c r="AD194" s="84"/>
      <c r="AE194" s="84"/>
      <c r="AF194" s="84"/>
      <c r="AG194" s="84"/>
      <c r="AH194" s="84"/>
      <c r="AI194" s="84"/>
      <c r="AJ194" s="84"/>
      <c r="AK194" s="84"/>
      <c r="AL194" s="84"/>
      <c r="AM194" s="84"/>
      <c r="AN194" s="84"/>
      <c r="AO194" s="84"/>
      <c r="AP194" s="89"/>
      <c r="AQ194" s="90"/>
      <c r="AR194" s="84"/>
      <c r="AS194" s="84"/>
    </row>
    <row r="195" spans="1:45" x14ac:dyDescent="0.35">
      <c r="A195" s="88"/>
      <c r="B195" s="84"/>
      <c r="C195" s="84"/>
      <c r="D195" s="84"/>
      <c r="E195" s="84"/>
      <c r="F195" s="84"/>
      <c r="G195" s="84"/>
      <c r="H195" s="84"/>
      <c r="I195" s="84"/>
      <c r="J195" s="84"/>
      <c r="K195" s="88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  <c r="W195" s="84"/>
      <c r="X195" s="84"/>
      <c r="Y195" s="84"/>
      <c r="Z195" s="84"/>
      <c r="AA195" s="84"/>
      <c r="AB195" s="84"/>
      <c r="AC195" s="84"/>
      <c r="AD195" s="84"/>
      <c r="AE195" s="84"/>
      <c r="AF195" s="84"/>
      <c r="AG195" s="84"/>
      <c r="AH195" s="84"/>
      <c r="AI195" s="84"/>
      <c r="AJ195" s="84"/>
      <c r="AK195" s="84"/>
      <c r="AL195" s="84"/>
      <c r="AM195" s="84"/>
      <c r="AN195" s="84"/>
      <c r="AO195" s="84"/>
      <c r="AP195" s="89"/>
      <c r="AQ195" s="90"/>
      <c r="AR195" s="84"/>
      <c r="AS195" s="84"/>
    </row>
    <row r="196" spans="1:45" x14ac:dyDescent="0.35">
      <c r="A196" s="88"/>
      <c r="B196" s="84"/>
      <c r="C196" s="84"/>
      <c r="D196" s="84"/>
      <c r="E196" s="84"/>
      <c r="F196" s="84"/>
      <c r="G196" s="84"/>
      <c r="H196" s="84"/>
      <c r="I196" s="84"/>
      <c r="J196" s="84"/>
      <c r="K196" s="88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  <c r="W196" s="84"/>
      <c r="X196" s="84"/>
      <c r="Y196" s="84"/>
      <c r="Z196" s="84"/>
      <c r="AA196" s="84"/>
      <c r="AB196" s="84"/>
      <c r="AC196" s="84"/>
      <c r="AD196" s="84"/>
      <c r="AE196" s="84"/>
      <c r="AF196" s="84"/>
      <c r="AG196" s="84"/>
      <c r="AH196" s="84"/>
      <c r="AI196" s="84"/>
      <c r="AJ196" s="84"/>
      <c r="AK196" s="84"/>
      <c r="AL196" s="84"/>
      <c r="AM196" s="84"/>
      <c r="AN196" s="84"/>
      <c r="AO196" s="84"/>
      <c r="AP196" s="89"/>
      <c r="AQ196" s="90"/>
      <c r="AR196" s="84"/>
      <c r="AS196" s="84"/>
    </row>
    <row r="197" spans="1:45" x14ac:dyDescent="0.35">
      <c r="A197" s="88"/>
      <c r="B197" s="84"/>
      <c r="C197" s="84"/>
      <c r="D197" s="84"/>
      <c r="E197" s="84"/>
      <c r="F197" s="84"/>
      <c r="G197" s="84"/>
      <c r="H197" s="84"/>
      <c r="I197" s="84"/>
      <c r="J197" s="84"/>
      <c r="K197" s="88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  <c r="W197" s="84"/>
      <c r="X197" s="84"/>
      <c r="Y197" s="84"/>
      <c r="Z197" s="84"/>
      <c r="AA197" s="84"/>
      <c r="AB197" s="84"/>
      <c r="AC197" s="84"/>
      <c r="AD197" s="84"/>
      <c r="AE197" s="84"/>
      <c r="AF197" s="84"/>
      <c r="AG197" s="84"/>
      <c r="AH197" s="84"/>
      <c r="AI197" s="84"/>
      <c r="AJ197" s="84"/>
      <c r="AK197" s="84"/>
      <c r="AL197" s="84"/>
      <c r="AM197" s="84"/>
      <c r="AN197" s="84"/>
      <c r="AO197" s="84"/>
      <c r="AP197" s="89"/>
      <c r="AQ197" s="90"/>
      <c r="AR197" s="84"/>
      <c r="AS197" s="84"/>
    </row>
    <row r="198" spans="1:45" x14ac:dyDescent="0.35">
      <c r="A198" s="88"/>
      <c r="B198" s="84"/>
      <c r="C198" s="84"/>
      <c r="D198" s="84"/>
      <c r="E198" s="84"/>
      <c r="F198" s="84"/>
      <c r="G198" s="84"/>
      <c r="H198" s="84"/>
      <c r="I198" s="84"/>
      <c r="J198" s="84"/>
      <c r="K198" s="88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  <c r="W198" s="84"/>
      <c r="X198" s="84"/>
      <c r="Y198" s="84"/>
      <c r="Z198" s="84"/>
      <c r="AA198" s="84"/>
      <c r="AB198" s="84"/>
      <c r="AC198" s="84"/>
      <c r="AD198" s="84"/>
      <c r="AE198" s="84"/>
      <c r="AF198" s="84"/>
      <c r="AG198" s="84"/>
      <c r="AH198" s="84"/>
      <c r="AI198" s="84"/>
      <c r="AJ198" s="84"/>
      <c r="AK198" s="84"/>
      <c r="AL198" s="84"/>
      <c r="AM198" s="84"/>
      <c r="AN198" s="84"/>
      <c r="AO198" s="84"/>
      <c r="AP198" s="89"/>
      <c r="AQ198" s="90"/>
      <c r="AR198" s="84"/>
      <c r="AS198" s="84"/>
    </row>
    <row r="199" spans="1:45" x14ac:dyDescent="0.35">
      <c r="A199" s="88"/>
      <c r="B199" s="84"/>
      <c r="C199" s="84"/>
      <c r="D199" s="84"/>
      <c r="E199" s="84"/>
      <c r="F199" s="84"/>
      <c r="G199" s="84"/>
      <c r="H199" s="84"/>
      <c r="I199" s="84"/>
      <c r="J199" s="84"/>
      <c r="K199" s="88"/>
      <c r="L199" s="84"/>
      <c r="M199" s="84"/>
      <c r="N199" s="84"/>
      <c r="O199" s="84"/>
      <c r="P199" s="84"/>
      <c r="Q199" s="84"/>
      <c r="R199" s="84"/>
      <c r="S199" s="84"/>
      <c r="T199" s="84"/>
      <c r="U199" s="84"/>
      <c r="V199" s="84"/>
      <c r="W199" s="84"/>
      <c r="X199" s="84"/>
      <c r="Y199" s="84"/>
      <c r="Z199" s="84"/>
      <c r="AA199" s="84"/>
      <c r="AB199" s="84"/>
      <c r="AC199" s="84"/>
      <c r="AD199" s="84"/>
      <c r="AE199" s="84"/>
      <c r="AF199" s="84"/>
      <c r="AG199" s="84"/>
      <c r="AH199" s="84"/>
      <c r="AI199" s="84"/>
      <c r="AJ199" s="84"/>
      <c r="AK199" s="84"/>
      <c r="AL199" s="84"/>
      <c r="AM199" s="84"/>
      <c r="AN199" s="84"/>
      <c r="AO199" s="84"/>
      <c r="AP199" s="89"/>
      <c r="AQ199" s="90"/>
      <c r="AR199" s="84"/>
      <c r="AS199" s="84"/>
    </row>
    <row r="200" spans="1:45" x14ac:dyDescent="0.35">
      <c r="A200" s="88"/>
      <c r="B200" s="84"/>
      <c r="C200" s="84"/>
      <c r="D200" s="84"/>
      <c r="E200" s="84"/>
      <c r="F200" s="84"/>
      <c r="G200" s="84"/>
      <c r="H200" s="84"/>
      <c r="I200" s="84"/>
      <c r="J200" s="84"/>
      <c r="K200" s="88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  <c r="W200" s="84"/>
      <c r="X200" s="84"/>
      <c r="Y200" s="84"/>
      <c r="Z200" s="84"/>
      <c r="AA200" s="84"/>
      <c r="AB200" s="84"/>
      <c r="AC200" s="84"/>
      <c r="AD200" s="84"/>
      <c r="AE200" s="84"/>
      <c r="AF200" s="84"/>
      <c r="AG200" s="84"/>
      <c r="AH200" s="84"/>
      <c r="AI200" s="84"/>
      <c r="AJ200" s="84"/>
      <c r="AK200" s="84"/>
      <c r="AL200" s="84"/>
      <c r="AM200" s="84"/>
      <c r="AN200" s="84"/>
      <c r="AO200" s="84"/>
      <c r="AP200" s="89"/>
      <c r="AQ200" s="90"/>
      <c r="AR200" s="84"/>
      <c r="AS200" s="84"/>
    </row>
    <row r="201" spans="1:45" x14ac:dyDescent="0.35">
      <c r="A201" s="88"/>
      <c r="B201" s="84"/>
      <c r="C201" s="84"/>
      <c r="D201" s="84"/>
      <c r="E201" s="84"/>
      <c r="F201" s="84"/>
      <c r="G201" s="84"/>
      <c r="H201" s="84"/>
      <c r="I201" s="84"/>
      <c r="J201" s="84"/>
      <c r="K201" s="88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  <c r="W201" s="84"/>
      <c r="X201" s="84"/>
      <c r="Y201" s="84"/>
      <c r="Z201" s="84"/>
      <c r="AA201" s="84"/>
      <c r="AB201" s="84"/>
      <c r="AC201" s="84"/>
      <c r="AD201" s="84"/>
      <c r="AE201" s="84"/>
      <c r="AF201" s="84"/>
      <c r="AG201" s="84"/>
      <c r="AH201" s="84"/>
      <c r="AI201" s="84"/>
      <c r="AJ201" s="84"/>
      <c r="AK201" s="84"/>
      <c r="AL201" s="84"/>
      <c r="AM201" s="84"/>
      <c r="AN201" s="84"/>
      <c r="AO201" s="84"/>
      <c r="AP201" s="89"/>
      <c r="AQ201" s="90"/>
      <c r="AR201" s="84"/>
      <c r="AS201" s="84"/>
    </row>
    <row r="202" spans="1:45" x14ac:dyDescent="0.35">
      <c r="A202" s="88"/>
      <c r="B202" s="84"/>
      <c r="C202" s="84"/>
      <c r="D202" s="84"/>
      <c r="E202" s="84"/>
      <c r="F202" s="84"/>
      <c r="G202" s="84"/>
      <c r="H202" s="84"/>
      <c r="I202" s="84"/>
      <c r="J202" s="84"/>
      <c r="K202" s="88"/>
      <c r="L202" s="84"/>
      <c r="M202" s="84"/>
      <c r="N202" s="84"/>
      <c r="O202" s="84"/>
      <c r="P202" s="84"/>
      <c r="Q202" s="84"/>
      <c r="R202" s="84"/>
      <c r="S202" s="84"/>
      <c r="T202" s="84"/>
      <c r="U202" s="84"/>
      <c r="V202" s="84"/>
      <c r="W202" s="84"/>
      <c r="X202" s="84"/>
      <c r="Y202" s="84"/>
      <c r="Z202" s="84"/>
      <c r="AA202" s="84"/>
      <c r="AB202" s="84"/>
      <c r="AC202" s="84"/>
      <c r="AD202" s="84"/>
      <c r="AE202" s="84"/>
      <c r="AF202" s="84"/>
      <c r="AG202" s="84"/>
      <c r="AH202" s="84"/>
      <c r="AI202" s="84"/>
      <c r="AJ202" s="84"/>
      <c r="AK202" s="84"/>
      <c r="AL202" s="84"/>
      <c r="AM202" s="84"/>
      <c r="AN202" s="84"/>
      <c r="AO202" s="84"/>
      <c r="AP202" s="89"/>
      <c r="AQ202" s="90"/>
      <c r="AR202" s="84"/>
      <c r="AS202" s="84"/>
    </row>
    <row r="203" spans="1:45" x14ac:dyDescent="0.35">
      <c r="A203" s="88"/>
      <c r="B203" s="84"/>
      <c r="C203" s="84"/>
      <c r="D203" s="84"/>
      <c r="E203" s="84"/>
      <c r="F203" s="84"/>
      <c r="G203" s="84"/>
      <c r="H203" s="84"/>
      <c r="I203" s="84"/>
      <c r="J203" s="84"/>
      <c r="K203" s="88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  <c r="AA203" s="84"/>
      <c r="AB203" s="84"/>
      <c r="AC203" s="84"/>
      <c r="AD203" s="84"/>
      <c r="AE203" s="84"/>
      <c r="AF203" s="84"/>
      <c r="AG203" s="84"/>
      <c r="AH203" s="84"/>
      <c r="AI203" s="84"/>
      <c r="AJ203" s="84"/>
      <c r="AK203" s="84"/>
      <c r="AL203" s="84"/>
      <c r="AM203" s="84"/>
      <c r="AN203" s="84"/>
      <c r="AO203" s="84"/>
      <c r="AP203" s="89"/>
      <c r="AQ203" s="90"/>
      <c r="AR203" s="84"/>
      <c r="AS203" s="84"/>
    </row>
    <row r="204" spans="1:45" x14ac:dyDescent="0.35">
      <c r="A204" s="88"/>
      <c r="B204" s="84"/>
      <c r="C204" s="84"/>
      <c r="D204" s="84"/>
      <c r="E204" s="84"/>
      <c r="F204" s="84"/>
      <c r="G204" s="84"/>
      <c r="H204" s="84"/>
      <c r="I204" s="84"/>
      <c r="J204" s="84"/>
      <c r="K204" s="88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  <c r="AA204" s="84"/>
      <c r="AB204" s="84"/>
      <c r="AC204" s="84"/>
      <c r="AD204" s="84"/>
      <c r="AE204" s="84"/>
      <c r="AF204" s="84"/>
      <c r="AG204" s="84"/>
      <c r="AH204" s="84"/>
      <c r="AI204" s="84"/>
      <c r="AJ204" s="84"/>
      <c r="AK204" s="84"/>
      <c r="AL204" s="84"/>
      <c r="AM204" s="84"/>
      <c r="AN204" s="84"/>
      <c r="AO204" s="84"/>
      <c r="AP204" s="89"/>
      <c r="AQ204" s="90"/>
      <c r="AR204" s="84"/>
      <c r="AS204" s="84"/>
    </row>
    <row r="205" spans="1:45" x14ac:dyDescent="0.35">
      <c r="A205" s="88"/>
      <c r="B205" s="84"/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  <c r="AA205" s="84"/>
      <c r="AB205" s="84"/>
      <c r="AC205" s="84"/>
      <c r="AD205" s="84"/>
      <c r="AE205" s="84"/>
      <c r="AF205" s="84"/>
      <c r="AG205" s="84"/>
      <c r="AH205" s="84"/>
      <c r="AI205" s="84"/>
      <c r="AJ205" s="84"/>
      <c r="AK205" s="84"/>
      <c r="AL205" s="84"/>
      <c r="AM205" s="84"/>
      <c r="AN205" s="84"/>
      <c r="AO205" s="84"/>
      <c r="AP205" s="89"/>
      <c r="AQ205" s="90"/>
      <c r="AR205" s="84"/>
      <c r="AS205" s="84"/>
    </row>
    <row r="206" spans="1:45" x14ac:dyDescent="0.35">
      <c r="A206" s="88"/>
      <c r="B206" s="84"/>
      <c r="C206" s="84"/>
      <c r="D206" s="84"/>
      <c r="E206" s="84"/>
      <c r="F206" s="84"/>
      <c r="G206" s="84"/>
      <c r="H206" s="84"/>
      <c r="I206" s="84"/>
      <c r="J206" s="84"/>
      <c r="K206" s="88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  <c r="AA206" s="84"/>
      <c r="AB206" s="84"/>
      <c r="AC206" s="84"/>
      <c r="AD206" s="84"/>
      <c r="AE206" s="84"/>
      <c r="AF206" s="84"/>
      <c r="AG206" s="84"/>
      <c r="AH206" s="84"/>
      <c r="AI206" s="84"/>
      <c r="AJ206" s="84"/>
      <c r="AK206" s="84"/>
      <c r="AL206" s="84"/>
      <c r="AM206" s="84"/>
      <c r="AN206" s="84"/>
      <c r="AO206" s="84"/>
      <c r="AP206" s="89"/>
      <c r="AQ206" s="90"/>
      <c r="AR206" s="84"/>
      <c r="AS206" s="84"/>
    </row>
    <row r="207" spans="1:45" x14ac:dyDescent="0.35">
      <c r="A207" s="88"/>
      <c r="B207" s="84"/>
      <c r="C207" s="84"/>
      <c r="D207" s="84"/>
      <c r="E207" s="84"/>
      <c r="F207" s="84"/>
      <c r="G207" s="84"/>
      <c r="H207" s="84"/>
      <c r="I207" s="84"/>
      <c r="J207" s="84"/>
      <c r="K207" s="88"/>
      <c r="L207" s="84"/>
      <c r="M207" s="84"/>
      <c r="N207" s="84"/>
      <c r="O207" s="84"/>
      <c r="P207" s="84"/>
      <c r="Q207" s="84"/>
      <c r="R207" s="84"/>
      <c r="S207" s="84"/>
      <c r="T207" s="84"/>
      <c r="U207" s="84"/>
      <c r="V207" s="84"/>
      <c r="W207" s="84"/>
      <c r="X207" s="84"/>
      <c r="Y207" s="84"/>
      <c r="Z207" s="84"/>
      <c r="AA207" s="84"/>
      <c r="AB207" s="84"/>
      <c r="AC207" s="84"/>
      <c r="AD207" s="84"/>
      <c r="AE207" s="84"/>
      <c r="AF207" s="84"/>
      <c r="AG207" s="84"/>
      <c r="AH207" s="84"/>
      <c r="AI207" s="84"/>
      <c r="AJ207" s="84"/>
      <c r="AK207" s="84"/>
      <c r="AL207" s="84"/>
      <c r="AM207" s="84"/>
      <c r="AN207" s="84"/>
      <c r="AO207" s="84"/>
      <c r="AP207" s="89"/>
      <c r="AQ207" s="90"/>
      <c r="AR207" s="84"/>
      <c r="AS207" s="84"/>
    </row>
    <row r="208" spans="1:45" x14ac:dyDescent="0.35">
      <c r="A208" s="88"/>
      <c r="B208" s="84"/>
      <c r="C208" s="84"/>
      <c r="D208" s="84"/>
      <c r="E208" s="84"/>
      <c r="F208" s="84"/>
      <c r="G208" s="84"/>
      <c r="H208" s="84"/>
      <c r="I208" s="84"/>
      <c r="J208" s="84"/>
      <c r="K208" s="88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4"/>
      <c r="AA208" s="84"/>
      <c r="AB208" s="84"/>
      <c r="AC208" s="84"/>
      <c r="AD208" s="84"/>
      <c r="AE208" s="84"/>
      <c r="AF208" s="84"/>
      <c r="AG208" s="84"/>
      <c r="AH208" s="84"/>
      <c r="AI208" s="84"/>
      <c r="AJ208" s="84"/>
      <c r="AK208" s="84"/>
      <c r="AL208" s="84"/>
      <c r="AM208" s="84"/>
      <c r="AN208" s="84"/>
      <c r="AO208" s="84"/>
      <c r="AP208" s="89"/>
      <c r="AQ208" s="90"/>
      <c r="AR208" s="84"/>
      <c r="AS208" s="84"/>
    </row>
    <row r="209" spans="1:45" x14ac:dyDescent="0.35">
      <c r="A209" s="88"/>
      <c r="B209" s="84"/>
      <c r="C209" s="84"/>
      <c r="D209" s="84"/>
      <c r="E209" s="84"/>
      <c r="F209" s="84"/>
      <c r="G209" s="84"/>
      <c r="H209" s="84"/>
      <c r="I209" s="84"/>
      <c r="J209" s="84"/>
      <c r="K209" s="88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4"/>
      <c r="AA209" s="84"/>
      <c r="AB209" s="84"/>
      <c r="AC209" s="84"/>
      <c r="AD209" s="84"/>
      <c r="AE209" s="84"/>
      <c r="AF209" s="84"/>
      <c r="AG209" s="84"/>
      <c r="AH209" s="84"/>
      <c r="AI209" s="84"/>
      <c r="AJ209" s="84"/>
      <c r="AK209" s="84"/>
      <c r="AL209" s="84"/>
      <c r="AM209" s="84"/>
      <c r="AN209" s="84"/>
      <c r="AO209" s="84"/>
      <c r="AP209" s="89"/>
      <c r="AQ209" s="90"/>
      <c r="AR209" s="84"/>
      <c r="AS209" s="84"/>
    </row>
    <row r="210" spans="1:45" x14ac:dyDescent="0.35">
      <c r="A210" s="88"/>
      <c r="B210" s="84"/>
      <c r="C210" s="84"/>
      <c r="D210" s="84"/>
      <c r="E210" s="84"/>
      <c r="F210" s="84"/>
      <c r="G210" s="84"/>
      <c r="H210" s="84"/>
      <c r="I210" s="84"/>
      <c r="J210" s="84"/>
      <c r="K210" s="88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4"/>
      <c r="AA210" s="84"/>
      <c r="AB210" s="84"/>
      <c r="AC210" s="84"/>
      <c r="AD210" s="84"/>
      <c r="AE210" s="84"/>
      <c r="AF210" s="84"/>
      <c r="AG210" s="84"/>
      <c r="AH210" s="84"/>
      <c r="AI210" s="84"/>
      <c r="AJ210" s="84"/>
      <c r="AK210" s="84"/>
      <c r="AL210" s="84"/>
      <c r="AM210" s="84"/>
      <c r="AN210" s="84"/>
      <c r="AO210" s="84"/>
      <c r="AP210" s="89"/>
      <c r="AQ210" s="90"/>
      <c r="AR210" s="84"/>
      <c r="AS210" s="84"/>
    </row>
    <row r="211" spans="1:45" x14ac:dyDescent="0.35">
      <c r="A211" s="88"/>
      <c r="B211" s="84"/>
      <c r="C211" s="84"/>
      <c r="D211" s="84"/>
      <c r="E211" s="84"/>
      <c r="F211" s="84"/>
      <c r="G211" s="84"/>
      <c r="H211" s="84"/>
      <c r="I211" s="84"/>
      <c r="J211" s="84"/>
      <c r="K211" s="88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4"/>
      <c r="AA211" s="84"/>
      <c r="AB211" s="84"/>
      <c r="AC211" s="84"/>
      <c r="AD211" s="84"/>
      <c r="AE211" s="84"/>
      <c r="AF211" s="84"/>
      <c r="AG211" s="84"/>
      <c r="AH211" s="84"/>
      <c r="AI211" s="84"/>
      <c r="AJ211" s="84"/>
      <c r="AK211" s="84"/>
      <c r="AL211" s="84"/>
      <c r="AM211" s="84"/>
      <c r="AN211" s="84"/>
      <c r="AO211" s="84"/>
      <c r="AP211" s="89"/>
      <c r="AQ211" s="90"/>
      <c r="AR211" s="84"/>
      <c r="AS211" s="84"/>
    </row>
    <row r="212" spans="1:45" x14ac:dyDescent="0.35">
      <c r="A212" s="88"/>
      <c r="B212" s="84"/>
      <c r="C212" s="84"/>
      <c r="D212" s="84"/>
      <c r="E212" s="84"/>
      <c r="F212" s="84"/>
      <c r="G212" s="84"/>
      <c r="H212" s="84"/>
      <c r="I212" s="84"/>
      <c r="J212" s="84"/>
      <c r="K212" s="88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4"/>
      <c r="AA212" s="84"/>
      <c r="AB212" s="84"/>
      <c r="AC212" s="84"/>
      <c r="AD212" s="84"/>
      <c r="AE212" s="84"/>
      <c r="AF212" s="84"/>
      <c r="AG212" s="84"/>
      <c r="AH212" s="84"/>
      <c r="AI212" s="84"/>
      <c r="AJ212" s="84"/>
      <c r="AK212" s="84"/>
      <c r="AL212" s="84"/>
      <c r="AM212" s="84"/>
      <c r="AN212" s="84"/>
      <c r="AO212" s="84"/>
      <c r="AP212" s="89"/>
      <c r="AQ212" s="90"/>
      <c r="AR212" s="84"/>
      <c r="AS212" s="84"/>
    </row>
    <row r="213" spans="1:45" x14ac:dyDescent="0.35">
      <c r="A213" s="88"/>
      <c r="B213" s="84"/>
      <c r="C213" s="84"/>
      <c r="D213" s="84"/>
      <c r="E213" s="84"/>
      <c r="F213" s="84"/>
      <c r="G213" s="84"/>
      <c r="H213" s="84"/>
      <c r="I213" s="84"/>
      <c r="J213" s="84"/>
      <c r="K213" s="88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  <c r="W213" s="84"/>
      <c r="X213" s="84"/>
      <c r="Y213" s="84"/>
      <c r="Z213" s="84"/>
      <c r="AA213" s="84"/>
      <c r="AB213" s="84"/>
      <c r="AC213" s="84"/>
      <c r="AD213" s="84"/>
      <c r="AE213" s="84"/>
      <c r="AF213" s="84"/>
      <c r="AG213" s="84"/>
      <c r="AH213" s="84"/>
      <c r="AI213" s="84"/>
      <c r="AJ213" s="84"/>
      <c r="AK213" s="84"/>
      <c r="AL213" s="84"/>
      <c r="AM213" s="84"/>
      <c r="AN213" s="84"/>
      <c r="AO213" s="84"/>
      <c r="AP213" s="89"/>
      <c r="AQ213" s="90"/>
      <c r="AR213" s="84"/>
      <c r="AS213" s="84"/>
    </row>
    <row r="214" spans="1:45" x14ac:dyDescent="0.35">
      <c r="A214" s="88"/>
      <c r="B214" s="84"/>
      <c r="C214" s="84"/>
      <c r="D214" s="84"/>
      <c r="E214" s="84"/>
      <c r="F214" s="84"/>
      <c r="G214" s="84"/>
      <c r="H214" s="84"/>
      <c r="I214" s="84"/>
      <c r="J214" s="84"/>
      <c r="K214" s="88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  <c r="W214" s="84"/>
      <c r="X214" s="84"/>
      <c r="Y214" s="84"/>
      <c r="Z214" s="84"/>
      <c r="AA214" s="84"/>
      <c r="AB214" s="84"/>
      <c r="AC214" s="84"/>
      <c r="AD214" s="84"/>
      <c r="AE214" s="84"/>
      <c r="AF214" s="84"/>
      <c r="AG214" s="84"/>
      <c r="AH214" s="84"/>
      <c r="AI214" s="84"/>
      <c r="AJ214" s="84"/>
      <c r="AK214" s="84"/>
      <c r="AL214" s="84"/>
      <c r="AM214" s="84"/>
      <c r="AN214" s="84"/>
      <c r="AO214" s="84"/>
      <c r="AP214" s="89"/>
      <c r="AQ214" s="90"/>
      <c r="AR214" s="84"/>
      <c r="AS214" s="84"/>
    </row>
    <row r="215" spans="1:45" x14ac:dyDescent="0.35">
      <c r="A215" s="88"/>
      <c r="B215" s="84"/>
      <c r="C215" s="84"/>
      <c r="D215" s="84"/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  <c r="W215" s="84"/>
      <c r="X215" s="84"/>
      <c r="Y215" s="84"/>
      <c r="Z215" s="84"/>
      <c r="AA215" s="84"/>
      <c r="AB215" s="84"/>
      <c r="AC215" s="84"/>
      <c r="AD215" s="84"/>
      <c r="AE215" s="84"/>
      <c r="AF215" s="84"/>
      <c r="AG215" s="84"/>
      <c r="AH215" s="84"/>
      <c r="AI215" s="84"/>
      <c r="AJ215" s="84"/>
      <c r="AK215" s="84"/>
      <c r="AL215" s="84"/>
      <c r="AM215" s="84"/>
      <c r="AN215" s="84"/>
      <c r="AO215" s="84"/>
      <c r="AP215" s="89"/>
      <c r="AQ215" s="90"/>
      <c r="AR215" s="84"/>
      <c r="AS215" s="84"/>
    </row>
    <row r="216" spans="1:45" x14ac:dyDescent="0.35">
      <c r="A216" s="88"/>
      <c r="B216" s="84"/>
      <c r="C216" s="84"/>
      <c r="D216" s="84"/>
      <c r="E216" s="84"/>
      <c r="F216" s="84"/>
      <c r="G216" s="84"/>
      <c r="H216" s="84"/>
      <c r="I216" s="84"/>
      <c r="J216" s="84"/>
      <c r="K216" s="88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  <c r="W216" s="84"/>
      <c r="X216" s="84"/>
      <c r="Y216" s="84"/>
      <c r="Z216" s="84"/>
      <c r="AA216" s="84"/>
      <c r="AB216" s="84"/>
      <c r="AC216" s="84"/>
      <c r="AD216" s="84"/>
      <c r="AE216" s="84"/>
      <c r="AF216" s="84"/>
      <c r="AG216" s="84"/>
      <c r="AH216" s="84"/>
      <c r="AI216" s="84"/>
      <c r="AJ216" s="84"/>
      <c r="AK216" s="84"/>
      <c r="AL216" s="84"/>
      <c r="AM216" s="84"/>
      <c r="AN216" s="84"/>
      <c r="AO216" s="84"/>
      <c r="AP216" s="89"/>
      <c r="AQ216" s="90"/>
      <c r="AR216" s="84"/>
      <c r="AS216" s="84"/>
    </row>
    <row r="217" spans="1:45" x14ac:dyDescent="0.35">
      <c r="A217" s="88"/>
      <c r="B217" s="84"/>
      <c r="C217" s="84"/>
      <c r="D217" s="84"/>
      <c r="E217" s="84"/>
      <c r="F217" s="84"/>
      <c r="G217" s="84"/>
      <c r="H217" s="84"/>
      <c r="I217" s="84"/>
      <c r="J217" s="84"/>
      <c r="K217" s="88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  <c r="W217" s="84"/>
      <c r="X217" s="84"/>
      <c r="Y217" s="84"/>
      <c r="Z217" s="84"/>
      <c r="AA217" s="84"/>
      <c r="AB217" s="84"/>
      <c r="AC217" s="84"/>
      <c r="AD217" s="84"/>
      <c r="AE217" s="84"/>
      <c r="AF217" s="84"/>
      <c r="AG217" s="84"/>
      <c r="AH217" s="84"/>
      <c r="AI217" s="84"/>
      <c r="AJ217" s="84"/>
      <c r="AK217" s="84"/>
      <c r="AL217" s="84"/>
      <c r="AM217" s="84"/>
      <c r="AN217" s="84"/>
      <c r="AO217" s="84"/>
      <c r="AP217" s="89"/>
      <c r="AQ217" s="90"/>
      <c r="AR217" s="84"/>
      <c r="AS217" s="84"/>
    </row>
    <row r="218" spans="1:45" x14ac:dyDescent="0.35">
      <c r="A218" s="88"/>
      <c r="B218" s="84"/>
      <c r="C218" s="84"/>
      <c r="D218" s="84"/>
      <c r="E218" s="84"/>
      <c r="F218" s="84"/>
      <c r="G218" s="84"/>
      <c r="H218" s="84"/>
      <c r="I218" s="84"/>
      <c r="J218" s="84"/>
      <c r="K218" s="88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  <c r="W218" s="84"/>
      <c r="X218" s="84"/>
      <c r="Y218" s="84"/>
      <c r="Z218" s="84"/>
      <c r="AA218" s="84"/>
      <c r="AB218" s="84"/>
      <c r="AC218" s="84"/>
      <c r="AD218" s="84"/>
      <c r="AE218" s="84"/>
      <c r="AF218" s="84"/>
      <c r="AG218" s="84"/>
      <c r="AH218" s="84"/>
      <c r="AI218" s="84"/>
      <c r="AJ218" s="84"/>
      <c r="AK218" s="84"/>
      <c r="AL218" s="84"/>
      <c r="AM218" s="84"/>
      <c r="AN218" s="84"/>
      <c r="AO218" s="84"/>
      <c r="AP218" s="89"/>
      <c r="AQ218" s="90"/>
      <c r="AR218" s="84"/>
      <c r="AS218" s="84"/>
    </row>
    <row r="219" spans="1:45" x14ac:dyDescent="0.35">
      <c r="A219" s="88"/>
      <c r="B219" s="84"/>
      <c r="C219" s="84"/>
      <c r="D219" s="84"/>
      <c r="E219" s="84"/>
      <c r="F219" s="84"/>
      <c r="G219" s="84"/>
      <c r="H219" s="84"/>
      <c r="I219" s="84"/>
      <c r="J219" s="84"/>
      <c r="K219" s="88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  <c r="W219" s="84"/>
      <c r="X219" s="84"/>
      <c r="Y219" s="84"/>
      <c r="Z219" s="84"/>
      <c r="AA219" s="84"/>
      <c r="AB219" s="84"/>
      <c r="AC219" s="84"/>
      <c r="AD219" s="84"/>
      <c r="AE219" s="84"/>
      <c r="AF219" s="84"/>
      <c r="AG219" s="84"/>
      <c r="AH219" s="84"/>
      <c r="AI219" s="84"/>
      <c r="AJ219" s="84"/>
      <c r="AK219" s="84"/>
      <c r="AL219" s="84"/>
      <c r="AM219" s="84"/>
      <c r="AN219" s="84"/>
      <c r="AO219" s="84"/>
      <c r="AP219" s="89"/>
      <c r="AQ219" s="90"/>
      <c r="AR219" s="84"/>
      <c r="AS219" s="84"/>
    </row>
    <row r="220" spans="1:45" x14ac:dyDescent="0.35">
      <c r="A220" s="88"/>
      <c r="B220" s="84"/>
      <c r="C220" s="84"/>
      <c r="D220" s="84"/>
      <c r="E220" s="84"/>
      <c r="F220" s="84"/>
      <c r="G220" s="84"/>
      <c r="H220" s="84"/>
      <c r="I220" s="84"/>
      <c r="J220" s="84"/>
      <c r="K220" s="88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  <c r="W220" s="84"/>
      <c r="X220" s="84"/>
      <c r="Y220" s="84"/>
      <c r="Z220" s="84"/>
      <c r="AA220" s="84"/>
      <c r="AB220" s="84"/>
      <c r="AC220" s="84"/>
      <c r="AD220" s="84"/>
      <c r="AE220" s="84"/>
      <c r="AF220" s="84"/>
      <c r="AG220" s="84"/>
      <c r="AH220" s="84"/>
      <c r="AI220" s="84"/>
      <c r="AJ220" s="84"/>
      <c r="AK220" s="84"/>
      <c r="AL220" s="84"/>
      <c r="AM220" s="84"/>
      <c r="AN220" s="84"/>
      <c r="AO220" s="84"/>
      <c r="AP220" s="89"/>
      <c r="AQ220" s="90"/>
      <c r="AR220" s="84"/>
      <c r="AS220" s="84"/>
    </row>
    <row r="221" spans="1:45" x14ac:dyDescent="0.35">
      <c r="A221" s="88"/>
      <c r="B221" s="84"/>
      <c r="C221" s="84"/>
      <c r="D221" s="84"/>
      <c r="E221" s="84"/>
      <c r="F221" s="84"/>
      <c r="G221" s="84"/>
      <c r="H221" s="84"/>
      <c r="I221" s="84"/>
      <c r="J221" s="84"/>
      <c r="K221" s="88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  <c r="W221" s="84"/>
      <c r="X221" s="84"/>
      <c r="Y221" s="84"/>
      <c r="Z221" s="84"/>
      <c r="AA221" s="84"/>
      <c r="AB221" s="84"/>
      <c r="AC221" s="84"/>
      <c r="AD221" s="84"/>
      <c r="AE221" s="84"/>
      <c r="AF221" s="84"/>
      <c r="AG221" s="84"/>
      <c r="AH221" s="84"/>
      <c r="AI221" s="84"/>
      <c r="AJ221" s="84"/>
      <c r="AK221" s="84"/>
      <c r="AL221" s="84"/>
      <c r="AM221" s="84"/>
      <c r="AN221" s="84"/>
      <c r="AO221" s="84"/>
      <c r="AP221" s="89"/>
      <c r="AQ221" s="90"/>
      <c r="AR221" s="84"/>
      <c r="AS221" s="84"/>
    </row>
    <row r="222" spans="1:45" x14ac:dyDescent="0.35">
      <c r="A222" s="88"/>
      <c r="B222" s="84"/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  <c r="W222" s="84"/>
      <c r="X222" s="84"/>
      <c r="Y222" s="84"/>
      <c r="Z222" s="84"/>
      <c r="AA222" s="84"/>
      <c r="AB222" s="84"/>
      <c r="AC222" s="84"/>
      <c r="AD222" s="84"/>
      <c r="AE222" s="84"/>
      <c r="AF222" s="84"/>
      <c r="AG222" s="84"/>
      <c r="AH222" s="84"/>
      <c r="AI222" s="84"/>
      <c r="AJ222" s="84"/>
      <c r="AK222" s="84"/>
      <c r="AL222" s="84"/>
      <c r="AM222" s="84"/>
      <c r="AN222" s="84"/>
      <c r="AO222" s="84"/>
      <c r="AP222" s="89"/>
      <c r="AQ222" s="90"/>
      <c r="AR222" s="84"/>
      <c r="AS222" s="84"/>
    </row>
    <row r="223" spans="1:45" x14ac:dyDescent="0.35">
      <c r="A223" s="88"/>
      <c r="B223" s="84"/>
      <c r="C223" s="84"/>
      <c r="D223" s="84"/>
      <c r="E223" s="84"/>
      <c r="F223" s="84"/>
      <c r="G223" s="84"/>
      <c r="H223" s="84"/>
      <c r="I223" s="84"/>
      <c r="J223" s="84"/>
      <c r="K223" s="88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  <c r="AH223" s="84"/>
      <c r="AI223" s="84"/>
      <c r="AJ223" s="84"/>
      <c r="AK223" s="84"/>
      <c r="AL223" s="84"/>
      <c r="AM223" s="84"/>
      <c r="AN223" s="84"/>
      <c r="AO223" s="84"/>
      <c r="AP223" s="89"/>
      <c r="AQ223" s="90"/>
      <c r="AR223" s="84"/>
      <c r="AS223" s="84"/>
    </row>
    <row r="224" spans="1:45" x14ac:dyDescent="0.35">
      <c r="A224" s="88"/>
      <c r="B224" s="84"/>
      <c r="C224" s="84"/>
      <c r="D224" s="84"/>
      <c r="E224" s="84"/>
      <c r="F224" s="84"/>
      <c r="G224" s="84"/>
      <c r="H224" s="84"/>
      <c r="I224" s="84"/>
      <c r="J224" s="84"/>
      <c r="K224" s="88"/>
      <c r="L224" s="84"/>
      <c r="M224" s="84"/>
      <c r="N224" s="84"/>
      <c r="O224" s="84"/>
      <c r="P224" s="84"/>
      <c r="Q224" s="84"/>
      <c r="R224" s="84"/>
      <c r="S224" s="84"/>
      <c r="T224" s="84"/>
      <c r="U224" s="84"/>
      <c r="V224" s="84"/>
      <c r="W224" s="84"/>
      <c r="X224" s="84"/>
      <c r="Y224" s="84"/>
      <c r="Z224" s="84"/>
      <c r="AA224" s="84"/>
      <c r="AB224" s="84"/>
      <c r="AC224" s="84"/>
      <c r="AD224" s="84"/>
      <c r="AE224" s="84"/>
      <c r="AF224" s="84"/>
      <c r="AG224" s="84"/>
      <c r="AH224" s="84"/>
      <c r="AI224" s="84"/>
      <c r="AJ224" s="84"/>
      <c r="AK224" s="84"/>
      <c r="AL224" s="84"/>
      <c r="AM224" s="84"/>
      <c r="AN224" s="84"/>
      <c r="AO224" s="84"/>
      <c r="AP224" s="89"/>
      <c r="AQ224" s="90"/>
      <c r="AR224" s="84"/>
      <c r="AS224" s="84"/>
    </row>
    <row r="225" spans="1:45" x14ac:dyDescent="0.35">
      <c r="A225" s="88"/>
      <c r="B225" s="84"/>
      <c r="C225" s="84"/>
      <c r="D225" s="84"/>
      <c r="E225" s="84"/>
      <c r="F225" s="84"/>
      <c r="G225" s="84"/>
      <c r="H225" s="84"/>
      <c r="I225" s="84"/>
      <c r="J225" s="84"/>
      <c r="K225" s="88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  <c r="W225" s="84"/>
      <c r="X225" s="84"/>
      <c r="Y225" s="84"/>
      <c r="Z225" s="84"/>
      <c r="AA225" s="84"/>
      <c r="AB225" s="84"/>
      <c r="AC225" s="84"/>
      <c r="AD225" s="84"/>
      <c r="AE225" s="84"/>
      <c r="AF225" s="84"/>
      <c r="AG225" s="84"/>
      <c r="AH225" s="84"/>
      <c r="AI225" s="84"/>
      <c r="AJ225" s="84"/>
      <c r="AK225" s="84"/>
      <c r="AL225" s="84"/>
      <c r="AM225" s="84"/>
      <c r="AN225" s="84"/>
      <c r="AO225" s="84"/>
      <c r="AP225" s="89"/>
      <c r="AQ225" s="90"/>
      <c r="AR225" s="84"/>
      <c r="AS225" s="84"/>
    </row>
    <row r="226" spans="1:45" x14ac:dyDescent="0.35">
      <c r="A226" s="88"/>
      <c r="B226" s="84"/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  <c r="W226" s="84"/>
      <c r="X226" s="84"/>
      <c r="Y226" s="84"/>
      <c r="Z226" s="84"/>
      <c r="AA226" s="84"/>
      <c r="AB226" s="84"/>
      <c r="AC226" s="84"/>
      <c r="AD226" s="84"/>
      <c r="AE226" s="84"/>
      <c r="AF226" s="84"/>
      <c r="AG226" s="84"/>
      <c r="AH226" s="84"/>
      <c r="AI226" s="84"/>
      <c r="AJ226" s="84"/>
      <c r="AK226" s="84"/>
      <c r="AL226" s="84"/>
      <c r="AM226" s="84"/>
      <c r="AN226" s="84"/>
      <c r="AO226" s="84"/>
      <c r="AP226" s="89"/>
      <c r="AQ226" s="90"/>
      <c r="AR226" s="84"/>
      <c r="AS226" s="84"/>
    </row>
    <row r="227" spans="1:45" x14ac:dyDescent="0.35">
      <c r="A227" s="88"/>
      <c r="B227" s="84"/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  <c r="W227" s="84"/>
      <c r="X227" s="84"/>
      <c r="Y227" s="84"/>
      <c r="Z227" s="84"/>
      <c r="AA227" s="84"/>
      <c r="AB227" s="84"/>
      <c r="AC227" s="84"/>
      <c r="AD227" s="84"/>
      <c r="AE227" s="84"/>
      <c r="AF227" s="84"/>
      <c r="AG227" s="84"/>
      <c r="AH227" s="84"/>
      <c r="AI227" s="84"/>
      <c r="AJ227" s="84"/>
      <c r="AK227" s="84"/>
      <c r="AL227" s="84"/>
      <c r="AM227" s="84"/>
      <c r="AN227" s="84"/>
      <c r="AO227" s="84"/>
      <c r="AP227" s="89"/>
      <c r="AQ227" s="90"/>
      <c r="AR227" s="84"/>
      <c r="AS227" s="84"/>
    </row>
    <row r="228" spans="1:45" x14ac:dyDescent="0.35">
      <c r="A228" s="88"/>
      <c r="B228" s="84"/>
      <c r="C228" s="84"/>
      <c r="D228" s="84"/>
      <c r="E228" s="84"/>
      <c r="F228" s="84"/>
      <c r="G228" s="84"/>
      <c r="H228" s="84"/>
      <c r="I228" s="84"/>
      <c r="J228" s="84"/>
      <c r="K228" s="88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  <c r="W228" s="84"/>
      <c r="X228" s="84"/>
      <c r="Y228" s="84"/>
      <c r="Z228" s="84"/>
      <c r="AA228" s="84"/>
      <c r="AB228" s="84"/>
      <c r="AC228" s="84"/>
      <c r="AD228" s="84"/>
      <c r="AE228" s="84"/>
      <c r="AF228" s="84"/>
      <c r="AG228" s="84"/>
      <c r="AH228" s="84"/>
      <c r="AI228" s="84"/>
      <c r="AJ228" s="84"/>
      <c r="AK228" s="84"/>
      <c r="AL228" s="84"/>
      <c r="AM228" s="84"/>
      <c r="AN228" s="84"/>
      <c r="AO228" s="84"/>
      <c r="AP228" s="89"/>
      <c r="AQ228" s="90"/>
      <c r="AR228" s="84"/>
      <c r="AS228" s="84"/>
    </row>
    <row r="229" spans="1:45" x14ac:dyDescent="0.35">
      <c r="A229" s="88"/>
      <c r="B229" s="84"/>
      <c r="C229" s="84"/>
      <c r="D229" s="84"/>
      <c r="E229" s="84"/>
      <c r="F229" s="84"/>
      <c r="G229" s="84"/>
      <c r="H229" s="84"/>
      <c r="I229" s="84"/>
      <c r="J229" s="84"/>
      <c r="K229" s="88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  <c r="W229" s="84"/>
      <c r="X229" s="84"/>
      <c r="Y229" s="84"/>
      <c r="Z229" s="84"/>
      <c r="AA229" s="84"/>
      <c r="AB229" s="84"/>
      <c r="AC229" s="84"/>
      <c r="AD229" s="84"/>
      <c r="AE229" s="84"/>
      <c r="AF229" s="84"/>
      <c r="AG229" s="84"/>
      <c r="AH229" s="84"/>
      <c r="AI229" s="84"/>
      <c r="AJ229" s="84"/>
      <c r="AK229" s="84"/>
      <c r="AL229" s="84"/>
      <c r="AM229" s="84"/>
      <c r="AN229" s="84"/>
      <c r="AO229" s="84"/>
      <c r="AP229" s="89"/>
      <c r="AQ229" s="90"/>
      <c r="AR229" s="84"/>
      <c r="AS229" s="84"/>
    </row>
    <row r="230" spans="1:45" x14ac:dyDescent="0.35">
      <c r="A230" s="88"/>
      <c r="B230" s="84"/>
      <c r="C230" s="84"/>
      <c r="D230" s="84"/>
      <c r="E230" s="84"/>
      <c r="F230" s="84"/>
      <c r="G230" s="84"/>
      <c r="H230" s="84"/>
      <c r="I230" s="84"/>
      <c r="J230" s="84"/>
      <c r="K230" s="88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  <c r="W230" s="84"/>
      <c r="X230" s="84"/>
      <c r="Y230" s="84"/>
      <c r="Z230" s="84"/>
      <c r="AA230" s="84"/>
      <c r="AB230" s="84"/>
      <c r="AC230" s="84"/>
      <c r="AD230" s="84"/>
      <c r="AE230" s="84"/>
      <c r="AF230" s="84"/>
      <c r="AG230" s="84"/>
      <c r="AH230" s="84"/>
      <c r="AI230" s="84"/>
      <c r="AJ230" s="84"/>
      <c r="AK230" s="84"/>
      <c r="AL230" s="84"/>
      <c r="AM230" s="84"/>
      <c r="AN230" s="84"/>
      <c r="AO230" s="84"/>
      <c r="AP230" s="89"/>
      <c r="AQ230" s="90"/>
      <c r="AR230" s="84"/>
      <c r="AS230" s="84"/>
    </row>
    <row r="231" spans="1:45" x14ac:dyDescent="0.35">
      <c r="A231" s="88"/>
      <c r="B231" s="84"/>
      <c r="C231" s="84"/>
      <c r="D231" s="84"/>
      <c r="E231" s="84"/>
      <c r="F231" s="84"/>
      <c r="G231" s="84"/>
      <c r="H231" s="84"/>
      <c r="I231" s="84"/>
      <c r="J231" s="84"/>
      <c r="K231" s="88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  <c r="W231" s="84"/>
      <c r="X231" s="84"/>
      <c r="Y231" s="84"/>
      <c r="Z231" s="84"/>
      <c r="AA231" s="84"/>
      <c r="AB231" s="84"/>
      <c r="AC231" s="84"/>
      <c r="AD231" s="84"/>
      <c r="AE231" s="84"/>
      <c r="AF231" s="84"/>
      <c r="AG231" s="84"/>
      <c r="AH231" s="84"/>
      <c r="AI231" s="84"/>
      <c r="AJ231" s="84"/>
      <c r="AK231" s="84"/>
      <c r="AL231" s="84"/>
      <c r="AM231" s="84"/>
      <c r="AN231" s="84"/>
      <c r="AO231" s="84"/>
      <c r="AP231" s="89"/>
      <c r="AQ231" s="90"/>
      <c r="AR231" s="84"/>
      <c r="AS231" s="84"/>
    </row>
    <row r="232" spans="1:45" x14ac:dyDescent="0.35">
      <c r="A232" s="88"/>
      <c r="B232" s="84"/>
      <c r="C232" s="84"/>
      <c r="D232" s="84"/>
      <c r="E232" s="84"/>
      <c r="F232" s="84"/>
      <c r="G232" s="84"/>
      <c r="H232" s="84"/>
      <c r="I232" s="84"/>
      <c r="J232" s="84"/>
      <c r="K232" s="88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  <c r="W232" s="84"/>
      <c r="X232" s="84"/>
      <c r="Y232" s="84"/>
      <c r="Z232" s="84"/>
      <c r="AA232" s="84"/>
      <c r="AB232" s="84"/>
      <c r="AC232" s="84"/>
      <c r="AD232" s="84"/>
      <c r="AE232" s="84"/>
      <c r="AF232" s="84"/>
      <c r="AG232" s="84"/>
      <c r="AH232" s="84"/>
      <c r="AI232" s="84"/>
      <c r="AJ232" s="84"/>
      <c r="AK232" s="84"/>
      <c r="AL232" s="84"/>
      <c r="AM232" s="84"/>
      <c r="AN232" s="84"/>
      <c r="AO232" s="84"/>
      <c r="AP232" s="89"/>
      <c r="AQ232" s="90"/>
      <c r="AR232" s="84"/>
      <c r="AS232" s="84"/>
    </row>
    <row r="233" spans="1:45" x14ac:dyDescent="0.35">
      <c r="A233" s="88"/>
      <c r="B233" s="84"/>
      <c r="C233" s="84"/>
      <c r="D233" s="84"/>
      <c r="E233" s="84"/>
      <c r="F233" s="84"/>
      <c r="G233" s="84"/>
      <c r="H233" s="84"/>
      <c r="I233" s="84"/>
      <c r="J233" s="84"/>
      <c r="K233" s="88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  <c r="W233" s="84"/>
      <c r="X233" s="84"/>
      <c r="Y233" s="84"/>
      <c r="Z233" s="84"/>
      <c r="AA233" s="84"/>
      <c r="AB233" s="84"/>
      <c r="AC233" s="84"/>
      <c r="AD233" s="84"/>
      <c r="AE233" s="84"/>
      <c r="AF233" s="84"/>
      <c r="AG233" s="84"/>
      <c r="AH233" s="84"/>
      <c r="AI233" s="84"/>
      <c r="AJ233" s="84"/>
      <c r="AK233" s="84"/>
      <c r="AL233" s="84"/>
      <c r="AM233" s="84"/>
      <c r="AN233" s="84"/>
      <c r="AO233" s="84"/>
      <c r="AP233" s="89"/>
      <c r="AQ233" s="90"/>
      <c r="AR233" s="84"/>
      <c r="AS233" s="84"/>
    </row>
    <row r="234" spans="1:45" x14ac:dyDescent="0.35">
      <c r="A234" s="88"/>
      <c r="B234" s="84"/>
      <c r="C234" s="84"/>
      <c r="D234" s="84"/>
      <c r="E234" s="84"/>
      <c r="F234" s="84"/>
      <c r="G234" s="84"/>
      <c r="H234" s="84"/>
      <c r="I234" s="84"/>
      <c r="J234" s="84"/>
      <c r="K234" s="88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  <c r="W234" s="84"/>
      <c r="X234" s="84"/>
      <c r="Y234" s="84"/>
      <c r="Z234" s="84"/>
      <c r="AA234" s="84"/>
      <c r="AB234" s="84"/>
      <c r="AC234" s="84"/>
      <c r="AD234" s="84"/>
      <c r="AE234" s="84"/>
      <c r="AF234" s="84"/>
      <c r="AG234" s="84"/>
      <c r="AH234" s="84"/>
      <c r="AI234" s="84"/>
      <c r="AJ234" s="84"/>
      <c r="AK234" s="84"/>
      <c r="AL234" s="84"/>
      <c r="AM234" s="84"/>
      <c r="AN234" s="84"/>
      <c r="AO234" s="84"/>
      <c r="AP234" s="89"/>
      <c r="AQ234" s="90"/>
      <c r="AR234" s="84"/>
      <c r="AS234" s="84"/>
    </row>
    <row r="235" spans="1:45" x14ac:dyDescent="0.35">
      <c r="A235" s="88"/>
      <c r="B235" s="84"/>
      <c r="C235" s="84"/>
      <c r="D235" s="84"/>
      <c r="E235" s="84"/>
      <c r="F235" s="84"/>
      <c r="G235" s="84"/>
      <c r="H235" s="84"/>
      <c r="I235" s="84"/>
      <c r="J235" s="84"/>
      <c r="K235" s="88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  <c r="W235" s="84"/>
      <c r="X235" s="84"/>
      <c r="Y235" s="84"/>
      <c r="Z235" s="84"/>
      <c r="AA235" s="84"/>
      <c r="AB235" s="84"/>
      <c r="AC235" s="84"/>
      <c r="AD235" s="84"/>
      <c r="AE235" s="84"/>
      <c r="AF235" s="84"/>
      <c r="AG235" s="84"/>
      <c r="AH235" s="84"/>
      <c r="AI235" s="84"/>
      <c r="AJ235" s="84"/>
      <c r="AK235" s="84"/>
      <c r="AL235" s="84"/>
      <c r="AM235" s="84"/>
      <c r="AN235" s="84"/>
      <c r="AO235" s="84"/>
      <c r="AP235" s="89"/>
      <c r="AQ235" s="90"/>
      <c r="AR235" s="84"/>
      <c r="AS235" s="84"/>
    </row>
    <row r="236" spans="1:45" x14ac:dyDescent="0.35">
      <c r="A236" s="88"/>
      <c r="B236" s="84"/>
      <c r="C236" s="84"/>
      <c r="D236" s="84"/>
      <c r="E236" s="84"/>
      <c r="F236" s="84"/>
      <c r="G236" s="84"/>
      <c r="H236" s="84"/>
      <c r="I236" s="84"/>
      <c r="J236" s="84"/>
      <c r="K236" s="88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  <c r="W236" s="84"/>
      <c r="X236" s="84"/>
      <c r="Y236" s="84"/>
      <c r="Z236" s="84"/>
      <c r="AA236" s="84"/>
      <c r="AB236" s="84"/>
      <c r="AC236" s="84"/>
      <c r="AD236" s="84"/>
      <c r="AE236" s="84"/>
      <c r="AF236" s="84"/>
      <c r="AG236" s="84"/>
      <c r="AH236" s="84"/>
      <c r="AI236" s="84"/>
      <c r="AJ236" s="84"/>
      <c r="AK236" s="84"/>
      <c r="AL236" s="84"/>
      <c r="AM236" s="84"/>
      <c r="AN236" s="84"/>
      <c r="AO236" s="84"/>
      <c r="AP236" s="89"/>
      <c r="AQ236" s="90"/>
      <c r="AR236" s="84"/>
      <c r="AS236" s="84"/>
    </row>
    <row r="237" spans="1:45" x14ac:dyDescent="0.35">
      <c r="A237" s="88"/>
      <c r="B237" s="84"/>
      <c r="C237" s="84"/>
      <c r="D237" s="84"/>
      <c r="E237" s="84"/>
      <c r="F237" s="84"/>
      <c r="G237" s="84"/>
      <c r="H237" s="84"/>
      <c r="I237" s="84"/>
      <c r="J237" s="84"/>
      <c r="K237" s="88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  <c r="W237" s="84"/>
      <c r="X237" s="84"/>
      <c r="Y237" s="84"/>
      <c r="Z237" s="84"/>
      <c r="AA237" s="84"/>
      <c r="AB237" s="84"/>
      <c r="AC237" s="84"/>
      <c r="AD237" s="84"/>
      <c r="AE237" s="84"/>
      <c r="AF237" s="84"/>
      <c r="AG237" s="84"/>
      <c r="AH237" s="84"/>
      <c r="AI237" s="84"/>
      <c r="AJ237" s="84"/>
      <c r="AK237" s="84"/>
      <c r="AL237" s="84"/>
      <c r="AM237" s="84"/>
      <c r="AN237" s="84"/>
      <c r="AO237" s="84"/>
      <c r="AP237" s="89"/>
      <c r="AQ237" s="90"/>
      <c r="AR237" s="84"/>
      <c r="AS237" s="84"/>
    </row>
    <row r="238" spans="1:45" x14ac:dyDescent="0.35">
      <c r="A238" s="88"/>
      <c r="B238" s="84"/>
      <c r="C238" s="84"/>
      <c r="D238" s="84"/>
      <c r="E238" s="84"/>
      <c r="F238" s="84"/>
      <c r="G238" s="84"/>
      <c r="H238" s="84"/>
      <c r="I238" s="84"/>
      <c r="J238" s="84"/>
      <c r="K238" s="88"/>
      <c r="L238" s="84"/>
      <c r="M238" s="84"/>
      <c r="N238" s="84"/>
      <c r="O238" s="84"/>
      <c r="P238" s="84"/>
      <c r="Q238" s="84"/>
      <c r="R238" s="84"/>
      <c r="S238" s="84"/>
      <c r="T238" s="84"/>
      <c r="U238" s="84"/>
      <c r="V238" s="84"/>
      <c r="W238" s="84"/>
      <c r="X238" s="84"/>
      <c r="Y238" s="84"/>
      <c r="Z238" s="84"/>
      <c r="AA238" s="84"/>
      <c r="AB238" s="84"/>
      <c r="AC238" s="84"/>
      <c r="AD238" s="84"/>
      <c r="AE238" s="84"/>
      <c r="AF238" s="84"/>
      <c r="AG238" s="84"/>
      <c r="AH238" s="84"/>
      <c r="AI238" s="84"/>
      <c r="AJ238" s="84"/>
      <c r="AK238" s="84"/>
      <c r="AL238" s="84"/>
      <c r="AM238" s="84"/>
      <c r="AN238" s="84"/>
      <c r="AO238" s="84"/>
      <c r="AP238" s="89"/>
      <c r="AQ238" s="90"/>
      <c r="AR238" s="84"/>
      <c r="AS238" s="84"/>
    </row>
    <row r="239" spans="1:45" x14ac:dyDescent="0.35">
      <c r="A239" s="88"/>
      <c r="B239" s="84"/>
      <c r="C239" s="84"/>
      <c r="D239" s="84"/>
      <c r="E239" s="84"/>
      <c r="F239" s="84"/>
      <c r="G239" s="84"/>
      <c r="H239" s="84"/>
      <c r="I239" s="84"/>
      <c r="J239" s="84"/>
      <c r="K239" s="88"/>
      <c r="L239" s="84"/>
      <c r="M239" s="84"/>
      <c r="N239" s="84"/>
      <c r="O239" s="84"/>
      <c r="P239" s="84"/>
      <c r="Q239" s="84"/>
      <c r="R239" s="84"/>
      <c r="S239" s="84"/>
      <c r="T239" s="84"/>
      <c r="U239" s="84"/>
      <c r="V239" s="84"/>
      <c r="W239" s="84"/>
      <c r="X239" s="84"/>
      <c r="Y239" s="84"/>
      <c r="Z239" s="84"/>
      <c r="AA239" s="84"/>
      <c r="AB239" s="84"/>
      <c r="AC239" s="84"/>
      <c r="AD239" s="84"/>
      <c r="AE239" s="84"/>
      <c r="AF239" s="84"/>
      <c r="AG239" s="84"/>
      <c r="AH239" s="84"/>
      <c r="AI239" s="84"/>
      <c r="AJ239" s="84"/>
      <c r="AK239" s="84"/>
      <c r="AL239" s="84"/>
      <c r="AM239" s="84"/>
      <c r="AN239" s="84"/>
      <c r="AO239" s="84"/>
      <c r="AP239" s="89"/>
      <c r="AQ239" s="90"/>
      <c r="AR239" s="84"/>
      <c r="AS239" s="84"/>
    </row>
    <row r="240" spans="1:45" x14ac:dyDescent="0.35">
      <c r="A240" s="88"/>
      <c r="B240" s="84"/>
      <c r="C240" s="84"/>
      <c r="D240" s="84"/>
      <c r="E240" s="84"/>
      <c r="F240" s="84"/>
      <c r="G240" s="84"/>
      <c r="H240" s="84"/>
      <c r="I240" s="84"/>
      <c r="J240" s="84"/>
      <c r="K240" s="88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  <c r="AA240" s="84"/>
      <c r="AB240" s="84"/>
      <c r="AC240" s="84"/>
      <c r="AD240" s="84"/>
      <c r="AE240" s="84"/>
      <c r="AF240" s="84"/>
      <c r="AG240" s="84"/>
      <c r="AH240" s="84"/>
      <c r="AI240" s="84"/>
      <c r="AJ240" s="84"/>
      <c r="AK240" s="84"/>
      <c r="AL240" s="84"/>
      <c r="AM240" s="84"/>
      <c r="AN240" s="84"/>
      <c r="AO240" s="84"/>
      <c r="AP240" s="89"/>
      <c r="AQ240" s="90"/>
      <c r="AR240" s="84"/>
      <c r="AS240" s="84"/>
    </row>
    <row r="241" spans="1:45" x14ac:dyDescent="0.35">
      <c r="A241" s="88"/>
      <c r="B241" s="84"/>
      <c r="C241" s="84"/>
      <c r="D241" s="84"/>
      <c r="E241" s="84"/>
      <c r="F241" s="84"/>
      <c r="G241" s="84"/>
      <c r="H241" s="84"/>
      <c r="I241" s="84"/>
      <c r="J241" s="84"/>
      <c r="K241" s="88"/>
      <c r="L241" s="84"/>
      <c r="M241" s="84"/>
      <c r="N241" s="84"/>
      <c r="O241" s="84"/>
      <c r="P241" s="84"/>
      <c r="Q241" s="84"/>
      <c r="R241" s="84"/>
      <c r="S241" s="84"/>
      <c r="T241" s="84"/>
      <c r="U241" s="84"/>
      <c r="V241" s="84"/>
      <c r="W241" s="84"/>
      <c r="X241" s="84"/>
      <c r="Y241" s="84"/>
      <c r="Z241" s="84"/>
      <c r="AA241" s="84"/>
      <c r="AB241" s="84"/>
      <c r="AC241" s="84"/>
      <c r="AD241" s="84"/>
      <c r="AE241" s="84"/>
      <c r="AF241" s="84"/>
      <c r="AG241" s="84"/>
      <c r="AH241" s="84"/>
      <c r="AI241" s="84"/>
      <c r="AJ241" s="84"/>
      <c r="AK241" s="84"/>
      <c r="AL241" s="84"/>
      <c r="AM241" s="84"/>
      <c r="AN241" s="84"/>
      <c r="AO241" s="84"/>
      <c r="AP241" s="89"/>
      <c r="AQ241" s="90"/>
      <c r="AR241" s="84"/>
      <c r="AS241" s="84"/>
    </row>
    <row r="242" spans="1:45" x14ac:dyDescent="0.35">
      <c r="A242" s="88"/>
      <c r="B242" s="84"/>
      <c r="C242" s="84"/>
      <c r="D242" s="84"/>
      <c r="E242" s="84"/>
      <c r="F242" s="84"/>
      <c r="G242" s="84"/>
      <c r="H242" s="84"/>
      <c r="I242" s="84"/>
      <c r="J242" s="84"/>
      <c r="K242" s="88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  <c r="AA242" s="84"/>
      <c r="AB242" s="84"/>
      <c r="AC242" s="84"/>
      <c r="AD242" s="84"/>
      <c r="AE242" s="84"/>
      <c r="AF242" s="84"/>
      <c r="AG242" s="84"/>
      <c r="AH242" s="84"/>
      <c r="AI242" s="84"/>
      <c r="AJ242" s="84"/>
      <c r="AK242" s="84"/>
      <c r="AL242" s="84"/>
      <c r="AM242" s="84"/>
      <c r="AN242" s="84"/>
      <c r="AO242" s="84"/>
      <c r="AP242" s="89"/>
      <c r="AQ242" s="90"/>
      <c r="AR242" s="84"/>
      <c r="AS242" s="84"/>
    </row>
    <row r="243" spans="1:45" x14ac:dyDescent="0.35">
      <c r="A243" s="88"/>
      <c r="B243" s="84"/>
      <c r="C243" s="84"/>
      <c r="D243" s="84"/>
      <c r="E243" s="84"/>
      <c r="F243" s="84"/>
      <c r="G243" s="84"/>
      <c r="H243" s="84"/>
      <c r="I243" s="84"/>
      <c r="J243" s="84"/>
      <c r="K243" s="88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  <c r="AA243" s="84"/>
      <c r="AB243" s="84"/>
      <c r="AC243" s="84"/>
      <c r="AD243" s="84"/>
      <c r="AE243" s="84"/>
      <c r="AF243" s="84"/>
      <c r="AG243" s="84"/>
      <c r="AH243" s="84"/>
      <c r="AI243" s="84"/>
      <c r="AJ243" s="84"/>
      <c r="AK243" s="84"/>
      <c r="AL243" s="84"/>
      <c r="AM243" s="84"/>
      <c r="AN243" s="84"/>
      <c r="AO243" s="84"/>
      <c r="AP243" s="89"/>
      <c r="AQ243" s="90"/>
      <c r="AR243" s="84"/>
      <c r="AS243" s="84"/>
    </row>
    <row r="244" spans="1:45" x14ac:dyDescent="0.35">
      <c r="A244" s="88"/>
      <c r="B244" s="84"/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  <c r="AA244" s="84"/>
      <c r="AB244" s="84"/>
      <c r="AC244" s="84"/>
      <c r="AD244" s="84"/>
      <c r="AE244" s="84"/>
      <c r="AF244" s="84"/>
      <c r="AG244" s="84"/>
      <c r="AH244" s="84"/>
      <c r="AI244" s="84"/>
      <c r="AJ244" s="84"/>
      <c r="AK244" s="84"/>
      <c r="AL244" s="84"/>
      <c r="AM244" s="84"/>
      <c r="AN244" s="84"/>
      <c r="AO244" s="84"/>
      <c r="AP244" s="89"/>
      <c r="AQ244" s="90"/>
      <c r="AR244" s="84"/>
      <c r="AS244" s="84"/>
    </row>
    <row r="245" spans="1:45" x14ac:dyDescent="0.35">
      <c r="A245" s="88"/>
      <c r="B245" s="84"/>
      <c r="C245" s="84"/>
      <c r="D245" s="84"/>
      <c r="E245" s="84"/>
      <c r="F245" s="84"/>
      <c r="G245" s="84"/>
      <c r="H245" s="84"/>
      <c r="I245" s="84"/>
      <c r="J245" s="84"/>
      <c r="K245" s="88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  <c r="AA245" s="84"/>
      <c r="AB245" s="84"/>
      <c r="AC245" s="84"/>
      <c r="AD245" s="84"/>
      <c r="AE245" s="84"/>
      <c r="AF245" s="84"/>
      <c r="AG245" s="84"/>
      <c r="AH245" s="84"/>
      <c r="AI245" s="84"/>
      <c r="AJ245" s="84"/>
      <c r="AK245" s="84"/>
      <c r="AL245" s="84"/>
      <c r="AM245" s="84"/>
      <c r="AN245" s="84"/>
      <c r="AO245" s="84"/>
      <c r="AP245" s="89"/>
      <c r="AQ245" s="90"/>
      <c r="AR245" s="84"/>
      <c r="AS245" s="84"/>
    </row>
    <row r="246" spans="1:45" x14ac:dyDescent="0.35">
      <c r="A246" s="88"/>
      <c r="B246" s="84"/>
      <c r="C246" s="84"/>
      <c r="D246" s="84"/>
      <c r="E246" s="84"/>
      <c r="F246" s="84"/>
      <c r="G246" s="84"/>
      <c r="H246" s="84"/>
      <c r="I246" s="84"/>
      <c r="J246" s="84"/>
      <c r="K246" s="88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  <c r="AA246" s="84"/>
      <c r="AB246" s="84"/>
      <c r="AC246" s="84"/>
      <c r="AD246" s="84"/>
      <c r="AE246" s="84"/>
      <c r="AF246" s="84"/>
      <c r="AG246" s="84"/>
      <c r="AH246" s="84"/>
      <c r="AI246" s="84"/>
      <c r="AJ246" s="84"/>
      <c r="AK246" s="84"/>
      <c r="AL246" s="84"/>
      <c r="AM246" s="84"/>
      <c r="AN246" s="84"/>
      <c r="AO246" s="84"/>
      <c r="AP246" s="89"/>
      <c r="AQ246" s="90"/>
      <c r="AR246" s="84"/>
      <c r="AS246" s="84"/>
    </row>
    <row r="247" spans="1:45" x14ac:dyDescent="0.35">
      <c r="A247" s="88"/>
      <c r="B247" s="84"/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  <c r="AA247" s="84"/>
      <c r="AB247" s="84"/>
      <c r="AC247" s="84"/>
      <c r="AD247" s="84"/>
      <c r="AE247" s="84"/>
      <c r="AF247" s="84"/>
      <c r="AG247" s="84"/>
      <c r="AH247" s="84"/>
      <c r="AI247" s="84"/>
      <c r="AJ247" s="84"/>
      <c r="AK247" s="84"/>
      <c r="AL247" s="84"/>
      <c r="AM247" s="84"/>
      <c r="AN247" s="84"/>
      <c r="AO247" s="84"/>
      <c r="AP247" s="89"/>
      <c r="AQ247" s="90"/>
      <c r="AR247" s="84"/>
      <c r="AS247" s="84"/>
    </row>
    <row r="248" spans="1:45" x14ac:dyDescent="0.35">
      <c r="A248" s="88"/>
      <c r="B248" s="84"/>
      <c r="C248" s="84"/>
      <c r="D248" s="84"/>
      <c r="E248" s="84"/>
      <c r="F248" s="84"/>
      <c r="G248" s="84"/>
      <c r="H248" s="84"/>
      <c r="I248" s="84"/>
      <c r="J248" s="84"/>
      <c r="K248" s="88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  <c r="AA248" s="84"/>
      <c r="AB248" s="84"/>
      <c r="AC248" s="84"/>
      <c r="AD248" s="84"/>
      <c r="AE248" s="84"/>
      <c r="AF248" s="84"/>
      <c r="AG248" s="84"/>
      <c r="AH248" s="84"/>
      <c r="AI248" s="84"/>
      <c r="AJ248" s="84"/>
      <c r="AK248" s="84"/>
      <c r="AL248" s="84"/>
      <c r="AM248" s="84"/>
      <c r="AN248" s="84"/>
      <c r="AO248" s="84"/>
      <c r="AP248" s="89"/>
      <c r="AQ248" s="90"/>
      <c r="AR248" s="84"/>
      <c r="AS248" s="84"/>
    </row>
    <row r="249" spans="1:45" x14ac:dyDescent="0.35">
      <c r="A249" s="88"/>
      <c r="B249" s="84"/>
      <c r="C249" s="84"/>
      <c r="D249" s="84"/>
      <c r="E249" s="84"/>
      <c r="F249" s="84"/>
      <c r="G249" s="84"/>
      <c r="H249" s="84"/>
      <c r="I249" s="84"/>
      <c r="J249" s="84"/>
      <c r="K249" s="88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  <c r="AA249" s="84"/>
      <c r="AB249" s="84"/>
      <c r="AC249" s="84"/>
      <c r="AD249" s="84"/>
      <c r="AE249" s="84"/>
      <c r="AF249" s="84"/>
      <c r="AG249" s="84"/>
      <c r="AH249" s="84"/>
      <c r="AI249" s="84"/>
      <c r="AJ249" s="84"/>
      <c r="AK249" s="84"/>
      <c r="AL249" s="84"/>
      <c r="AM249" s="84"/>
      <c r="AN249" s="84"/>
      <c r="AO249" s="84"/>
      <c r="AP249" s="89"/>
      <c r="AQ249" s="90"/>
      <c r="AR249" s="84"/>
      <c r="AS249" s="84"/>
    </row>
    <row r="250" spans="1:45" x14ac:dyDescent="0.35">
      <c r="A250" s="88"/>
      <c r="B250" s="84"/>
      <c r="C250" s="84"/>
      <c r="D250" s="84"/>
      <c r="E250" s="84"/>
      <c r="F250" s="84"/>
      <c r="G250" s="84"/>
      <c r="H250" s="84"/>
      <c r="I250" s="84"/>
      <c r="J250" s="84"/>
      <c r="K250" s="88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  <c r="W250" s="84"/>
      <c r="X250" s="84"/>
      <c r="Y250" s="84"/>
      <c r="Z250" s="84"/>
      <c r="AA250" s="84"/>
      <c r="AB250" s="84"/>
      <c r="AC250" s="84"/>
      <c r="AD250" s="84"/>
      <c r="AE250" s="84"/>
      <c r="AF250" s="84"/>
      <c r="AG250" s="84"/>
      <c r="AH250" s="84"/>
      <c r="AI250" s="84"/>
      <c r="AJ250" s="84"/>
      <c r="AK250" s="84"/>
      <c r="AL250" s="84"/>
      <c r="AM250" s="84"/>
      <c r="AN250" s="84"/>
      <c r="AO250" s="84"/>
      <c r="AP250" s="89"/>
      <c r="AQ250" s="90"/>
      <c r="AR250" s="84"/>
      <c r="AS250" s="84"/>
    </row>
    <row r="251" spans="1:45" x14ac:dyDescent="0.35">
      <c r="A251" s="88"/>
      <c r="B251" s="84"/>
      <c r="C251" s="84"/>
      <c r="D251" s="84"/>
      <c r="E251" s="84"/>
      <c r="F251" s="84"/>
      <c r="G251" s="84"/>
      <c r="H251" s="84"/>
      <c r="I251" s="84"/>
      <c r="J251" s="84"/>
      <c r="K251" s="88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4"/>
      <c r="AA251" s="84"/>
      <c r="AB251" s="84"/>
      <c r="AC251" s="84"/>
      <c r="AD251" s="84"/>
      <c r="AE251" s="84"/>
      <c r="AF251" s="84"/>
      <c r="AG251" s="84"/>
      <c r="AH251" s="84"/>
      <c r="AI251" s="84"/>
      <c r="AJ251" s="84"/>
      <c r="AK251" s="84"/>
      <c r="AL251" s="84"/>
      <c r="AM251" s="84"/>
      <c r="AN251" s="84"/>
      <c r="AO251" s="84"/>
      <c r="AP251" s="89"/>
      <c r="AQ251" s="90"/>
      <c r="AR251" s="84"/>
      <c r="AS251" s="84"/>
    </row>
    <row r="252" spans="1:45" x14ac:dyDescent="0.35">
      <c r="A252" s="88"/>
      <c r="B252" s="84"/>
      <c r="C252" s="84"/>
      <c r="D252" s="84"/>
      <c r="E252" s="84"/>
      <c r="F252" s="84"/>
      <c r="G252" s="84"/>
      <c r="H252" s="84"/>
      <c r="I252" s="84"/>
      <c r="J252" s="84"/>
      <c r="K252" s="88"/>
      <c r="L252" s="84"/>
      <c r="M252" s="84"/>
      <c r="N252" s="84"/>
      <c r="O252" s="84"/>
      <c r="P252" s="84"/>
      <c r="Q252" s="84"/>
      <c r="R252" s="84"/>
      <c r="S252" s="84"/>
      <c r="T252" s="84"/>
      <c r="U252" s="84"/>
      <c r="V252" s="84"/>
      <c r="W252" s="84"/>
      <c r="X252" s="84"/>
      <c r="Y252" s="84"/>
      <c r="Z252" s="84"/>
      <c r="AA252" s="84"/>
      <c r="AB252" s="84"/>
      <c r="AC252" s="84"/>
      <c r="AD252" s="84"/>
      <c r="AE252" s="84"/>
      <c r="AF252" s="84"/>
      <c r="AG252" s="84"/>
      <c r="AH252" s="84"/>
      <c r="AI252" s="84"/>
      <c r="AJ252" s="84"/>
      <c r="AK252" s="84"/>
      <c r="AL252" s="84"/>
      <c r="AM252" s="84"/>
      <c r="AN252" s="84"/>
      <c r="AO252" s="84"/>
      <c r="AP252" s="89"/>
      <c r="AQ252" s="90"/>
      <c r="AR252" s="84"/>
      <c r="AS252" s="84"/>
    </row>
    <row r="253" spans="1:45" x14ac:dyDescent="0.35">
      <c r="A253" s="88"/>
      <c r="B253" s="84"/>
      <c r="C253" s="84"/>
      <c r="D253" s="84"/>
      <c r="E253" s="84"/>
      <c r="F253" s="84"/>
      <c r="G253" s="84"/>
      <c r="H253" s="84"/>
      <c r="I253" s="84"/>
      <c r="J253" s="84"/>
      <c r="K253" s="88"/>
      <c r="L253" s="84"/>
      <c r="M253" s="84"/>
      <c r="N253" s="84"/>
      <c r="O253" s="84"/>
      <c r="P253" s="84"/>
      <c r="Q253" s="84"/>
      <c r="R253" s="84"/>
      <c r="S253" s="84"/>
      <c r="T253" s="84"/>
      <c r="U253" s="84"/>
      <c r="V253" s="84"/>
      <c r="W253" s="84"/>
      <c r="X253" s="84"/>
      <c r="Y253" s="84"/>
      <c r="Z253" s="84"/>
      <c r="AA253" s="84"/>
      <c r="AB253" s="84"/>
      <c r="AC253" s="84"/>
      <c r="AD253" s="84"/>
      <c r="AE253" s="84"/>
      <c r="AF253" s="84"/>
      <c r="AG253" s="84"/>
      <c r="AH253" s="84"/>
      <c r="AI253" s="84"/>
      <c r="AJ253" s="84"/>
      <c r="AK253" s="84"/>
      <c r="AL253" s="84"/>
      <c r="AM253" s="84"/>
      <c r="AN253" s="84"/>
      <c r="AO253" s="84"/>
      <c r="AP253" s="89"/>
      <c r="AQ253" s="90"/>
      <c r="AR253" s="84"/>
      <c r="AS253" s="84"/>
    </row>
    <row r="254" spans="1:45" x14ac:dyDescent="0.35">
      <c r="A254" s="88"/>
      <c r="B254" s="84"/>
      <c r="C254" s="84"/>
      <c r="D254" s="84"/>
      <c r="E254" s="84"/>
      <c r="F254" s="84"/>
      <c r="G254" s="84"/>
      <c r="H254" s="84"/>
      <c r="I254" s="84"/>
      <c r="J254" s="84"/>
      <c r="K254" s="88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  <c r="W254" s="84"/>
      <c r="X254" s="84"/>
      <c r="Y254" s="84"/>
      <c r="Z254" s="84"/>
      <c r="AA254" s="84"/>
      <c r="AB254" s="84"/>
      <c r="AC254" s="84"/>
      <c r="AD254" s="84"/>
      <c r="AE254" s="84"/>
      <c r="AF254" s="84"/>
      <c r="AG254" s="84"/>
      <c r="AH254" s="84"/>
      <c r="AI254" s="84"/>
      <c r="AJ254" s="84"/>
      <c r="AK254" s="84"/>
      <c r="AL254" s="84"/>
      <c r="AM254" s="84"/>
      <c r="AN254" s="84"/>
      <c r="AO254" s="84"/>
      <c r="AP254" s="89"/>
      <c r="AQ254" s="90"/>
      <c r="AR254" s="84"/>
      <c r="AS254" s="84"/>
    </row>
    <row r="255" spans="1:45" x14ac:dyDescent="0.35">
      <c r="A255" s="88"/>
      <c r="B255" s="84"/>
      <c r="C255" s="84"/>
      <c r="D255" s="84"/>
      <c r="E255" s="84"/>
      <c r="F255" s="84"/>
      <c r="G255" s="84"/>
      <c r="H255" s="84"/>
      <c r="I255" s="84"/>
      <c r="J255" s="84"/>
      <c r="K255" s="88"/>
      <c r="L255" s="84"/>
      <c r="M255" s="84"/>
      <c r="N255" s="84"/>
      <c r="O255" s="84"/>
      <c r="P255" s="84"/>
      <c r="Q255" s="84"/>
      <c r="R255" s="84"/>
      <c r="S255" s="84"/>
      <c r="T255" s="84"/>
      <c r="U255" s="84"/>
      <c r="V255" s="84"/>
      <c r="W255" s="84"/>
      <c r="X255" s="84"/>
      <c r="Y255" s="84"/>
      <c r="Z255" s="84"/>
      <c r="AA255" s="84"/>
      <c r="AB255" s="84"/>
      <c r="AC255" s="84"/>
      <c r="AD255" s="84"/>
      <c r="AE255" s="84"/>
      <c r="AF255" s="84"/>
      <c r="AG255" s="84"/>
      <c r="AH255" s="84"/>
      <c r="AI255" s="84"/>
      <c r="AJ255" s="84"/>
      <c r="AK255" s="84"/>
      <c r="AL255" s="84"/>
      <c r="AM255" s="84"/>
      <c r="AN255" s="84"/>
      <c r="AO255" s="84"/>
      <c r="AP255" s="89"/>
      <c r="AQ255" s="90"/>
      <c r="AR255" s="84"/>
      <c r="AS255" s="84"/>
    </row>
    <row r="256" spans="1:45" x14ac:dyDescent="0.35">
      <c r="A256" s="88"/>
      <c r="B256" s="84"/>
      <c r="C256" s="84"/>
      <c r="D256" s="84"/>
      <c r="E256" s="84"/>
      <c r="F256" s="84"/>
      <c r="G256" s="84"/>
      <c r="H256" s="84"/>
      <c r="I256" s="84"/>
      <c r="J256" s="84"/>
      <c r="K256" s="88"/>
      <c r="L256" s="84"/>
      <c r="M256" s="84"/>
      <c r="N256" s="84"/>
      <c r="O256" s="84"/>
      <c r="P256" s="84"/>
      <c r="Q256" s="84"/>
      <c r="R256" s="84"/>
      <c r="S256" s="84"/>
      <c r="T256" s="84"/>
      <c r="U256" s="84"/>
      <c r="V256" s="84"/>
      <c r="W256" s="84"/>
      <c r="X256" s="84"/>
      <c r="Y256" s="84"/>
      <c r="Z256" s="84"/>
      <c r="AA256" s="84"/>
      <c r="AB256" s="84"/>
      <c r="AC256" s="84"/>
      <c r="AD256" s="84"/>
      <c r="AE256" s="84"/>
      <c r="AF256" s="84"/>
      <c r="AG256" s="84"/>
      <c r="AH256" s="84"/>
      <c r="AI256" s="84"/>
      <c r="AJ256" s="84"/>
      <c r="AK256" s="84"/>
      <c r="AL256" s="84"/>
      <c r="AM256" s="84"/>
      <c r="AN256" s="84"/>
      <c r="AO256" s="84"/>
      <c r="AP256" s="89"/>
      <c r="AQ256" s="90"/>
      <c r="AR256" s="84"/>
      <c r="AS256" s="84"/>
    </row>
    <row r="257" spans="1:45" x14ac:dyDescent="0.35">
      <c r="A257" s="88"/>
      <c r="B257" s="84"/>
      <c r="C257" s="84"/>
      <c r="D257" s="84"/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  <c r="R257" s="84"/>
      <c r="S257" s="84"/>
      <c r="T257" s="84"/>
      <c r="U257" s="84"/>
      <c r="V257" s="84"/>
      <c r="W257" s="84"/>
      <c r="X257" s="84"/>
      <c r="Y257" s="84"/>
      <c r="Z257" s="84"/>
      <c r="AA257" s="84"/>
      <c r="AB257" s="84"/>
      <c r="AC257" s="84"/>
      <c r="AD257" s="84"/>
      <c r="AE257" s="84"/>
      <c r="AF257" s="84"/>
      <c r="AG257" s="84"/>
      <c r="AH257" s="84"/>
      <c r="AI257" s="84"/>
      <c r="AJ257" s="84"/>
      <c r="AK257" s="84"/>
      <c r="AL257" s="84"/>
      <c r="AM257" s="84"/>
      <c r="AN257" s="84"/>
      <c r="AO257" s="84"/>
      <c r="AP257" s="89"/>
      <c r="AQ257" s="90"/>
      <c r="AR257" s="84"/>
      <c r="AS257" s="84"/>
    </row>
    <row r="258" spans="1:45" x14ac:dyDescent="0.35">
      <c r="A258" s="88"/>
      <c r="B258" s="84"/>
      <c r="C258" s="84"/>
      <c r="D258" s="84"/>
      <c r="E258" s="84"/>
      <c r="F258" s="84"/>
      <c r="G258" s="84"/>
      <c r="H258" s="84"/>
      <c r="I258" s="84"/>
      <c r="J258" s="84"/>
      <c r="K258" s="84"/>
      <c r="L258" s="84"/>
      <c r="M258" s="84"/>
      <c r="N258" s="84"/>
      <c r="O258" s="84"/>
      <c r="P258" s="84"/>
      <c r="Q258" s="84"/>
      <c r="R258" s="84"/>
      <c r="S258" s="84"/>
      <c r="T258" s="84"/>
      <c r="U258" s="84"/>
      <c r="V258" s="84"/>
      <c r="W258" s="84"/>
      <c r="X258" s="84"/>
      <c r="Y258" s="84"/>
      <c r="Z258" s="84"/>
      <c r="AA258" s="84"/>
      <c r="AB258" s="84"/>
      <c r="AC258" s="84"/>
      <c r="AD258" s="84"/>
      <c r="AE258" s="84"/>
      <c r="AF258" s="84"/>
      <c r="AG258" s="84"/>
      <c r="AH258" s="84"/>
      <c r="AI258" s="84"/>
      <c r="AJ258" s="84"/>
      <c r="AK258" s="84"/>
      <c r="AL258" s="84"/>
      <c r="AM258" s="84"/>
      <c r="AN258" s="84"/>
      <c r="AO258" s="84"/>
      <c r="AP258" s="89"/>
      <c r="AQ258" s="90"/>
      <c r="AR258" s="84"/>
      <c r="AS258" s="84"/>
    </row>
    <row r="259" spans="1:45" x14ac:dyDescent="0.35">
      <c r="A259" s="88"/>
      <c r="B259" s="84"/>
      <c r="C259" s="84"/>
      <c r="D259" s="84"/>
      <c r="E259" s="84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  <c r="W259" s="84"/>
      <c r="X259" s="84"/>
      <c r="Y259" s="84"/>
      <c r="Z259" s="84"/>
      <c r="AA259" s="84"/>
      <c r="AB259" s="84"/>
      <c r="AC259" s="84"/>
      <c r="AD259" s="84"/>
      <c r="AE259" s="84"/>
      <c r="AF259" s="84"/>
      <c r="AG259" s="84"/>
      <c r="AH259" s="84"/>
      <c r="AI259" s="84"/>
      <c r="AJ259" s="84"/>
      <c r="AK259" s="84"/>
      <c r="AL259" s="84"/>
      <c r="AM259" s="84"/>
      <c r="AN259" s="84"/>
      <c r="AO259" s="84"/>
      <c r="AP259" s="89"/>
      <c r="AQ259" s="90"/>
      <c r="AR259" s="84"/>
      <c r="AS259" s="84"/>
    </row>
    <row r="260" spans="1:45" x14ac:dyDescent="0.35">
      <c r="A260" s="88"/>
      <c r="B260" s="84"/>
      <c r="C260" s="84"/>
      <c r="D260" s="84"/>
      <c r="E260" s="84"/>
      <c r="F260" s="84"/>
      <c r="G260" s="84"/>
      <c r="H260" s="84"/>
      <c r="I260" s="84"/>
      <c r="J260" s="84"/>
      <c r="K260" s="88"/>
      <c r="L260" s="84"/>
      <c r="M260" s="84"/>
      <c r="N260" s="84"/>
      <c r="O260" s="84"/>
      <c r="P260" s="84"/>
      <c r="Q260" s="84"/>
      <c r="R260" s="84"/>
      <c r="S260" s="84"/>
      <c r="T260" s="84"/>
      <c r="U260" s="84"/>
      <c r="V260" s="84"/>
      <c r="W260" s="84"/>
      <c r="X260" s="84"/>
      <c r="Y260" s="84"/>
      <c r="Z260" s="84"/>
      <c r="AA260" s="84"/>
      <c r="AB260" s="84"/>
      <c r="AC260" s="84"/>
      <c r="AD260" s="84"/>
      <c r="AE260" s="84"/>
      <c r="AF260" s="84"/>
      <c r="AG260" s="84"/>
      <c r="AH260" s="84"/>
      <c r="AI260" s="84"/>
      <c r="AJ260" s="84"/>
      <c r="AK260" s="84"/>
      <c r="AL260" s="84"/>
      <c r="AM260" s="84"/>
      <c r="AN260" s="84"/>
      <c r="AO260" s="84"/>
      <c r="AP260" s="89"/>
      <c r="AQ260" s="90"/>
      <c r="AR260" s="84"/>
      <c r="AS260" s="84"/>
    </row>
    <row r="261" spans="1:45" x14ac:dyDescent="0.35">
      <c r="A261" s="88"/>
      <c r="B261" s="84"/>
      <c r="C261" s="84"/>
      <c r="D261" s="84"/>
      <c r="E261" s="84"/>
      <c r="F261" s="84"/>
      <c r="G261" s="84"/>
      <c r="H261" s="84"/>
      <c r="I261" s="84"/>
      <c r="J261" s="84"/>
      <c r="K261" s="88"/>
      <c r="L261" s="84"/>
      <c r="M261" s="84"/>
      <c r="N261" s="84"/>
      <c r="O261" s="84"/>
      <c r="P261" s="84"/>
      <c r="Q261" s="84"/>
      <c r="R261" s="84"/>
      <c r="S261" s="84"/>
      <c r="T261" s="84"/>
      <c r="U261" s="84"/>
      <c r="V261" s="84"/>
      <c r="W261" s="84"/>
      <c r="X261" s="84"/>
      <c r="Y261" s="84"/>
      <c r="Z261" s="84"/>
      <c r="AA261" s="84"/>
      <c r="AB261" s="84"/>
      <c r="AC261" s="84"/>
      <c r="AD261" s="84"/>
      <c r="AE261" s="84"/>
      <c r="AF261" s="84"/>
      <c r="AG261" s="84"/>
      <c r="AH261" s="84"/>
      <c r="AI261" s="84"/>
      <c r="AJ261" s="84"/>
      <c r="AK261" s="84"/>
      <c r="AL261" s="84"/>
      <c r="AM261" s="84"/>
      <c r="AN261" s="84"/>
      <c r="AO261" s="84"/>
      <c r="AP261" s="89"/>
      <c r="AQ261" s="90"/>
      <c r="AR261" s="84"/>
      <c r="AS261" s="84"/>
    </row>
    <row r="262" spans="1:45" x14ac:dyDescent="0.35">
      <c r="A262" s="88"/>
      <c r="B262" s="84"/>
      <c r="C262" s="84"/>
      <c r="D262" s="84"/>
      <c r="E262" s="84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  <c r="W262" s="84"/>
      <c r="X262" s="84"/>
      <c r="Y262" s="84"/>
      <c r="Z262" s="84"/>
      <c r="AA262" s="84"/>
      <c r="AB262" s="84"/>
      <c r="AC262" s="84"/>
      <c r="AD262" s="84"/>
      <c r="AE262" s="84"/>
      <c r="AF262" s="84"/>
      <c r="AG262" s="84"/>
      <c r="AH262" s="84"/>
      <c r="AI262" s="84"/>
      <c r="AJ262" s="84"/>
      <c r="AK262" s="84"/>
      <c r="AL262" s="84"/>
      <c r="AM262" s="84"/>
      <c r="AN262" s="84"/>
      <c r="AO262" s="84"/>
      <c r="AP262" s="89"/>
      <c r="AQ262" s="90"/>
      <c r="AR262" s="84"/>
      <c r="AS262" s="84"/>
    </row>
    <row r="263" spans="1:45" x14ac:dyDescent="0.35">
      <c r="A263" s="88"/>
      <c r="B263" s="84"/>
      <c r="C263" s="84"/>
      <c r="D263" s="84"/>
      <c r="E263" s="84"/>
      <c r="F263" s="84"/>
      <c r="G263" s="84"/>
      <c r="H263" s="84"/>
      <c r="I263" s="84"/>
      <c r="J263" s="84"/>
      <c r="K263" s="88"/>
      <c r="L263" s="84"/>
      <c r="M263" s="84"/>
      <c r="N263" s="84"/>
      <c r="O263" s="84"/>
      <c r="P263" s="84"/>
      <c r="Q263" s="84"/>
      <c r="R263" s="84"/>
      <c r="S263" s="84"/>
      <c r="T263" s="84"/>
      <c r="U263" s="84"/>
      <c r="V263" s="84"/>
      <c r="W263" s="84"/>
      <c r="X263" s="84"/>
      <c r="Y263" s="84"/>
      <c r="Z263" s="84"/>
      <c r="AA263" s="84"/>
      <c r="AB263" s="84"/>
      <c r="AC263" s="84"/>
      <c r="AD263" s="84"/>
      <c r="AE263" s="84"/>
      <c r="AF263" s="84"/>
      <c r="AG263" s="84"/>
      <c r="AH263" s="84"/>
      <c r="AI263" s="84"/>
      <c r="AJ263" s="84"/>
      <c r="AK263" s="84"/>
      <c r="AL263" s="84"/>
      <c r="AM263" s="84"/>
      <c r="AN263" s="84"/>
      <c r="AO263" s="84"/>
      <c r="AP263" s="89"/>
      <c r="AQ263" s="90"/>
      <c r="AR263" s="84"/>
      <c r="AS263" s="84"/>
    </row>
    <row r="264" spans="1:45" x14ac:dyDescent="0.35">
      <c r="A264" s="88"/>
      <c r="B264" s="84"/>
      <c r="C264" s="84"/>
      <c r="D264" s="84"/>
      <c r="E264" s="84"/>
      <c r="F264" s="84"/>
      <c r="G264" s="84"/>
      <c r="H264" s="84"/>
      <c r="I264" s="84"/>
      <c r="J264" s="84"/>
      <c r="K264" s="88"/>
      <c r="L264" s="84"/>
      <c r="M264" s="84"/>
      <c r="N264" s="84"/>
      <c r="O264" s="84"/>
      <c r="P264" s="84"/>
      <c r="Q264" s="84"/>
      <c r="R264" s="84"/>
      <c r="S264" s="84"/>
      <c r="T264" s="84"/>
      <c r="U264" s="84"/>
      <c r="V264" s="84"/>
      <c r="W264" s="84"/>
      <c r="X264" s="84"/>
      <c r="Y264" s="84"/>
      <c r="Z264" s="84"/>
      <c r="AA264" s="84"/>
      <c r="AB264" s="84"/>
      <c r="AC264" s="84"/>
      <c r="AD264" s="84"/>
      <c r="AE264" s="84"/>
      <c r="AF264" s="84"/>
      <c r="AG264" s="84"/>
      <c r="AH264" s="84"/>
      <c r="AI264" s="84"/>
      <c r="AJ264" s="84"/>
      <c r="AK264" s="84"/>
      <c r="AL264" s="84"/>
      <c r="AM264" s="84"/>
      <c r="AN264" s="84"/>
      <c r="AO264" s="84"/>
      <c r="AP264" s="89"/>
      <c r="AQ264" s="90"/>
      <c r="AR264" s="84"/>
      <c r="AS264" s="84"/>
    </row>
    <row r="265" spans="1:45" x14ac:dyDescent="0.35">
      <c r="A265" s="88"/>
      <c r="B265" s="84"/>
      <c r="C265" s="84"/>
      <c r="D265" s="84"/>
      <c r="E265" s="84"/>
      <c r="F265" s="84"/>
      <c r="G265" s="84"/>
      <c r="H265" s="84"/>
      <c r="I265" s="84"/>
      <c r="J265" s="84"/>
      <c r="K265" s="88"/>
      <c r="L265" s="84"/>
      <c r="M265" s="84"/>
      <c r="N265" s="84"/>
      <c r="O265" s="84"/>
      <c r="P265" s="84"/>
      <c r="Q265" s="84"/>
      <c r="R265" s="84"/>
      <c r="S265" s="84"/>
      <c r="T265" s="84"/>
      <c r="U265" s="84"/>
      <c r="V265" s="84"/>
      <c r="W265" s="84"/>
      <c r="X265" s="84"/>
      <c r="Y265" s="84"/>
      <c r="Z265" s="84"/>
      <c r="AA265" s="84"/>
      <c r="AB265" s="84"/>
      <c r="AC265" s="84"/>
      <c r="AD265" s="84"/>
      <c r="AE265" s="84"/>
      <c r="AF265" s="84"/>
      <c r="AG265" s="84"/>
      <c r="AH265" s="84"/>
      <c r="AI265" s="84"/>
      <c r="AJ265" s="84"/>
      <c r="AK265" s="84"/>
      <c r="AL265" s="84"/>
      <c r="AM265" s="84"/>
      <c r="AN265" s="84"/>
      <c r="AO265" s="84"/>
      <c r="AP265" s="89"/>
      <c r="AQ265" s="90"/>
      <c r="AR265" s="84"/>
      <c r="AS265" s="84"/>
    </row>
    <row r="266" spans="1:45" x14ac:dyDescent="0.35">
      <c r="A266" s="88"/>
      <c r="B266" s="84"/>
      <c r="C266" s="84"/>
      <c r="D266" s="84"/>
      <c r="E266" s="84"/>
      <c r="F266" s="84"/>
      <c r="G266" s="84"/>
      <c r="H266" s="84"/>
      <c r="I266" s="84"/>
      <c r="J266" s="84"/>
      <c r="K266" s="84"/>
      <c r="L266" s="84"/>
      <c r="M266" s="84"/>
      <c r="N266" s="84"/>
      <c r="O266" s="84"/>
      <c r="P266" s="84"/>
      <c r="Q266" s="84"/>
      <c r="R266" s="84"/>
      <c r="S266" s="84"/>
      <c r="T266" s="84"/>
      <c r="U266" s="84"/>
      <c r="V266" s="84"/>
      <c r="W266" s="84"/>
      <c r="X266" s="84"/>
      <c r="Y266" s="84"/>
      <c r="Z266" s="84"/>
      <c r="AA266" s="84"/>
      <c r="AB266" s="84"/>
      <c r="AC266" s="84"/>
      <c r="AD266" s="84"/>
      <c r="AE266" s="84"/>
      <c r="AF266" s="84"/>
      <c r="AG266" s="84"/>
      <c r="AH266" s="84"/>
      <c r="AI266" s="84"/>
      <c r="AJ266" s="84"/>
      <c r="AK266" s="84"/>
      <c r="AL266" s="84"/>
      <c r="AM266" s="84"/>
      <c r="AN266" s="84"/>
      <c r="AO266" s="84"/>
      <c r="AP266" s="89"/>
      <c r="AQ266" s="90"/>
      <c r="AR266" s="84"/>
      <c r="AS266" s="84"/>
    </row>
    <row r="267" spans="1:45" x14ac:dyDescent="0.35">
      <c r="A267" s="88"/>
      <c r="B267" s="84"/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  <c r="S267" s="84"/>
      <c r="T267" s="84"/>
      <c r="U267" s="84"/>
      <c r="V267" s="84"/>
      <c r="W267" s="84"/>
      <c r="X267" s="84"/>
      <c r="Y267" s="84"/>
      <c r="Z267" s="84"/>
      <c r="AA267" s="84"/>
      <c r="AB267" s="84"/>
      <c r="AC267" s="84"/>
      <c r="AD267" s="84"/>
      <c r="AE267" s="84"/>
      <c r="AF267" s="84"/>
      <c r="AG267" s="84"/>
      <c r="AH267" s="84"/>
      <c r="AI267" s="84"/>
      <c r="AJ267" s="84"/>
      <c r="AK267" s="84"/>
      <c r="AL267" s="84"/>
      <c r="AM267" s="84"/>
      <c r="AN267" s="84"/>
      <c r="AO267" s="84"/>
      <c r="AP267" s="89"/>
      <c r="AQ267" s="90"/>
      <c r="AR267" s="84"/>
      <c r="AS267" s="84"/>
    </row>
    <row r="268" spans="1:45" x14ac:dyDescent="0.35">
      <c r="A268" s="88"/>
      <c r="B268" s="84"/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  <c r="S268" s="84"/>
      <c r="T268" s="84"/>
      <c r="U268" s="84"/>
      <c r="V268" s="84"/>
      <c r="W268" s="84"/>
      <c r="X268" s="84"/>
      <c r="Y268" s="84"/>
      <c r="Z268" s="84"/>
      <c r="AA268" s="84"/>
      <c r="AB268" s="84"/>
      <c r="AC268" s="84"/>
      <c r="AD268" s="84"/>
      <c r="AE268" s="84"/>
      <c r="AF268" s="84"/>
      <c r="AG268" s="84"/>
      <c r="AH268" s="84"/>
      <c r="AI268" s="84"/>
      <c r="AJ268" s="84"/>
      <c r="AK268" s="84"/>
      <c r="AL268" s="84"/>
      <c r="AM268" s="84"/>
      <c r="AN268" s="84"/>
      <c r="AO268" s="84"/>
      <c r="AP268" s="89"/>
      <c r="AQ268" s="90"/>
      <c r="AR268" s="84"/>
      <c r="AS268" s="84"/>
    </row>
    <row r="269" spans="1:45" x14ac:dyDescent="0.35">
      <c r="A269" s="88"/>
      <c r="B269" s="84"/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  <c r="S269" s="84"/>
      <c r="T269" s="84"/>
      <c r="U269" s="84"/>
      <c r="V269" s="84"/>
      <c r="W269" s="84"/>
      <c r="X269" s="84"/>
      <c r="Y269" s="84"/>
      <c r="Z269" s="84"/>
      <c r="AA269" s="84"/>
      <c r="AB269" s="84"/>
      <c r="AC269" s="84"/>
      <c r="AD269" s="84"/>
      <c r="AE269" s="84"/>
      <c r="AF269" s="84"/>
      <c r="AG269" s="84"/>
      <c r="AH269" s="84"/>
      <c r="AI269" s="84"/>
      <c r="AJ269" s="84"/>
      <c r="AK269" s="84"/>
      <c r="AL269" s="84"/>
      <c r="AM269" s="84"/>
      <c r="AN269" s="84"/>
      <c r="AO269" s="84"/>
      <c r="AP269" s="89"/>
      <c r="AQ269" s="90"/>
      <c r="AR269" s="84"/>
      <c r="AS269" s="84"/>
    </row>
    <row r="270" spans="1:45" x14ac:dyDescent="0.35">
      <c r="A270" s="88"/>
      <c r="B270" s="84"/>
      <c r="C270" s="84"/>
      <c r="D270" s="84"/>
      <c r="E270" s="84"/>
      <c r="F270" s="84"/>
      <c r="G270" s="84"/>
      <c r="H270" s="84"/>
      <c r="I270" s="84"/>
      <c r="J270" s="84"/>
      <c r="K270" s="88"/>
      <c r="L270" s="84"/>
      <c r="M270" s="84"/>
      <c r="N270" s="84"/>
      <c r="O270" s="84"/>
      <c r="P270" s="84"/>
      <c r="Q270" s="84"/>
      <c r="R270" s="84"/>
      <c r="S270" s="84"/>
      <c r="T270" s="84"/>
      <c r="U270" s="84"/>
      <c r="V270" s="84"/>
      <c r="W270" s="84"/>
      <c r="X270" s="84"/>
      <c r="Y270" s="84"/>
      <c r="Z270" s="84"/>
      <c r="AA270" s="84"/>
      <c r="AB270" s="84"/>
      <c r="AC270" s="84"/>
      <c r="AD270" s="84"/>
      <c r="AE270" s="84"/>
      <c r="AF270" s="84"/>
      <c r="AG270" s="84"/>
      <c r="AH270" s="84"/>
      <c r="AI270" s="84"/>
      <c r="AJ270" s="84"/>
      <c r="AK270" s="84"/>
      <c r="AL270" s="84"/>
      <c r="AM270" s="84"/>
      <c r="AN270" s="84"/>
      <c r="AO270" s="84"/>
      <c r="AP270" s="89"/>
      <c r="AQ270" s="90"/>
      <c r="AR270" s="84"/>
      <c r="AS270" s="84"/>
    </row>
    <row r="271" spans="1:45" x14ac:dyDescent="0.35">
      <c r="A271" s="88"/>
      <c r="B271" s="84"/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  <c r="S271" s="84"/>
      <c r="T271" s="84"/>
      <c r="U271" s="84"/>
      <c r="V271" s="84"/>
      <c r="W271" s="84"/>
      <c r="X271" s="84"/>
      <c r="Y271" s="84"/>
      <c r="Z271" s="84"/>
      <c r="AA271" s="84"/>
      <c r="AB271" s="84"/>
      <c r="AC271" s="84"/>
      <c r="AD271" s="84"/>
      <c r="AE271" s="84"/>
      <c r="AF271" s="84"/>
      <c r="AG271" s="84"/>
      <c r="AH271" s="84"/>
      <c r="AI271" s="84"/>
      <c r="AJ271" s="84"/>
      <c r="AK271" s="84"/>
      <c r="AL271" s="84"/>
      <c r="AM271" s="84"/>
      <c r="AN271" s="84"/>
      <c r="AO271" s="84"/>
      <c r="AP271" s="89"/>
      <c r="AQ271" s="90"/>
      <c r="AR271" s="84"/>
      <c r="AS271" s="84"/>
    </row>
    <row r="272" spans="1:45" x14ac:dyDescent="0.35">
      <c r="A272" s="88"/>
      <c r="B272" s="84"/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  <c r="S272" s="84"/>
      <c r="T272" s="84"/>
      <c r="U272" s="84"/>
      <c r="V272" s="84"/>
      <c r="W272" s="84"/>
      <c r="X272" s="84"/>
      <c r="Y272" s="84"/>
      <c r="Z272" s="84"/>
      <c r="AA272" s="84"/>
      <c r="AB272" s="84"/>
      <c r="AC272" s="84"/>
      <c r="AD272" s="84"/>
      <c r="AE272" s="84"/>
      <c r="AF272" s="84"/>
      <c r="AG272" s="84"/>
      <c r="AH272" s="84"/>
      <c r="AI272" s="84"/>
      <c r="AJ272" s="84"/>
      <c r="AK272" s="84"/>
      <c r="AL272" s="84"/>
      <c r="AM272" s="84"/>
      <c r="AN272" s="84"/>
      <c r="AO272" s="84"/>
      <c r="AP272" s="89"/>
      <c r="AQ272" s="90"/>
      <c r="AR272" s="84"/>
      <c r="AS272" s="84"/>
    </row>
    <row r="273" spans="1:45" x14ac:dyDescent="0.35">
      <c r="A273" s="88"/>
      <c r="B273" s="84"/>
      <c r="C273" s="84"/>
      <c r="D273" s="84"/>
      <c r="E273" s="84"/>
      <c r="F273" s="84"/>
      <c r="G273" s="84"/>
      <c r="H273" s="84"/>
      <c r="I273" s="84"/>
      <c r="J273" s="84"/>
      <c r="K273" s="88"/>
      <c r="L273" s="84"/>
      <c r="M273" s="84"/>
      <c r="N273" s="84"/>
      <c r="O273" s="84"/>
      <c r="P273" s="84"/>
      <c r="Q273" s="84"/>
      <c r="R273" s="84"/>
      <c r="S273" s="84"/>
      <c r="T273" s="84"/>
      <c r="U273" s="84"/>
      <c r="V273" s="84"/>
      <c r="W273" s="84"/>
      <c r="X273" s="84"/>
      <c r="Y273" s="84"/>
      <c r="Z273" s="84"/>
      <c r="AA273" s="84"/>
      <c r="AB273" s="84"/>
      <c r="AC273" s="84"/>
      <c r="AD273" s="84"/>
      <c r="AE273" s="84"/>
      <c r="AF273" s="84"/>
      <c r="AG273" s="84"/>
      <c r="AH273" s="84"/>
      <c r="AI273" s="84"/>
      <c r="AJ273" s="84"/>
      <c r="AK273" s="84"/>
      <c r="AL273" s="84"/>
      <c r="AM273" s="84"/>
      <c r="AN273" s="84"/>
      <c r="AO273" s="84"/>
      <c r="AP273" s="89"/>
      <c r="AQ273" s="90"/>
      <c r="AR273" s="84"/>
      <c r="AS273" s="84"/>
    </row>
    <row r="274" spans="1:45" x14ac:dyDescent="0.35">
      <c r="A274" s="88"/>
      <c r="B274" s="84"/>
      <c r="C274" s="84"/>
      <c r="D274" s="84"/>
      <c r="E274" s="84"/>
      <c r="F274" s="84"/>
      <c r="G274" s="84"/>
      <c r="H274" s="84"/>
      <c r="I274" s="84"/>
      <c r="J274" s="84"/>
      <c r="K274" s="88"/>
      <c r="L274" s="84"/>
      <c r="M274" s="84"/>
      <c r="N274" s="84"/>
      <c r="O274" s="84"/>
      <c r="P274" s="84"/>
      <c r="Q274" s="84"/>
      <c r="R274" s="84"/>
      <c r="S274" s="84"/>
      <c r="T274" s="84"/>
      <c r="U274" s="84"/>
      <c r="V274" s="84"/>
      <c r="W274" s="84"/>
      <c r="X274" s="84"/>
      <c r="Y274" s="84"/>
      <c r="Z274" s="84"/>
      <c r="AA274" s="84"/>
      <c r="AB274" s="84"/>
      <c r="AC274" s="84"/>
      <c r="AD274" s="84"/>
      <c r="AE274" s="84"/>
      <c r="AF274" s="84"/>
      <c r="AG274" s="84"/>
      <c r="AH274" s="84"/>
      <c r="AI274" s="84"/>
      <c r="AJ274" s="84"/>
      <c r="AK274" s="84"/>
      <c r="AL274" s="84"/>
      <c r="AM274" s="84"/>
      <c r="AN274" s="84"/>
      <c r="AO274" s="84"/>
      <c r="AP274" s="89"/>
      <c r="AQ274" s="90"/>
      <c r="AR274" s="84"/>
      <c r="AS274" s="84"/>
    </row>
    <row r="275" spans="1:45" x14ac:dyDescent="0.35">
      <c r="A275" s="88"/>
      <c r="B275" s="84"/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  <c r="R275" s="84"/>
      <c r="S275" s="84"/>
      <c r="T275" s="84"/>
      <c r="U275" s="84"/>
      <c r="V275" s="84"/>
      <c r="W275" s="84"/>
      <c r="X275" s="84"/>
      <c r="Y275" s="84"/>
      <c r="Z275" s="84"/>
      <c r="AA275" s="84"/>
      <c r="AB275" s="84"/>
      <c r="AC275" s="84"/>
      <c r="AD275" s="84"/>
      <c r="AE275" s="84"/>
      <c r="AF275" s="84"/>
      <c r="AG275" s="84"/>
      <c r="AH275" s="84"/>
      <c r="AI275" s="84"/>
      <c r="AJ275" s="84"/>
      <c r="AK275" s="84"/>
      <c r="AL275" s="84"/>
      <c r="AM275" s="84"/>
      <c r="AN275" s="84"/>
      <c r="AO275" s="84"/>
      <c r="AP275" s="89"/>
      <c r="AQ275" s="90"/>
      <c r="AR275" s="84"/>
      <c r="AS275" s="84"/>
    </row>
    <row r="276" spans="1:45" x14ac:dyDescent="0.35">
      <c r="A276" s="88"/>
      <c r="B276" s="84"/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4"/>
      <c r="AA276" s="84"/>
      <c r="AB276" s="84"/>
      <c r="AC276" s="84"/>
      <c r="AD276" s="84"/>
      <c r="AE276" s="84"/>
      <c r="AF276" s="84"/>
      <c r="AG276" s="84"/>
      <c r="AH276" s="84"/>
      <c r="AI276" s="84"/>
      <c r="AJ276" s="84"/>
      <c r="AK276" s="84"/>
      <c r="AL276" s="84"/>
      <c r="AM276" s="84"/>
      <c r="AN276" s="84"/>
      <c r="AO276" s="84"/>
      <c r="AP276" s="89"/>
      <c r="AQ276" s="90"/>
      <c r="AR276" s="84"/>
      <c r="AS276" s="84"/>
    </row>
    <row r="277" spans="1:45" x14ac:dyDescent="0.35">
      <c r="A277" s="88"/>
      <c r="B277" s="84"/>
      <c r="C277" s="84"/>
      <c r="D277" s="84"/>
      <c r="E277" s="84"/>
      <c r="F277" s="84"/>
      <c r="G277" s="84"/>
      <c r="H277" s="84"/>
      <c r="I277" s="84"/>
      <c r="J277" s="84"/>
      <c r="K277" s="88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  <c r="AA277" s="84"/>
      <c r="AB277" s="84"/>
      <c r="AC277" s="84"/>
      <c r="AD277" s="84"/>
      <c r="AE277" s="84"/>
      <c r="AF277" s="84"/>
      <c r="AG277" s="84"/>
      <c r="AH277" s="84"/>
      <c r="AI277" s="84"/>
      <c r="AJ277" s="84"/>
      <c r="AK277" s="84"/>
      <c r="AL277" s="84"/>
      <c r="AM277" s="84"/>
      <c r="AN277" s="84"/>
      <c r="AO277" s="84"/>
      <c r="AP277" s="89"/>
      <c r="AQ277" s="90"/>
      <c r="AR277" s="84"/>
      <c r="AS277" s="84"/>
    </row>
    <row r="278" spans="1:45" x14ac:dyDescent="0.35">
      <c r="A278" s="88"/>
      <c r="B278" s="84"/>
      <c r="C278" s="84"/>
      <c r="D278" s="84"/>
      <c r="E278" s="84"/>
      <c r="F278" s="84"/>
      <c r="G278" s="84"/>
      <c r="H278" s="84"/>
      <c r="I278" s="84"/>
      <c r="J278" s="84"/>
      <c r="K278" s="88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  <c r="AA278" s="84"/>
      <c r="AB278" s="84"/>
      <c r="AC278" s="84"/>
      <c r="AD278" s="84"/>
      <c r="AE278" s="84"/>
      <c r="AF278" s="84"/>
      <c r="AG278" s="84"/>
      <c r="AH278" s="84"/>
      <c r="AI278" s="84"/>
      <c r="AJ278" s="84"/>
      <c r="AK278" s="84"/>
      <c r="AL278" s="84"/>
      <c r="AM278" s="84"/>
      <c r="AN278" s="84"/>
      <c r="AO278" s="84"/>
      <c r="AP278" s="89"/>
      <c r="AQ278" s="90"/>
      <c r="AR278" s="84"/>
      <c r="AS278" s="84"/>
    </row>
    <row r="279" spans="1:45" x14ac:dyDescent="0.35">
      <c r="A279" s="88"/>
      <c r="B279" s="84"/>
      <c r="C279" s="84"/>
      <c r="D279" s="84"/>
      <c r="E279" s="84"/>
      <c r="F279" s="84"/>
      <c r="G279" s="84"/>
      <c r="H279" s="84"/>
      <c r="I279" s="84"/>
      <c r="J279" s="84"/>
      <c r="K279" s="88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4"/>
      <c r="AF279" s="84"/>
      <c r="AG279" s="84"/>
      <c r="AH279" s="84"/>
      <c r="AI279" s="84"/>
      <c r="AJ279" s="84"/>
      <c r="AK279" s="84"/>
      <c r="AL279" s="84"/>
      <c r="AM279" s="84"/>
      <c r="AN279" s="84"/>
      <c r="AO279" s="84"/>
      <c r="AP279" s="89"/>
      <c r="AQ279" s="90"/>
      <c r="AR279" s="84"/>
      <c r="AS279" s="84"/>
    </row>
    <row r="280" spans="1:45" x14ac:dyDescent="0.35">
      <c r="A280" s="88"/>
      <c r="B280" s="84"/>
      <c r="C280" s="84"/>
      <c r="D280" s="84"/>
      <c r="E280" s="84"/>
      <c r="F280" s="84"/>
      <c r="G280" s="84"/>
      <c r="H280" s="84"/>
      <c r="I280" s="84"/>
      <c r="J280" s="84"/>
      <c r="K280" s="88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  <c r="AA280" s="84"/>
      <c r="AB280" s="84"/>
      <c r="AC280" s="84"/>
      <c r="AD280" s="84"/>
      <c r="AE280" s="84"/>
      <c r="AF280" s="84"/>
      <c r="AG280" s="84"/>
      <c r="AH280" s="84"/>
      <c r="AI280" s="84"/>
      <c r="AJ280" s="84"/>
      <c r="AK280" s="84"/>
      <c r="AL280" s="84"/>
      <c r="AM280" s="84"/>
      <c r="AN280" s="84"/>
      <c r="AO280" s="84"/>
      <c r="AP280" s="89"/>
      <c r="AQ280" s="90"/>
      <c r="AR280" s="84"/>
      <c r="AS280" s="84"/>
    </row>
    <row r="281" spans="1:45" x14ac:dyDescent="0.35">
      <c r="A281" s="88"/>
      <c r="B281" s="84"/>
      <c r="C281" s="84"/>
      <c r="D281" s="84"/>
      <c r="E281" s="84"/>
      <c r="F281" s="84"/>
      <c r="G281" s="84"/>
      <c r="H281" s="84"/>
      <c r="I281" s="84"/>
      <c r="J281" s="84"/>
      <c r="K281" s="88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  <c r="AA281" s="84"/>
      <c r="AB281" s="84"/>
      <c r="AC281" s="84"/>
      <c r="AD281" s="84"/>
      <c r="AE281" s="84"/>
      <c r="AF281" s="84"/>
      <c r="AG281" s="84"/>
      <c r="AH281" s="84"/>
      <c r="AI281" s="84"/>
      <c r="AJ281" s="84"/>
      <c r="AK281" s="84"/>
      <c r="AL281" s="84"/>
      <c r="AM281" s="84"/>
      <c r="AN281" s="84"/>
      <c r="AO281" s="84"/>
      <c r="AP281" s="89"/>
      <c r="AQ281" s="90"/>
      <c r="AR281" s="84"/>
      <c r="AS281" s="84"/>
    </row>
    <row r="282" spans="1:45" x14ac:dyDescent="0.35">
      <c r="A282" s="88"/>
      <c r="B282" s="84"/>
      <c r="C282" s="84"/>
      <c r="D282" s="84"/>
      <c r="E282" s="84"/>
      <c r="F282" s="84"/>
      <c r="G282" s="84"/>
      <c r="H282" s="84"/>
      <c r="I282" s="84"/>
      <c r="J282" s="84"/>
      <c r="K282" s="88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  <c r="AA282" s="84"/>
      <c r="AB282" s="84"/>
      <c r="AC282" s="84"/>
      <c r="AD282" s="84"/>
      <c r="AE282" s="84"/>
      <c r="AF282" s="84"/>
      <c r="AG282" s="84"/>
      <c r="AH282" s="84"/>
      <c r="AI282" s="84"/>
      <c r="AJ282" s="84"/>
      <c r="AK282" s="84"/>
      <c r="AL282" s="84"/>
      <c r="AM282" s="84"/>
      <c r="AN282" s="84"/>
      <c r="AO282" s="84"/>
      <c r="AP282" s="89"/>
      <c r="AQ282" s="90"/>
      <c r="AR282" s="84"/>
      <c r="AS282" s="84"/>
    </row>
    <row r="283" spans="1:45" x14ac:dyDescent="0.35">
      <c r="A283" s="88"/>
      <c r="B283" s="84"/>
      <c r="C283" s="84"/>
      <c r="D283" s="84"/>
      <c r="E283" s="84"/>
      <c r="F283" s="84"/>
      <c r="G283" s="84"/>
      <c r="H283" s="84"/>
      <c r="I283" s="84"/>
      <c r="J283" s="84"/>
      <c r="K283" s="88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  <c r="AA283" s="84"/>
      <c r="AB283" s="84"/>
      <c r="AC283" s="84"/>
      <c r="AD283" s="84"/>
      <c r="AE283" s="84"/>
      <c r="AF283" s="84"/>
      <c r="AG283" s="84"/>
      <c r="AH283" s="84"/>
      <c r="AI283" s="84"/>
      <c r="AJ283" s="84"/>
      <c r="AK283" s="84"/>
      <c r="AL283" s="84"/>
      <c r="AM283" s="84"/>
      <c r="AN283" s="84"/>
      <c r="AO283" s="84"/>
      <c r="AP283" s="89"/>
      <c r="AQ283" s="90"/>
      <c r="AR283" s="84"/>
      <c r="AS283" s="84"/>
    </row>
    <row r="284" spans="1:45" x14ac:dyDescent="0.35">
      <c r="A284" s="88"/>
      <c r="B284" s="84"/>
      <c r="C284" s="84"/>
      <c r="D284" s="84"/>
      <c r="E284" s="84"/>
      <c r="F284" s="84"/>
      <c r="G284" s="84"/>
      <c r="H284" s="84"/>
      <c r="I284" s="84"/>
      <c r="J284" s="84"/>
      <c r="K284" s="88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  <c r="AA284" s="84"/>
      <c r="AB284" s="84"/>
      <c r="AC284" s="84"/>
      <c r="AD284" s="84"/>
      <c r="AE284" s="84"/>
      <c r="AF284" s="84"/>
      <c r="AG284" s="84"/>
      <c r="AH284" s="84"/>
      <c r="AI284" s="84"/>
      <c r="AJ284" s="84"/>
      <c r="AK284" s="84"/>
      <c r="AL284" s="84"/>
      <c r="AM284" s="84"/>
      <c r="AN284" s="84"/>
      <c r="AO284" s="84"/>
      <c r="AP284" s="89"/>
      <c r="AQ284" s="90"/>
      <c r="AR284" s="84"/>
      <c r="AS284" s="84"/>
    </row>
    <row r="285" spans="1:45" x14ac:dyDescent="0.35">
      <c r="A285" s="88"/>
      <c r="B285" s="84"/>
      <c r="C285" s="84"/>
      <c r="D285" s="84"/>
      <c r="E285" s="84"/>
      <c r="F285" s="84"/>
      <c r="G285" s="84"/>
      <c r="H285" s="84"/>
      <c r="I285" s="84"/>
      <c r="J285" s="84"/>
      <c r="K285" s="88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  <c r="AA285" s="84"/>
      <c r="AB285" s="84"/>
      <c r="AC285" s="84"/>
      <c r="AD285" s="84"/>
      <c r="AE285" s="84"/>
      <c r="AF285" s="84"/>
      <c r="AG285" s="84"/>
      <c r="AH285" s="84"/>
      <c r="AI285" s="84"/>
      <c r="AJ285" s="84"/>
      <c r="AK285" s="84"/>
      <c r="AL285" s="84"/>
      <c r="AM285" s="84"/>
      <c r="AN285" s="84"/>
      <c r="AO285" s="84"/>
      <c r="AP285" s="89"/>
      <c r="AQ285" s="90"/>
      <c r="AR285" s="84"/>
      <c r="AS285" s="84"/>
    </row>
    <row r="286" spans="1:45" x14ac:dyDescent="0.35">
      <c r="A286" s="88"/>
      <c r="B286" s="84"/>
      <c r="C286" s="84"/>
      <c r="D286" s="84"/>
      <c r="E286" s="84"/>
      <c r="F286" s="84"/>
      <c r="G286" s="84"/>
      <c r="H286" s="84"/>
      <c r="I286" s="84"/>
      <c r="J286" s="84"/>
      <c r="K286" s="88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  <c r="AA286" s="84"/>
      <c r="AB286" s="84"/>
      <c r="AC286" s="84"/>
      <c r="AD286" s="84"/>
      <c r="AE286" s="84"/>
      <c r="AF286" s="84"/>
      <c r="AG286" s="84"/>
      <c r="AH286" s="84"/>
      <c r="AI286" s="84"/>
      <c r="AJ286" s="84"/>
      <c r="AK286" s="84"/>
      <c r="AL286" s="84"/>
      <c r="AM286" s="84"/>
      <c r="AN286" s="84"/>
      <c r="AO286" s="84"/>
      <c r="AP286" s="89"/>
      <c r="AQ286" s="90"/>
      <c r="AR286" s="84"/>
      <c r="AS286" s="84"/>
    </row>
    <row r="287" spans="1:45" x14ac:dyDescent="0.35">
      <c r="A287" s="88"/>
      <c r="B287" s="84"/>
      <c r="C287" s="84"/>
      <c r="D287" s="84"/>
      <c r="E287" s="84"/>
      <c r="F287" s="84"/>
      <c r="G287" s="84"/>
      <c r="H287" s="84"/>
      <c r="I287" s="84"/>
      <c r="J287" s="84"/>
      <c r="K287" s="88"/>
      <c r="L287" s="84"/>
      <c r="M287" s="84"/>
      <c r="N287" s="84"/>
      <c r="O287" s="84"/>
      <c r="P287" s="84"/>
      <c r="Q287" s="84"/>
      <c r="R287" s="84"/>
      <c r="S287" s="84"/>
      <c r="T287" s="84"/>
      <c r="U287" s="84"/>
      <c r="V287" s="84"/>
      <c r="W287" s="84"/>
      <c r="X287" s="84"/>
      <c r="Y287" s="84"/>
      <c r="Z287" s="84"/>
      <c r="AA287" s="84"/>
      <c r="AB287" s="84"/>
      <c r="AC287" s="84"/>
      <c r="AD287" s="84"/>
      <c r="AE287" s="84"/>
      <c r="AF287" s="84"/>
      <c r="AG287" s="84"/>
      <c r="AH287" s="84"/>
      <c r="AI287" s="84"/>
      <c r="AJ287" s="84"/>
      <c r="AK287" s="84"/>
      <c r="AL287" s="84"/>
      <c r="AM287" s="84"/>
      <c r="AN287" s="84"/>
      <c r="AO287" s="84"/>
      <c r="AP287" s="89"/>
      <c r="AQ287" s="90"/>
      <c r="AR287" s="84"/>
      <c r="AS287" s="84"/>
    </row>
    <row r="288" spans="1:45" x14ac:dyDescent="0.35">
      <c r="A288" s="88"/>
      <c r="B288" s="84"/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  <c r="S288" s="84"/>
      <c r="T288" s="84"/>
      <c r="U288" s="84"/>
      <c r="V288" s="84"/>
      <c r="W288" s="84"/>
      <c r="X288" s="84"/>
      <c r="Y288" s="84"/>
      <c r="Z288" s="84"/>
      <c r="AA288" s="84"/>
      <c r="AB288" s="84"/>
      <c r="AC288" s="84"/>
      <c r="AD288" s="84"/>
      <c r="AE288" s="84"/>
      <c r="AF288" s="84"/>
      <c r="AG288" s="84"/>
      <c r="AH288" s="84"/>
      <c r="AI288" s="84"/>
      <c r="AJ288" s="84"/>
      <c r="AK288" s="84"/>
      <c r="AL288" s="84"/>
      <c r="AM288" s="84"/>
      <c r="AN288" s="84"/>
      <c r="AO288" s="84"/>
      <c r="AP288" s="89"/>
      <c r="AQ288" s="90"/>
      <c r="AR288" s="84"/>
      <c r="AS288" s="84"/>
    </row>
    <row r="289" spans="1:45" x14ac:dyDescent="0.35">
      <c r="A289" s="88"/>
      <c r="B289" s="84"/>
      <c r="C289" s="84"/>
      <c r="D289" s="84"/>
      <c r="E289" s="84"/>
      <c r="F289" s="84"/>
      <c r="G289" s="84"/>
      <c r="H289" s="84"/>
      <c r="I289" s="84"/>
      <c r="J289" s="84"/>
      <c r="K289" s="88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4"/>
      <c r="AA289" s="84"/>
      <c r="AB289" s="84"/>
      <c r="AC289" s="84"/>
      <c r="AD289" s="84"/>
      <c r="AE289" s="84"/>
      <c r="AF289" s="84"/>
      <c r="AG289" s="84"/>
      <c r="AH289" s="84"/>
      <c r="AI289" s="84"/>
      <c r="AJ289" s="84"/>
      <c r="AK289" s="84"/>
      <c r="AL289" s="84"/>
      <c r="AM289" s="84"/>
      <c r="AN289" s="84"/>
      <c r="AO289" s="84"/>
      <c r="AP289" s="89"/>
      <c r="AQ289" s="90"/>
      <c r="AR289" s="84"/>
      <c r="AS289" s="84"/>
    </row>
    <row r="290" spans="1:45" x14ac:dyDescent="0.35">
      <c r="A290" s="88"/>
      <c r="B290" s="84"/>
      <c r="C290" s="84"/>
      <c r="D290" s="84"/>
      <c r="E290" s="84"/>
      <c r="F290" s="84"/>
      <c r="G290" s="84"/>
      <c r="H290" s="84"/>
      <c r="I290" s="84"/>
      <c r="J290" s="84"/>
      <c r="K290" s="88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  <c r="W290" s="84"/>
      <c r="X290" s="84"/>
      <c r="Y290" s="84"/>
      <c r="Z290" s="84"/>
      <c r="AA290" s="84"/>
      <c r="AB290" s="84"/>
      <c r="AC290" s="84"/>
      <c r="AD290" s="84"/>
      <c r="AE290" s="84"/>
      <c r="AF290" s="84"/>
      <c r="AG290" s="84"/>
      <c r="AH290" s="84"/>
      <c r="AI290" s="84"/>
      <c r="AJ290" s="84"/>
      <c r="AK290" s="84"/>
      <c r="AL290" s="84"/>
      <c r="AM290" s="84"/>
      <c r="AN290" s="84"/>
      <c r="AO290" s="84"/>
      <c r="AP290" s="89"/>
      <c r="AQ290" s="90"/>
      <c r="AR290" s="84"/>
      <c r="AS290" s="84"/>
    </row>
    <row r="291" spans="1:45" x14ac:dyDescent="0.35">
      <c r="A291" s="88"/>
      <c r="B291" s="84"/>
      <c r="C291" s="84"/>
      <c r="D291" s="84"/>
      <c r="E291" s="84"/>
      <c r="F291" s="84"/>
      <c r="G291" s="84"/>
      <c r="H291" s="84"/>
      <c r="I291" s="84"/>
      <c r="J291" s="84"/>
      <c r="K291" s="88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  <c r="W291" s="84"/>
      <c r="X291" s="84"/>
      <c r="Y291" s="84"/>
      <c r="Z291" s="84"/>
      <c r="AA291" s="84"/>
      <c r="AB291" s="84"/>
      <c r="AC291" s="84"/>
      <c r="AD291" s="84"/>
      <c r="AE291" s="84"/>
      <c r="AF291" s="84"/>
      <c r="AG291" s="84"/>
      <c r="AH291" s="84"/>
      <c r="AI291" s="84"/>
      <c r="AJ291" s="84"/>
      <c r="AK291" s="84"/>
      <c r="AL291" s="84"/>
      <c r="AM291" s="84"/>
      <c r="AN291" s="84"/>
      <c r="AO291" s="84"/>
      <c r="AP291" s="89"/>
      <c r="AQ291" s="90"/>
      <c r="AR291" s="84"/>
      <c r="AS291" s="84"/>
    </row>
    <row r="292" spans="1:45" x14ac:dyDescent="0.35">
      <c r="A292" s="88"/>
      <c r="B292" s="84"/>
      <c r="C292" s="84"/>
      <c r="D292" s="84"/>
      <c r="E292" s="84"/>
      <c r="F292" s="84"/>
      <c r="G292" s="84"/>
      <c r="H292" s="84"/>
      <c r="I292" s="84"/>
      <c r="J292" s="84"/>
      <c r="K292" s="88"/>
      <c r="L292" s="84"/>
      <c r="M292" s="84"/>
      <c r="N292" s="84"/>
      <c r="O292" s="84"/>
      <c r="P292" s="84"/>
      <c r="Q292" s="84"/>
      <c r="R292" s="84"/>
      <c r="S292" s="84"/>
      <c r="T292" s="84"/>
      <c r="U292" s="84"/>
      <c r="V292" s="84"/>
      <c r="W292" s="84"/>
      <c r="X292" s="84"/>
      <c r="Y292" s="84"/>
      <c r="Z292" s="84"/>
      <c r="AA292" s="84"/>
      <c r="AB292" s="84"/>
      <c r="AC292" s="84"/>
      <c r="AD292" s="84"/>
      <c r="AE292" s="84"/>
      <c r="AF292" s="84"/>
      <c r="AG292" s="84"/>
      <c r="AH292" s="84"/>
      <c r="AI292" s="84"/>
      <c r="AJ292" s="84"/>
      <c r="AK292" s="84"/>
      <c r="AL292" s="84"/>
      <c r="AM292" s="84"/>
      <c r="AN292" s="84"/>
      <c r="AO292" s="84"/>
      <c r="AP292" s="89"/>
      <c r="AQ292" s="90"/>
      <c r="AR292" s="84"/>
      <c r="AS292" s="84"/>
    </row>
    <row r="293" spans="1:45" x14ac:dyDescent="0.35">
      <c r="A293" s="88"/>
      <c r="B293" s="84"/>
      <c r="C293" s="84"/>
      <c r="D293" s="84"/>
      <c r="E293" s="84"/>
      <c r="F293" s="84"/>
      <c r="G293" s="84"/>
      <c r="H293" s="84"/>
      <c r="I293" s="84"/>
      <c r="J293" s="84"/>
      <c r="K293" s="88"/>
      <c r="L293" s="84"/>
      <c r="M293" s="84"/>
      <c r="N293" s="84"/>
      <c r="O293" s="84"/>
      <c r="P293" s="84"/>
      <c r="Q293" s="84"/>
      <c r="R293" s="84"/>
      <c r="S293" s="84"/>
      <c r="T293" s="84"/>
      <c r="U293" s="84"/>
      <c r="V293" s="84"/>
      <c r="W293" s="84"/>
      <c r="X293" s="84"/>
      <c r="Y293" s="84"/>
      <c r="Z293" s="84"/>
      <c r="AA293" s="84"/>
      <c r="AB293" s="84"/>
      <c r="AC293" s="84"/>
      <c r="AD293" s="84"/>
      <c r="AE293" s="84"/>
      <c r="AF293" s="84"/>
      <c r="AG293" s="84"/>
      <c r="AH293" s="84"/>
      <c r="AI293" s="84"/>
      <c r="AJ293" s="84"/>
      <c r="AK293" s="84"/>
      <c r="AL293" s="84"/>
      <c r="AM293" s="84"/>
      <c r="AN293" s="84"/>
      <c r="AO293" s="84"/>
      <c r="AP293" s="89"/>
      <c r="AQ293" s="90"/>
      <c r="AR293" s="84"/>
      <c r="AS293" s="84"/>
    </row>
    <row r="294" spans="1:45" x14ac:dyDescent="0.35">
      <c r="A294" s="88"/>
      <c r="B294" s="84"/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  <c r="W294" s="84"/>
      <c r="X294" s="84"/>
      <c r="Y294" s="84"/>
      <c r="Z294" s="84"/>
      <c r="AA294" s="84"/>
      <c r="AB294" s="84"/>
      <c r="AC294" s="84"/>
      <c r="AD294" s="84"/>
      <c r="AE294" s="84"/>
      <c r="AF294" s="84"/>
      <c r="AG294" s="84"/>
      <c r="AH294" s="84"/>
      <c r="AI294" s="84"/>
      <c r="AJ294" s="84"/>
      <c r="AK294" s="84"/>
      <c r="AL294" s="84"/>
      <c r="AM294" s="84"/>
      <c r="AN294" s="84"/>
      <c r="AO294" s="84"/>
      <c r="AP294" s="89"/>
      <c r="AQ294" s="90"/>
      <c r="AR294" s="84"/>
      <c r="AS294" s="84"/>
    </row>
    <row r="295" spans="1:45" x14ac:dyDescent="0.35">
      <c r="A295" s="88"/>
      <c r="B295" s="84"/>
      <c r="C295" s="84"/>
      <c r="D295" s="84"/>
      <c r="E295" s="84"/>
      <c r="F295" s="84"/>
      <c r="G295" s="84"/>
      <c r="H295" s="84"/>
      <c r="I295" s="84"/>
      <c r="J295" s="84"/>
      <c r="K295" s="88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4"/>
      <c r="AA295" s="84"/>
      <c r="AB295" s="84"/>
      <c r="AC295" s="84"/>
      <c r="AD295" s="84"/>
      <c r="AE295" s="84"/>
      <c r="AF295" s="84"/>
      <c r="AG295" s="84"/>
      <c r="AH295" s="84"/>
      <c r="AI295" s="84"/>
      <c r="AJ295" s="84"/>
      <c r="AK295" s="84"/>
      <c r="AL295" s="84"/>
      <c r="AM295" s="84"/>
      <c r="AN295" s="84"/>
      <c r="AO295" s="84"/>
      <c r="AP295" s="89"/>
      <c r="AQ295" s="90"/>
      <c r="AR295" s="84"/>
      <c r="AS295" s="84"/>
    </row>
    <row r="296" spans="1:45" x14ac:dyDescent="0.35">
      <c r="A296" s="88"/>
      <c r="B296" s="84"/>
      <c r="C296" s="84"/>
      <c r="D296" s="84"/>
      <c r="E296" s="84"/>
      <c r="F296" s="84"/>
      <c r="G296" s="84"/>
      <c r="H296" s="84"/>
      <c r="I296" s="84"/>
      <c r="J296" s="84"/>
      <c r="K296" s="88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  <c r="W296" s="84"/>
      <c r="X296" s="84"/>
      <c r="Y296" s="84"/>
      <c r="Z296" s="84"/>
      <c r="AA296" s="84"/>
      <c r="AB296" s="84"/>
      <c r="AC296" s="84"/>
      <c r="AD296" s="84"/>
      <c r="AE296" s="84"/>
      <c r="AF296" s="84"/>
      <c r="AG296" s="84"/>
      <c r="AH296" s="84"/>
      <c r="AI296" s="84"/>
      <c r="AJ296" s="84"/>
      <c r="AK296" s="84"/>
      <c r="AL296" s="84"/>
      <c r="AM296" s="84"/>
      <c r="AN296" s="84"/>
      <c r="AO296" s="84"/>
      <c r="AP296" s="89"/>
      <c r="AQ296" s="90"/>
      <c r="AR296" s="84"/>
      <c r="AS296" s="84"/>
    </row>
    <row r="297" spans="1:45" x14ac:dyDescent="0.35">
      <c r="A297" s="88"/>
      <c r="B297" s="84"/>
      <c r="C297" s="84"/>
      <c r="D297" s="84"/>
      <c r="E297" s="84"/>
      <c r="F297" s="84"/>
      <c r="G297" s="84"/>
      <c r="H297" s="84"/>
      <c r="I297" s="84"/>
      <c r="J297" s="84"/>
      <c r="K297" s="88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  <c r="W297" s="84"/>
      <c r="X297" s="84"/>
      <c r="Y297" s="84"/>
      <c r="Z297" s="84"/>
      <c r="AA297" s="84"/>
      <c r="AB297" s="84"/>
      <c r="AC297" s="84"/>
      <c r="AD297" s="84"/>
      <c r="AE297" s="84"/>
      <c r="AF297" s="84"/>
      <c r="AG297" s="84"/>
      <c r="AH297" s="84"/>
      <c r="AI297" s="84"/>
      <c r="AJ297" s="84"/>
      <c r="AK297" s="84"/>
      <c r="AL297" s="84"/>
      <c r="AM297" s="84"/>
      <c r="AN297" s="84"/>
      <c r="AO297" s="84"/>
      <c r="AP297" s="89"/>
      <c r="AQ297" s="90"/>
      <c r="AR297" s="84"/>
      <c r="AS297" s="84"/>
    </row>
    <row r="298" spans="1:45" x14ac:dyDescent="0.35">
      <c r="A298" s="88"/>
      <c r="B298" s="84"/>
      <c r="C298" s="84"/>
      <c r="D298" s="84"/>
      <c r="E298" s="84"/>
      <c r="F298" s="84"/>
      <c r="G298" s="84"/>
      <c r="H298" s="84"/>
      <c r="I298" s="84"/>
      <c r="J298" s="84"/>
      <c r="K298" s="88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  <c r="W298" s="84"/>
      <c r="X298" s="84"/>
      <c r="Y298" s="84"/>
      <c r="Z298" s="84"/>
      <c r="AA298" s="84"/>
      <c r="AB298" s="84"/>
      <c r="AC298" s="84"/>
      <c r="AD298" s="84"/>
      <c r="AE298" s="84"/>
      <c r="AF298" s="84"/>
      <c r="AG298" s="84"/>
      <c r="AH298" s="84"/>
      <c r="AI298" s="84"/>
      <c r="AJ298" s="84"/>
      <c r="AK298" s="84"/>
      <c r="AL298" s="84"/>
      <c r="AM298" s="84"/>
      <c r="AN298" s="84"/>
      <c r="AO298" s="84"/>
      <c r="AP298" s="89"/>
      <c r="AQ298" s="90"/>
      <c r="AR298" s="84"/>
      <c r="AS298" s="84"/>
    </row>
    <row r="299" spans="1:45" x14ac:dyDescent="0.35">
      <c r="A299" s="88"/>
      <c r="B299" s="84"/>
      <c r="C299" s="84"/>
      <c r="D299" s="84"/>
      <c r="E299" s="84"/>
      <c r="F299" s="84"/>
      <c r="G299" s="84"/>
      <c r="H299" s="84"/>
      <c r="I299" s="84"/>
      <c r="J299" s="84"/>
      <c r="K299" s="88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4"/>
      <c r="AA299" s="84"/>
      <c r="AB299" s="84"/>
      <c r="AC299" s="84"/>
      <c r="AD299" s="84"/>
      <c r="AE299" s="84"/>
      <c r="AF299" s="84"/>
      <c r="AG299" s="84"/>
      <c r="AH299" s="84"/>
      <c r="AI299" s="84"/>
      <c r="AJ299" s="84"/>
      <c r="AK299" s="84"/>
      <c r="AL299" s="84"/>
      <c r="AM299" s="84"/>
      <c r="AN299" s="84"/>
      <c r="AO299" s="84"/>
      <c r="AP299" s="89"/>
      <c r="AQ299" s="90"/>
      <c r="AR299" s="84"/>
      <c r="AS299" s="84"/>
    </row>
    <row r="300" spans="1:45" x14ac:dyDescent="0.35">
      <c r="A300" s="88"/>
      <c r="B300" s="84"/>
      <c r="C300" s="84"/>
      <c r="D300" s="84"/>
      <c r="E300" s="84"/>
      <c r="F300" s="84"/>
      <c r="G300" s="84"/>
      <c r="H300" s="84"/>
      <c r="I300" s="84"/>
      <c r="J300" s="84"/>
      <c r="K300" s="88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4"/>
      <c r="AA300" s="84"/>
      <c r="AB300" s="84"/>
      <c r="AC300" s="84"/>
      <c r="AD300" s="84"/>
      <c r="AE300" s="84"/>
      <c r="AF300" s="84"/>
      <c r="AG300" s="84"/>
      <c r="AH300" s="84"/>
      <c r="AI300" s="84"/>
      <c r="AJ300" s="84"/>
      <c r="AK300" s="84"/>
      <c r="AL300" s="84"/>
      <c r="AM300" s="84"/>
      <c r="AN300" s="84"/>
      <c r="AO300" s="84"/>
      <c r="AP300" s="89"/>
      <c r="AQ300" s="90"/>
      <c r="AR300" s="84"/>
      <c r="AS300" s="84"/>
    </row>
    <row r="301" spans="1:45" x14ac:dyDescent="0.35">
      <c r="A301" s="88"/>
      <c r="B301" s="84"/>
      <c r="C301" s="84"/>
      <c r="D301" s="84"/>
      <c r="E301" s="84"/>
      <c r="F301" s="84"/>
      <c r="G301" s="84"/>
      <c r="H301" s="84"/>
      <c r="I301" s="84"/>
      <c r="J301" s="84"/>
      <c r="K301" s="88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  <c r="W301" s="84"/>
      <c r="X301" s="84"/>
      <c r="Y301" s="84"/>
      <c r="Z301" s="84"/>
      <c r="AA301" s="84"/>
      <c r="AB301" s="84"/>
      <c r="AC301" s="84"/>
      <c r="AD301" s="84"/>
      <c r="AE301" s="84"/>
      <c r="AF301" s="84"/>
      <c r="AG301" s="84"/>
      <c r="AH301" s="84"/>
      <c r="AI301" s="84"/>
      <c r="AJ301" s="84"/>
      <c r="AK301" s="84"/>
      <c r="AL301" s="84"/>
      <c r="AM301" s="84"/>
      <c r="AN301" s="84"/>
      <c r="AO301" s="84"/>
      <c r="AP301" s="89"/>
      <c r="AQ301" s="90"/>
      <c r="AR301" s="84"/>
      <c r="AS301" s="84"/>
    </row>
    <row r="302" spans="1:45" x14ac:dyDescent="0.35">
      <c r="A302" s="94"/>
      <c r="B302" s="95"/>
      <c r="C302" s="95"/>
      <c r="D302" s="95"/>
      <c r="E302" s="95"/>
      <c r="F302" s="95"/>
      <c r="G302" s="95"/>
      <c r="H302" s="95"/>
      <c r="I302" s="95"/>
      <c r="J302" s="95"/>
      <c r="K302" s="94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  <c r="AC302" s="95"/>
      <c r="AD302" s="95"/>
      <c r="AE302" s="95"/>
      <c r="AF302" s="95"/>
      <c r="AG302" s="95"/>
      <c r="AH302" s="95"/>
      <c r="AI302" s="95"/>
      <c r="AJ302" s="95"/>
      <c r="AK302" s="95"/>
      <c r="AL302" s="95"/>
      <c r="AM302" s="95"/>
      <c r="AN302" s="95"/>
      <c r="AO302" s="84"/>
      <c r="AP302" s="89"/>
      <c r="AQ302" s="90"/>
      <c r="AR302" s="84"/>
      <c r="AS302" s="84"/>
    </row>
    <row r="303" spans="1:45" x14ac:dyDescent="0.35">
      <c r="A303" s="88"/>
      <c r="B303" s="84"/>
      <c r="C303" s="84"/>
      <c r="D303" s="84"/>
      <c r="E303" s="84"/>
      <c r="F303" s="84"/>
      <c r="G303" s="84"/>
      <c r="H303" s="84"/>
      <c r="I303" s="84"/>
      <c r="J303" s="84"/>
      <c r="K303" s="88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4"/>
      <c r="AA303" s="84"/>
      <c r="AB303" s="84"/>
      <c r="AC303" s="84"/>
      <c r="AD303" s="84"/>
      <c r="AE303" s="84"/>
      <c r="AF303" s="84"/>
      <c r="AG303" s="84"/>
      <c r="AH303" s="84"/>
      <c r="AI303" s="84"/>
      <c r="AJ303" s="84"/>
      <c r="AK303" s="84"/>
      <c r="AL303" s="84"/>
      <c r="AM303" s="84"/>
      <c r="AN303" s="84"/>
      <c r="AO303" s="84"/>
      <c r="AP303" s="89"/>
      <c r="AQ303" s="90"/>
      <c r="AR303" s="84"/>
      <c r="AS303" s="84"/>
    </row>
    <row r="304" spans="1:45" x14ac:dyDescent="0.35">
      <c r="A304" s="88"/>
      <c r="B304" s="84"/>
      <c r="C304" s="84"/>
      <c r="D304" s="84"/>
      <c r="E304" s="84"/>
      <c r="F304" s="84"/>
      <c r="G304" s="84"/>
      <c r="H304" s="84"/>
      <c r="I304" s="84"/>
      <c r="J304" s="84"/>
      <c r="K304" s="88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  <c r="AA304" s="84"/>
      <c r="AB304" s="84"/>
      <c r="AC304" s="84"/>
      <c r="AD304" s="84"/>
      <c r="AE304" s="84"/>
      <c r="AF304" s="84"/>
      <c r="AG304" s="84"/>
      <c r="AH304" s="84"/>
      <c r="AI304" s="84"/>
      <c r="AJ304" s="84"/>
      <c r="AK304" s="84"/>
      <c r="AL304" s="84"/>
      <c r="AM304" s="84"/>
      <c r="AN304" s="84"/>
      <c r="AO304" s="84"/>
      <c r="AP304" s="89"/>
      <c r="AQ304" s="90"/>
      <c r="AR304" s="84"/>
      <c r="AS304" s="84"/>
    </row>
    <row r="305" spans="1:45" x14ac:dyDescent="0.35">
      <c r="A305" s="88"/>
      <c r="B305" s="84"/>
      <c r="C305" s="84"/>
      <c r="D305" s="84"/>
      <c r="E305" s="84"/>
      <c r="F305" s="84"/>
      <c r="G305" s="84"/>
      <c r="H305" s="84"/>
      <c r="I305" s="84"/>
      <c r="J305" s="84"/>
      <c r="K305" s="88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  <c r="AA305" s="84"/>
      <c r="AB305" s="84"/>
      <c r="AC305" s="84"/>
      <c r="AD305" s="84"/>
      <c r="AE305" s="84"/>
      <c r="AF305" s="84"/>
      <c r="AG305" s="84"/>
      <c r="AH305" s="84"/>
      <c r="AI305" s="84"/>
      <c r="AJ305" s="84"/>
      <c r="AK305" s="84"/>
      <c r="AL305" s="84"/>
      <c r="AM305" s="84"/>
      <c r="AN305" s="84"/>
      <c r="AO305" s="84"/>
      <c r="AP305" s="89"/>
      <c r="AQ305" s="90"/>
      <c r="AR305" s="84"/>
      <c r="AS305" s="84"/>
    </row>
    <row r="306" spans="1:45" x14ac:dyDescent="0.35">
      <c r="A306" s="88"/>
      <c r="B306" s="84"/>
      <c r="C306" s="84"/>
      <c r="D306" s="84"/>
      <c r="E306" s="84"/>
      <c r="F306" s="84"/>
      <c r="G306" s="84"/>
      <c r="H306" s="84"/>
      <c r="I306" s="84"/>
      <c r="J306" s="84"/>
      <c r="K306" s="88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4"/>
      <c r="AA306" s="84"/>
      <c r="AB306" s="84"/>
      <c r="AC306" s="84"/>
      <c r="AD306" s="84"/>
      <c r="AE306" s="84"/>
      <c r="AF306" s="84"/>
      <c r="AG306" s="84"/>
      <c r="AH306" s="84"/>
      <c r="AI306" s="84"/>
      <c r="AJ306" s="84"/>
      <c r="AK306" s="84"/>
      <c r="AL306" s="84"/>
      <c r="AM306" s="84"/>
      <c r="AN306" s="84"/>
      <c r="AO306" s="84"/>
      <c r="AP306" s="89"/>
      <c r="AQ306" s="90"/>
      <c r="AR306" s="84"/>
      <c r="AS306" s="84"/>
    </row>
    <row r="307" spans="1:45" x14ac:dyDescent="0.35">
      <c r="A307" s="88"/>
      <c r="B307" s="84"/>
      <c r="C307" s="84"/>
      <c r="D307" s="84"/>
      <c r="E307" s="84"/>
      <c r="F307" s="84"/>
      <c r="G307" s="84"/>
      <c r="H307" s="84"/>
      <c r="I307" s="84"/>
      <c r="J307" s="84"/>
      <c r="K307" s="88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4"/>
      <c r="AA307" s="84"/>
      <c r="AB307" s="84"/>
      <c r="AC307" s="84"/>
      <c r="AD307" s="84"/>
      <c r="AE307" s="84"/>
      <c r="AF307" s="84"/>
      <c r="AG307" s="84"/>
      <c r="AH307" s="84"/>
      <c r="AI307" s="84"/>
      <c r="AJ307" s="84"/>
      <c r="AK307" s="84"/>
      <c r="AL307" s="84"/>
      <c r="AM307" s="84"/>
      <c r="AN307" s="84"/>
      <c r="AO307" s="84"/>
      <c r="AP307" s="89"/>
      <c r="AQ307" s="90"/>
      <c r="AR307" s="84"/>
      <c r="AS307" s="84"/>
    </row>
    <row r="308" spans="1:45" x14ac:dyDescent="0.35">
      <c r="A308" s="88"/>
      <c r="B308" s="84"/>
      <c r="C308" s="84"/>
      <c r="D308" s="84"/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4"/>
      <c r="AA308" s="84"/>
      <c r="AB308" s="84"/>
      <c r="AC308" s="84"/>
      <c r="AD308" s="84"/>
      <c r="AE308" s="84"/>
      <c r="AF308" s="84"/>
      <c r="AG308" s="84"/>
      <c r="AH308" s="84"/>
      <c r="AI308" s="84"/>
      <c r="AJ308" s="84"/>
      <c r="AK308" s="84"/>
      <c r="AL308" s="84"/>
      <c r="AM308" s="84"/>
      <c r="AN308" s="84"/>
      <c r="AO308" s="84"/>
      <c r="AP308" s="89"/>
      <c r="AQ308" s="90"/>
      <c r="AR308" s="84"/>
      <c r="AS308" s="84"/>
    </row>
    <row r="309" spans="1:45" x14ac:dyDescent="0.35">
      <c r="A309" s="88"/>
      <c r="B309" s="84"/>
      <c r="C309" s="84"/>
      <c r="D309" s="84"/>
      <c r="E309" s="84"/>
      <c r="F309" s="84"/>
      <c r="G309" s="84"/>
      <c r="H309" s="84"/>
      <c r="I309" s="84"/>
      <c r="J309" s="84"/>
      <c r="K309" s="88"/>
      <c r="L309" s="84"/>
      <c r="M309" s="84"/>
      <c r="N309" s="84"/>
      <c r="O309" s="84"/>
      <c r="P309" s="84"/>
      <c r="Q309" s="84"/>
      <c r="R309" s="84"/>
      <c r="S309" s="84"/>
      <c r="T309" s="84"/>
      <c r="U309" s="84"/>
      <c r="V309" s="84"/>
      <c r="W309" s="84"/>
      <c r="X309" s="84"/>
      <c r="Y309" s="84"/>
      <c r="Z309" s="84"/>
      <c r="AA309" s="84"/>
      <c r="AB309" s="84"/>
      <c r="AC309" s="84"/>
      <c r="AD309" s="84"/>
      <c r="AE309" s="84"/>
      <c r="AF309" s="84"/>
      <c r="AG309" s="84"/>
      <c r="AH309" s="84"/>
      <c r="AI309" s="84"/>
      <c r="AJ309" s="84"/>
      <c r="AK309" s="84"/>
      <c r="AL309" s="84"/>
      <c r="AM309" s="84"/>
      <c r="AN309" s="84"/>
      <c r="AO309" s="84"/>
      <c r="AP309" s="89"/>
      <c r="AQ309" s="90"/>
      <c r="AR309" s="84"/>
      <c r="AS309" s="84"/>
    </row>
    <row r="310" spans="1:45" x14ac:dyDescent="0.35">
      <c r="A310" s="88"/>
      <c r="B310" s="84"/>
      <c r="C310" s="84"/>
      <c r="D310" s="84"/>
      <c r="E310" s="84"/>
      <c r="F310" s="84"/>
      <c r="G310" s="84"/>
      <c r="H310" s="84"/>
      <c r="I310" s="84"/>
      <c r="J310" s="84"/>
      <c r="K310" s="88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4"/>
      <c r="AA310" s="84"/>
      <c r="AB310" s="84"/>
      <c r="AC310" s="84"/>
      <c r="AD310" s="84"/>
      <c r="AE310" s="84"/>
      <c r="AF310" s="84"/>
      <c r="AG310" s="84"/>
      <c r="AH310" s="84"/>
      <c r="AI310" s="84"/>
      <c r="AJ310" s="84"/>
      <c r="AK310" s="84"/>
      <c r="AL310" s="84"/>
      <c r="AM310" s="84"/>
      <c r="AN310" s="84"/>
      <c r="AO310" s="84"/>
      <c r="AP310" s="89"/>
      <c r="AQ310" s="90"/>
      <c r="AR310" s="84"/>
      <c r="AS310" s="84"/>
    </row>
    <row r="311" spans="1:45" x14ac:dyDescent="0.35">
      <c r="A311" s="88"/>
      <c r="B311" s="84"/>
      <c r="C311" s="84"/>
      <c r="D311" s="84"/>
      <c r="E311" s="84"/>
      <c r="F311" s="84"/>
      <c r="G311" s="84"/>
      <c r="H311" s="84"/>
      <c r="I311" s="84"/>
      <c r="J311" s="84"/>
      <c r="K311" s="88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  <c r="W311" s="84"/>
      <c r="X311" s="84"/>
      <c r="Y311" s="84"/>
      <c r="Z311" s="84"/>
      <c r="AA311" s="84"/>
      <c r="AB311" s="84"/>
      <c r="AC311" s="84"/>
      <c r="AD311" s="84"/>
      <c r="AE311" s="84"/>
      <c r="AF311" s="84"/>
      <c r="AG311" s="84"/>
      <c r="AH311" s="84"/>
      <c r="AI311" s="84"/>
      <c r="AJ311" s="84"/>
      <c r="AK311" s="84"/>
      <c r="AL311" s="84"/>
      <c r="AM311" s="84"/>
      <c r="AN311" s="84"/>
      <c r="AO311" s="84"/>
      <c r="AP311" s="89"/>
      <c r="AQ311" s="90"/>
      <c r="AR311" s="84"/>
      <c r="AS311" s="84"/>
    </row>
    <row r="312" spans="1:45" x14ac:dyDescent="0.35">
      <c r="A312" s="88"/>
      <c r="B312" s="84"/>
      <c r="C312" s="84"/>
      <c r="D312" s="84"/>
      <c r="E312" s="84"/>
      <c r="F312" s="84"/>
      <c r="G312" s="84"/>
      <c r="H312" s="84"/>
      <c r="I312" s="84"/>
      <c r="J312" s="84"/>
      <c r="K312" s="88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4"/>
      <c r="AA312" s="84"/>
      <c r="AB312" s="84"/>
      <c r="AC312" s="84"/>
      <c r="AD312" s="84"/>
      <c r="AE312" s="84"/>
      <c r="AF312" s="84"/>
      <c r="AG312" s="84"/>
      <c r="AH312" s="84"/>
      <c r="AI312" s="84"/>
      <c r="AJ312" s="84"/>
      <c r="AK312" s="84"/>
      <c r="AL312" s="84"/>
      <c r="AM312" s="84"/>
      <c r="AN312" s="84"/>
      <c r="AO312" s="84"/>
      <c r="AP312" s="89"/>
      <c r="AQ312" s="90"/>
      <c r="AR312" s="84"/>
      <c r="AS312" s="84"/>
    </row>
    <row r="313" spans="1:45" x14ac:dyDescent="0.35">
      <c r="A313" s="88"/>
      <c r="B313" s="84"/>
      <c r="C313" s="84"/>
      <c r="D313" s="84"/>
      <c r="E313" s="84"/>
      <c r="F313" s="84"/>
      <c r="G313" s="84"/>
      <c r="H313" s="84"/>
      <c r="I313" s="84"/>
      <c r="J313" s="84"/>
      <c r="K313" s="88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4"/>
      <c r="AA313" s="84"/>
      <c r="AB313" s="84"/>
      <c r="AC313" s="84"/>
      <c r="AD313" s="84"/>
      <c r="AE313" s="84"/>
      <c r="AF313" s="84"/>
      <c r="AG313" s="84"/>
      <c r="AH313" s="84"/>
      <c r="AI313" s="84"/>
      <c r="AJ313" s="84"/>
      <c r="AK313" s="84"/>
      <c r="AL313" s="84"/>
      <c r="AM313" s="84"/>
      <c r="AN313" s="84"/>
      <c r="AO313" s="84"/>
      <c r="AP313" s="89"/>
      <c r="AQ313" s="90"/>
      <c r="AR313" s="84"/>
      <c r="AS313" s="84"/>
    </row>
    <row r="314" spans="1:45" x14ac:dyDescent="0.35">
      <c r="A314" s="88"/>
      <c r="B314" s="84"/>
      <c r="C314" s="84"/>
      <c r="D314" s="84"/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  <c r="AA314" s="84"/>
      <c r="AB314" s="84"/>
      <c r="AC314" s="84"/>
      <c r="AD314" s="84"/>
      <c r="AE314" s="84"/>
      <c r="AF314" s="84"/>
      <c r="AG314" s="84"/>
      <c r="AH314" s="84"/>
      <c r="AI314" s="84"/>
      <c r="AJ314" s="84"/>
      <c r="AK314" s="84"/>
      <c r="AL314" s="84"/>
      <c r="AM314" s="84"/>
      <c r="AN314" s="84"/>
      <c r="AO314" s="84"/>
      <c r="AP314" s="89"/>
      <c r="AQ314" s="90"/>
      <c r="AR314" s="84"/>
      <c r="AS314" s="84"/>
    </row>
    <row r="315" spans="1:45" x14ac:dyDescent="0.35">
      <c r="A315" s="88"/>
      <c r="B315" s="84"/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  <c r="AA315" s="84"/>
      <c r="AB315" s="84"/>
      <c r="AC315" s="84"/>
      <c r="AD315" s="84"/>
      <c r="AE315" s="84"/>
      <c r="AF315" s="84"/>
      <c r="AG315" s="84"/>
      <c r="AH315" s="84"/>
      <c r="AI315" s="84"/>
      <c r="AJ315" s="84"/>
      <c r="AK315" s="84"/>
      <c r="AL315" s="84"/>
      <c r="AM315" s="84"/>
      <c r="AN315" s="84"/>
      <c r="AO315" s="84"/>
      <c r="AP315" s="89"/>
      <c r="AQ315" s="90"/>
      <c r="AR315" s="84"/>
      <c r="AS315" s="84"/>
    </row>
    <row r="316" spans="1:45" x14ac:dyDescent="0.35">
      <c r="A316" s="88"/>
      <c r="B316" s="84"/>
      <c r="C316" s="84"/>
      <c r="D316" s="84"/>
      <c r="E316" s="84"/>
      <c r="F316" s="84"/>
      <c r="G316" s="84"/>
      <c r="H316" s="84"/>
      <c r="I316" s="84"/>
      <c r="J316" s="84"/>
      <c r="K316" s="88"/>
      <c r="L316" s="84"/>
      <c r="M316" s="96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  <c r="AA316" s="84"/>
      <c r="AB316" s="84"/>
      <c r="AC316" s="84"/>
      <c r="AD316" s="84"/>
      <c r="AE316" s="84"/>
      <c r="AF316" s="84"/>
      <c r="AG316" s="84"/>
      <c r="AH316" s="84"/>
      <c r="AI316" s="84"/>
      <c r="AJ316" s="84"/>
      <c r="AK316" s="84"/>
      <c r="AL316" s="84"/>
      <c r="AM316" s="84"/>
      <c r="AN316" s="84"/>
      <c r="AO316" s="84"/>
      <c r="AP316" s="89"/>
      <c r="AQ316" s="90"/>
      <c r="AR316" s="84"/>
      <c r="AS316" s="86"/>
    </row>
    <row r="317" spans="1:45" x14ac:dyDescent="0.35">
      <c r="A317" s="88"/>
      <c r="B317" s="84"/>
      <c r="C317" s="84"/>
      <c r="D317" s="84"/>
      <c r="E317" s="84"/>
      <c r="F317" s="84"/>
      <c r="G317" s="84"/>
      <c r="H317" s="84"/>
      <c r="I317" s="84"/>
      <c r="J317" s="84"/>
      <c r="K317" s="88"/>
      <c r="L317" s="84"/>
      <c r="M317" s="96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  <c r="AA317" s="84"/>
      <c r="AB317" s="84"/>
      <c r="AC317" s="84"/>
      <c r="AD317" s="84"/>
      <c r="AE317" s="84"/>
      <c r="AF317" s="84"/>
      <c r="AG317" s="84"/>
      <c r="AH317" s="84"/>
      <c r="AI317" s="84"/>
      <c r="AJ317" s="84"/>
      <c r="AK317" s="84"/>
      <c r="AL317" s="84"/>
      <c r="AM317" s="84"/>
      <c r="AN317" s="84"/>
      <c r="AO317" s="84"/>
      <c r="AP317" s="89"/>
      <c r="AQ317" s="90"/>
      <c r="AR317" s="84"/>
      <c r="AS317" s="86"/>
    </row>
    <row r="318" spans="1:45" x14ac:dyDescent="0.35">
      <c r="A318" s="88"/>
      <c r="B318" s="84"/>
      <c r="C318" s="84"/>
      <c r="D318" s="84"/>
      <c r="E318" s="84"/>
      <c r="F318" s="84"/>
      <c r="G318" s="84"/>
      <c r="H318" s="84"/>
      <c r="I318" s="84"/>
      <c r="J318" s="84"/>
      <c r="K318" s="88"/>
      <c r="L318" s="84"/>
      <c r="M318" s="96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  <c r="AA318" s="84"/>
      <c r="AB318" s="84"/>
      <c r="AC318" s="84"/>
      <c r="AD318" s="84"/>
      <c r="AE318" s="84"/>
      <c r="AF318" s="84"/>
      <c r="AG318" s="84"/>
      <c r="AH318" s="84"/>
      <c r="AI318" s="84"/>
      <c r="AJ318" s="84"/>
      <c r="AK318" s="84"/>
      <c r="AL318" s="84"/>
      <c r="AM318" s="84"/>
      <c r="AN318" s="84"/>
      <c r="AO318" s="84"/>
      <c r="AP318" s="89"/>
      <c r="AQ318" s="90"/>
      <c r="AR318" s="84"/>
      <c r="AS318" s="86"/>
    </row>
    <row r="319" spans="1:45" x14ac:dyDescent="0.35">
      <c r="A319" s="88"/>
      <c r="B319" s="84"/>
      <c r="C319" s="84"/>
      <c r="D319" s="84"/>
      <c r="E319" s="84"/>
      <c r="F319" s="84"/>
      <c r="G319" s="84"/>
      <c r="H319" s="84"/>
      <c r="I319" s="84"/>
      <c r="J319" s="84"/>
      <c r="K319" s="88"/>
      <c r="L319" s="84"/>
      <c r="M319" s="96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  <c r="AA319" s="84"/>
      <c r="AB319" s="84"/>
      <c r="AC319" s="84"/>
      <c r="AD319" s="84"/>
      <c r="AE319" s="84"/>
      <c r="AF319" s="84"/>
      <c r="AG319" s="84"/>
      <c r="AH319" s="84"/>
      <c r="AI319" s="84"/>
      <c r="AJ319" s="84"/>
      <c r="AK319" s="84"/>
      <c r="AL319" s="84"/>
      <c r="AM319" s="84"/>
      <c r="AN319" s="84"/>
      <c r="AO319" s="84"/>
      <c r="AP319" s="89"/>
      <c r="AQ319" s="90"/>
      <c r="AR319" s="84"/>
      <c r="AS319" s="86"/>
    </row>
    <row r="320" spans="1:45" x14ac:dyDescent="0.35">
      <c r="A320" s="88"/>
      <c r="B320" s="84"/>
      <c r="C320" s="84"/>
      <c r="D320" s="84"/>
      <c r="E320" s="84"/>
      <c r="F320" s="84"/>
      <c r="G320" s="84"/>
      <c r="H320" s="84"/>
      <c r="I320" s="84"/>
      <c r="J320" s="84"/>
      <c r="K320" s="88"/>
      <c r="L320" s="84"/>
      <c r="M320" s="96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  <c r="AA320" s="84"/>
      <c r="AB320" s="84"/>
      <c r="AC320" s="84"/>
      <c r="AD320" s="84"/>
      <c r="AE320" s="84"/>
      <c r="AF320" s="84"/>
      <c r="AG320" s="84"/>
      <c r="AH320" s="84"/>
      <c r="AI320" s="84"/>
      <c r="AJ320" s="84"/>
      <c r="AK320" s="84"/>
      <c r="AL320" s="84"/>
      <c r="AM320" s="84"/>
      <c r="AN320" s="84"/>
      <c r="AO320" s="84"/>
      <c r="AP320" s="89"/>
      <c r="AQ320" s="90"/>
      <c r="AR320" s="84"/>
      <c r="AS320" s="86"/>
    </row>
    <row r="321" spans="1:45" x14ac:dyDescent="0.35">
      <c r="A321" s="88"/>
      <c r="B321" s="84"/>
      <c r="C321" s="84"/>
      <c r="D321" s="84"/>
      <c r="E321" s="84"/>
      <c r="F321" s="84"/>
      <c r="G321" s="84"/>
      <c r="H321" s="84"/>
      <c r="I321" s="84"/>
      <c r="J321" s="84"/>
      <c r="K321" s="88"/>
      <c r="L321" s="84"/>
      <c r="M321" s="96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  <c r="AA321" s="84"/>
      <c r="AB321" s="84"/>
      <c r="AC321" s="84"/>
      <c r="AD321" s="84"/>
      <c r="AE321" s="84"/>
      <c r="AF321" s="84"/>
      <c r="AG321" s="84"/>
      <c r="AH321" s="84"/>
      <c r="AI321" s="84"/>
      <c r="AJ321" s="84"/>
      <c r="AK321" s="84"/>
      <c r="AL321" s="84"/>
      <c r="AM321" s="84"/>
      <c r="AN321" s="84"/>
      <c r="AO321" s="84"/>
      <c r="AP321" s="89"/>
      <c r="AQ321" s="90"/>
      <c r="AR321" s="84"/>
      <c r="AS321" s="86"/>
    </row>
    <row r="322" spans="1:45" x14ac:dyDescent="0.35">
      <c r="A322" s="88"/>
      <c r="B322" s="84"/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96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  <c r="AA322" s="84"/>
      <c r="AB322" s="84"/>
      <c r="AC322" s="84"/>
      <c r="AD322" s="84"/>
      <c r="AE322" s="84"/>
      <c r="AF322" s="84"/>
      <c r="AG322" s="84"/>
      <c r="AH322" s="84"/>
      <c r="AI322" s="84"/>
      <c r="AJ322" s="84"/>
      <c r="AK322" s="84"/>
      <c r="AL322" s="84"/>
      <c r="AM322" s="84"/>
      <c r="AN322" s="84"/>
      <c r="AO322" s="84"/>
      <c r="AP322" s="89"/>
      <c r="AQ322" s="90"/>
      <c r="AR322" s="84"/>
      <c r="AS322" s="86"/>
    </row>
    <row r="323" spans="1:45" x14ac:dyDescent="0.35">
      <c r="A323" s="97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8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84"/>
      <c r="AP323" s="89"/>
      <c r="AQ323" s="90"/>
      <c r="AR323" s="84"/>
      <c r="AS323" s="86"/>
    </row>
    <row r="324" spans="1:45" x14ac:dyDescent="0.35">
      <c r="A324" s="88"/>
      <c r="B324" s="84"/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96"/>
      <c r="N324" s="84"/>
      <c r="O324" s="84"/>
      <c r="P324" s="84"/>
      <c r="Q324" s="84"/>
      <c r="R324" s="84"/>
      <c r="S324" s="84"/>
      <c r="T324" s="84"/>
      <c r="U324" s="84"/>
      <c r="V324" s="84"/>
      <c r="W324" s="84"/>
      <c r="X324" s="84"/>
      <c r="Y324" s="84"/>
      <c r="Z324" s="84"/>
      <c r="AA324" s="84"/>
      <c r="AB324" s="84"/>
      <c r="AC324" s="84"/>
      <c r="AD324" s="84"/>
      <c r="AE324" s="84"/>
      <c r="AF324" s="84"/>
      <c r="AG324" s="84"/>
      <c r="AH324" s="84"/>
      <c r="AI324" s="84"/>
      <c r="AJ324" s="84"/>
      <c r="AK324" s="84"/>
      <c r="AL324" s="84"/>
      <c r="AM324" s="84"/>
      <c r="AN324" s="84"/>
      <c r="AO324" s="84"/>
      <c r="AP324" s="89"/>
      <c r="AQ324" s="90"/>
      <c r="AR324" s="84"/>
      <c r="AS324" s="86"/>
    </row>
    <row r="325" spans="1:45" x14ac:dyDescent="0.35">
      <c r="A325" s="97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8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84"/>
      <c r="AP325" s="89"/>
      <c r="AQ325" s="90"/>
      <c r="AR325" s="84"/>
      <c r="AS325" s="86"/>
    </row>
    <row r="326" spans="1:45" x14ac:dyDescent="0.35">
      <c r="A326" s="88"/>
      <c r="B326" s="84"/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96"/>
      <c r="N326" s="84"/>
      <c r="O326" s="84"/>
      <c r="P326" s="84"/>
      <c r="Q326" s="84"/>
      <c r="R326" s="84"/>
      <c r="S326" s="84"/>
      <c r="T326" s="84"/>
      <c r="U326" s="84"/>
      <c r="V326" s="84"/>
      <c r="W326" s="84"/>
      <c r="X326" s="84"/>
      <c r="Y326" s="84"/>
      <c r="Z326" s="84"/>
      <c r="AA326" s="84"/>
      <c r="AB326" s="84"/>
      <c r="AC326" s="84"/>
      <c r="AD326" s="84"/>
      <c r="AE326" s="84"/>
      <c r="AF326" s="84"/>
      <c r="AG326" s="84"/>
      <c r="AH326" s="84"/>
      <c r="AI326" s="84"/>
      <c r="AJ326" s="84"/>
      <c r="AK326" s="84"/>
      <c r="AL326" s="84"/>
      <c r="AM326" s="84"/>
      <c r="AN326" s="84"/>
      <c r="AO326" s="84"/>
      <c r="AP326" s="89"/>
      <c r="AQ326" s="90"/>
      <c r="AR326" s="84"/>
      <c r="AS326" s="86"/>
    </row>
    <row r="327" spans="1:45" x14ac:dyDescent="0.35">
      <c r="A327" s="88"/>
      <c r="B327" s="84"/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96"/>
      <c r="N327" s="84"/>
      <c r="O327" s="84"/>
      <c r="P327" s="84"/>
      <c r="Q327" s="84"/>
      <c r="R327" s="84"/>
      <c r="S327" s="84"/>
      <c r="T327" s="84"/>
      <c r="U327" s="84"/>
      <c r="V327" s="84"/>
      <c r="W327" s="84"/>
      <c r="X327" s="84"/>
      <c r="Y327" s="84"/>
      <c r="Z327" s="84"/>
      <c r="AA327" s="84"/>
      <c r="AB327" s="84"/>
      <c r="AC327" s="84"/>
      <c r="AD327" s="84"/>
      <c r="AE327" s="84"/>
      <c r="AF327" s="84"/>
      <c r="AG327" s="84"/>
      <c r="AH327" s="84"/>
      <c r="AI327" s="84"/>
      <c r="AJ327" s="84"/>
      <c r="AK327" s="84"/>
      <c r="AL327" s="84"/>
      <c r="AM327" s="84"/>
      <c r="AN327" s="84"/>
      <c r="AO327" s="84"/>
      <c r="AP327" s="89"/>
      <c r="AQ327" s="90"/>
      <c r="AR327" s="84"/>
      <c r="AS327" s="86"/>
    </row>
    <row r="328" spans="1:45" x14ac:dyDescent="0.35">
      <c r="A328" s="97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8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84"/>
      <c r="AP328" s="89"/>
      <c r="AQ328" s="90"/>
      <c r="AR328" s="84"/>
      <c r="AS328" s="86"/>
    </row>
    <row r="329" spans="1:45" x14ac:dyDescent="0.35">
      <c r="A329" s="88"/>
      <c r="B329" s="84"/>
      <c r="C329" s="84"/>
      <c r="D329" s="84"/>
      <c r="E329" s="84"/>
      <c r="F329" s="84"/>
      <c r="G329" s="84"/>
      <c r="H329" s="84"/>
      <c r="I329" s="84"/>
      <c r="J329" s="84"/>
      <c r="K329" s="88"/>
      <c r="L329" s="84"/>
      <c r="M329" s="96"/>
      <c r="N329" s="84"/>
      <c r="O329" s="84"/>
      <c r="P329" s="84"/>
      <c r="Q329" s="84"/>
      <c r="R329" s="84"/>
      <c r="S329" s="84"/>
      <c r="T329" s="84"/>
      <c r="U329" s="84"/>
      <c r="V329" s="84"/>
      <c r="W329" s="84"/>
      <c r="X329" s="84"/>
      <c r="Y329" s="84"/>
      <c r="Z329" s="84"/>
      <c r="AA329" s="84"/>
      <c r="AB329" s="84"/>
      <c r="AC329" s="84"/>
      <c r="AD329" s="84"/>
      <c r="AE329" s="84"/>
      <c r="AF329" s="84"/>
      <c r="AG329" s="84"/>
      <c r="AH329" s="84"/>
      <c r="AI329" s="84"/>
      <c r="AJ329" s="84"/>
      <c r="AK329" s="84"/>
      <c r="AL329" s="84"/>
      <c r="AM329" s="84"/>
      <c r="AN329" s="84"/>
      <c r="AO329" s="84"/>
      <c r="AP329" s="89"/>
      <c r="AQ329" s="90"/>
      <c r="AR329" s="84"/>
      <c r="AS329" s="86"/>
    </row>
    <row r="330" spans="1:45" x14ac:dyDescent="0.35">
      <c r="A330" s="88"/>
      <c r="B330" s="84"/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96"/>
      <c r="N330" s="84"/>
      <c r="O330" s="84"/>
      <c r="P330" s="84"/>
      <c r="Q330" s="84"/>
      <c r="R330" s="84"/>
      <c r="S330" s="84"/>
      <c r="T330" s="84"/>
      <c r="U330" s="84"/>
      <c r="V330" s="84"/>
      <c r="W330" s="84"/>
      <c r="X330" s="84"/>
      <c r="Y330" s="84"/>
      <c r="Z330" s="84"/>
      <c r="AA330" s="84"/>
      <c r="AB330" s="84"/>
      <c r="AC330" s="84"/>
      <c r="AD330" s="84"/>
      <c r="AE330" s="84"/>
      <c r="AF330" s="84"/>
      <c r="AG330" s="84"/>
      <c r="AH330" s="84"/>
      <c r="AI330" s="84"/>
      <c r="AJ330" s="84"/>
      <c r="AK330" s="84"/>
      <c r="AL330" s="84"/>
      <c r="AM330" s="84"/>
      <c r="AN330" s="84"/>
      <c r="AO330" s="84"/>
      <c r="AP330" s="89"/>
      <c r="AQ330" s="90"/>
      <c r="AR330" s="84"/>
      <c r="AS330" s="86"/>
    </row>
    <row r="331" spans="1:45" x14ac:dyDescent="0.35">
      <c r="A331" s="88"/>
      <c r="B331" s="84"/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96"/>
      <c r="N331" s="84"/>
      <c r="O331" s="84"/>
      <c r="P331" s="84"/>
      <c r="Q331" s="84"/>
      <c r="R331" s="84"/>
      <c r="S331" s="84"/>
      <c r="T331" s="84"/>
      <c r="U331" s="84"/>
      <c r="V331" s="84"/>
      <c r="W331" s="84"/>
      <c r="X331" s="84"/>
      <c r="Y331" s="84"/>
      <c r="Z331" s="84"/>
      <c r="AA331" s="84"/>
      <c r="AB331" s="84"/>
      <c r="AC331" s="84"/>
      <c r="AD331" s="84"/>
      <c r="AE331" s="84"/>
      <c r="AF331" s="84"/>
      <c r="AG331" s="84"/>
      <c r="AH331" s="84"/>
      <c r="AI331" s="84"/>
      <c r="AJ331" s="84"/>
      <c r="AK331" s="84"/>
      <c r="AL331" s="84"/>
      <c r="AM331" s="84"/>
      <c r="AN331" s="84"/>
      <c r="AO331" s="84"/>
      <c r="AP331" s="89"/>
      <c r="AQ331" s="90"/>
      <c r="AR331" s="84"/>
      <c r="AS331" s="86"/>
    </row>
    <row r="332" spans="1:45" x14ac:dyDescent="0.35">
      <c r="A332" s="88"/>
      <c r="B332" s="84"/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96"/>
      <c r="N332" s="84"/>
      <c r="O332" s="84"/>
      <c r="P332" s="84"/>
      <c r="Q332" s="84"/>
      <c r="R332" s="84"/>
      <c r="S332" s="84"/>
      <c r="T332" s="84"/>
      <c r="U332" s="84"/>
      <c r="V332" s="84"/>
      <c r="W332" s="84"/>
      <c r="X332" s="84"/>
      <c r="Y332" s="84"/>
      <c r="Z332" s="84"/>
      <c r="AA332" s="84"/>
      <c r="AB332" s="84"/>
      <c r="AC332" s="84"/>
      <c r="AD332" s="84"/>
      <c r="AE332" s="84"/>
      <c r="AF332" s="84"/>
      <c r="AG332" s="84"/>
      <c r="AH332" s="84"/>
      <c r="AI332" s="84"/>
      <c r="AJ332" s="84"/>
      <c r="AK332" s="84"/>
      <c r="AL332" s="84"/>
      <c r="AM332" s="84"/>
      <c r="AN332" s="84"/>
      <c r="AO332" s="84"/>
      <c r="AP332" s="89"/>
      <c r="AQ332" s="90"/>
      <c r="AR332" s="84"/>
      <c r="AS332" s="86"/>
    </row>
    <row r="333" spans="1:45" x14ac:dyDescent="0.35">
      <c r="A333" s="88"/>
      <c r="B333" s="84"/>
      <c r="C333" s="84"/>
      <c r="D333" s="84"/>
      <c r="E333" s="84"/>
      <c r="F333" s="84"/>
      <c r="G333" s="84"/>
      <c r="H333" s="84"/>
      <c r="I333" s="84"/>
      <c r="J333" s="84"/>
      <c r="K333" s="88"/>
      <c r="L333" s="84"/>
      <c r="M333" s="96"/>
      <c r="N333" s="84"/>
      <c r="O333" s="84"/>
      <c r="P333" s="84"/>
      <c r="Q333" s="84"/>
      <c r="R333" s="84"/>
      <c r="S333" s="84"/>
      <c r="T333" s="84"/>
      <c r="U333" s="84"/>
      <c r="V333" s="84"/>
      <c r="W333" s="84"/>
      <c r="X333" s="84"/>
      <c r="Y333" s="84"/>
      <c r="Z333" s="84"/>
      <c r="AA333" s="84"/>
      <c r="AB333" s="84"/>
      <c r="AC333" s="84"/>
      <c r="AD333" s="84"/>
      <c r="AE333" s="84"/>
      <c r="AF333" s="84"/>
      <c r="AG333" s="84"/>
      <c r="AH333" s="84"/>
      <c r="AI333" s="84"/>
      <c r="AJ333" s="84"/>
      <c r="AK333" s="84"/>
      <c r="AL333" s="84"/>
      <c r="AM333" s="84"/>
      <c r="AN333" s="84"/>
      <c r="AO333" s="84"/>
      <c r="AP333" s="89"/>
      <c r="AQ333" s="90"/>
      <c r="AR333" s="84"/>
      <c r="AS333" s="86"/>
    </row>
    <row r="334" spans="1:45" x14ac:dyDescent="0.35">
      <c r="A334" s="88"/>
      <c r="B334" s="84"/>
      <c r="C334" s="84"/>
      <c r="D334" s="84"/>
      <c r="E334" s="84"/>
      <c r="F334" s="84"/>
      <c r="G334" s="84"/>
      <c r="H334" s="84"/>
      <c r="I334" s="84"/>
      <c r="J334" s="84"/>
      <c r="K334" s="88"/>
      <c r="L334" s="84"/>
      <c r="M334" s="96"/>
      <c r="N334" s="84"/>
      <c r="O334" s="84"/>
      <c r="P334" s="84"/>
      <c r="Q334" s="84"/>
      <c r="R334" s="84"/>
      <c r="S334" s="84"/>
      <c r="T334" s="84"/>
      <c r="U334" s="84"/>
      <c r="V334" s="84"/>
      <c r="W334" s="84"/>
      <c r="X334" s="84"/>
      <c r="Y334" s="84"/>
      <c r="Z334" s="84"/>
      <c r="AA334" s="84"/>
      <c r="AB334" s="84"/>
      <c r="AC334" s="84"/>
      <c r="AD334" s="84"/>
      <c r="AE334" s="84"/>
      <c r="AF334" s="84"/>
      <c r="AG334" s="84"/>
      <c r="AH334" s="84"/>
      <c r="AI334" s="84"/>
      <c r="AJ334" s="84"/>
      <c r="AK334" s="84"/>
      <c r="AL334" s="84"/>
      <c r="AM334" s="84"/>
      <c r="AN334" s="84"/>
      <c r="AO334" s="84"/>
      <c r="AP334" s="89"/>
      <c r="AQ334" s="90"/>
      <c r="AR334" s="84"/>
      <c r="AS334" s="86"/>
    </row>
    <row r="335" spans="1:45" x14ac:dyDescent="0.35">
      <c r="A335" s="88"/>
      <c r="B335" s="84"/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96"/>
      <c r="N335" s="84"/>
      <c r="O335" s="84"/>
      <c r="P335" s="84"/>
      <c r="Q335" s="84"/>
      <c r="R335" s="84"/>
      <c r="S335" s="84"/>
      <c r="T335" s="84"/>
      <c r="U335" s="84"/>
      <c r="V335" s="84"/>
      <c r="W335" s="84"/>
      <c r="X335" s="84"/>
      <c r="Y335" s="84"/>
      <c r="Z335" s="84"/>
      <c r="AA335" s="84"/>
      <c r="AB335" s="84"/>
      <c r="AC335" s="84"/>
      <c r="AD335" s="84"/>
      <c r="AE335" s="84"/>
      <c r="AF335" s="84"/>
      <c r="AG335" s="84"/>
      <c r="AH335" s="84"/>
      <c r="AI335" s="84"/>
      <c r="AJ335" s="84"/>
      <c r="AK335" s="84"/>
      <c r="AL335" s="84"/>
      <c r="AM335" s="84"/>
      <c r="AN335" s="84"/>
      <c r="AO335" s="84"/>
      <c r="AP335" s="89"/>
      <c r="AQ335" s="90"/>
      <c r="AR335" s="84"/>
      <c r="AS335" s="86"/>
    </row>
    <row r="336" spans="1:45" x14ac:dyDescent="0.35">
      <c r="A336" s="88"/>
      <c r="B336" s="84"/>
      <c r="C336" s="84"/>
      <c r="D336" s="84"/>
      <c r="E336" s="84"/>
      <c r="F336" s="84"/>
      <c r="G336" s="84"/>
      <c r="H336" s="84"/>
      <c r="I336" s="84"/>
      <c r="J336" s="84"/>
      <c r="K336" s="88"/>
      <c r="L336" s="84"/>
      <c r="M336" s="96"/>
      <c r="N336" s="84"/>
      <c r="O336" s="84"/>
      <c r="P336" s="84"/>
      <c r="Q336" s="84"/>
      <c r="R336" s="84"/>
      <c r="S336" s="84"/>
      <c r="T336" s="84"/>
      <c r="U336" s="84"/>
      <c r="V336" s="84"/>
      <c r="W336" s="84"/>
      <c r="X336" s="84"/>
      <c r="Y336" s="84"/>
      <c r="Z336" s="84"/>
      <c r="AA336" s="84"/>
      <c r="AB336" s="84"/>
      <c r="AC336" s="84"/>
      <c r="AD336" s="84"/>
      <c r="AE336" s="84"/>
      <c r="AF336" s="84"/>
      <c r="AG336" s="84"/>
      <c r="AH336" s="84"/>
      <c r="AI336" s="84"/>
      <c r="AJ336" s="84"/>
      <c r="AK336" s="84"/>
      <c r="AL336" s="84"/>
      <c r="AM336" s="84"/>
      <c r="AN336" s="84"/>
      <c r="AO336" s="84"/>
      <c r="AP336" s="89"/>
      <c r="AQ336" s="90"/>
      <c r="AR336" s="84"/>
      <c r="AS336" s="86"/>
    </row>
    <row r="337" spans="1:45" x14ac:dyDescent="0.35">
      <c r="A337" s="88"/>
      <c r="B337" s="84"/>
      <c r="C337" s="84"/>
      <c r="D337" s="84"/>
      <c r="E337" s="84"/>
      <c r="F337" s="84"/>
      <c r="G337" s="84"/>
      <c r="H337" s="84"/>
      <c r="I337" s="84"/>
      <c r="J337" s="84"/>
      <c r="K337" s="88"/>
      <c r="L337" s="84"/>
      <c r="M337" s="96"/>
      <c r="N337" s="84"/>
      <c r="O337" s="84"/>
      <c r="P337" s="84"/>
      <c r="Q337" s="84"/>
      <c r="R337" s="84"/>
      <c r="S337" s="84"/>
      <c r="T337" s="84"/>
      <c r="U337" s="84"/>
      <c r="V337" s="84"/>
      <c r="W337" s="84"/>
      <c r="X337" s="84"/>
      <c r="Y337" s="84"/>
      <c r="Z337" s="84"/>
      <c r="AA337" s="84"/>
      <c r="AB337" s="84"/>
      <c r="AC337" s="84"/>
      <c r="AD337" s="84"/>
      <c r="AE337" s="84"/>
      <c r="AF337" s="84"/>
      <c r="AG337" s="84"/>
      <c r="AH337" s="84"/>
      <c r="AI337" s="84"/>
      <c r="AJ337" s="84"/>
      <c r="AK337" s="84"/>
      <c r="AL337" s="84"/>
      <c r="AM337" s="84"/>
      <c r="AN337" s="84"/>
      <c r="AO337" s="84"/>
      <c r="AP337" s="89"/>
      <c r="AQ337" s="90"/>
      <c r="AR337" s="84"/>
      <c r="AS337" s="86"/>
    </row>
    <row r="338" spans="1:45" x14ac:dyDescent="0.35">
      <c r="A338" s="88"/>
      <c r="B338" s="84"/>
      <c r="C338" s="84"/>
      <c r="D338" s="84"/>
      <c r="E338" s="84"/>
      <c r="F338" s="84"/>
      <c r="G338" s="84"/>
      <c r="H338" s="84"/>
      <c r="I338" s="84"/>
      <c r="J338" s="84"/>
      <c r="K338" s="88"/>
      <c r="L338" s="84"/>
      <c r="M338" s="96"/>
      <c r="N338" s="84"/>
      <c r="O338" s="84"/>
      <c r="P338" s="84"/>
      <c r="Q338" s="84"/>
      <c r="R338" s="84"/>
      <c r="S338" s="84"/>
      <c r="T338" s="84"/>
      <c r="U338" s="84"/>
      <c r="V338" s="84"/>
      <c r="W338" s="84"/>
      <c r="X338" s="84"/>
      <c r="Y338" s="84"/>
      <c r="Z338" s="84"/>
      <c r="AA338" s="84"/>
      <c r="AB338" s="84"/>
      <c r="AC338" s="84"/>
      <c r="AD338" s="84"/>
      <c r="AE338" s="84"/>
      <c r="AF338" s="84"/>
      <c r="AG338" s="84"/>
      <c r="AH338" s="84"/>
      <c r="AI338" s="84"/>
      <c r="AJ338" s="84"/>
      <c r="AK338" s="84"/>
      <c r="AL338" s="84"/>
      <c r="AM338" s="84"/>
      <c r="AN338" s="84"/>
      <c r="AO338" s="84"/>
      <c r="AP338" s="89"/>
      <c r="AQ338" s="90"/>
      <c r="AR338" s="84"/>
      <c r="AS338" s="86"/>
    </row>
    <row r="339" spans="1:45" x14ac:dyDescent="0.35">
      <c r="A339" s="88"/>
      <c r="B339" s="84"/>
      <c r="C339" s="84"/>
      <c r="D339" s="84"/>
      <c r="E339" s="84"/>
      <c r="F339" s="84"/>
      <c r="G339" s="84"/>
      <c r="H339" s="84"/>
      <c r="I339" s="84"/>
      <c r="J339" s="84"/>
      <c r="K339" s="88"/>
      <c r="L339" s="84"/>
      <c r="M339" s="96"/>
      <c r="N339" s="84"/>
      <c r="O339" s="84"/>
      <c r="P339" s="84"/>
      <c r="Q339" s="84"/>
      <c r="R339" s="84"/>
      <c r="S339" s="84"/>
      <c r="T339" s="84"/>
      <c r="U339" s="84"/>
      <c r="V339" s="84"/>
      <c r="W339" s="84"/>
      <c r="X339" s="84"/>
      <c r="Y339" s="84"/>
      <c r="Z339" s="84"/>
      <c r="AA339" s="84"/>
      <c r="AB339" s="84"/>
      <c r="AC339" s="84"/>
      <c r="AD339" s="84"/>
      <c r="AE339" s="84"/>
      <c r="AF339" s="84"/>
      <c r="AG339" s="84"/>
      <c r="AH339" s="84"/>
      <c r="AI339" s="84"/>
      <c r="AJ339" s="84"/>
      <c r="AK339" s="84"/>
      <c r="AL339" s="84"/>
      <c r="AM339" s="84"/>
      <c r="AN339" s="84"/>
      <c r="AO339" s="84"/>
      <c r="AP339" s="89"/>
      <c r="AQ339" s="90"/>
      <c r="AR339" s="84"/>
      <c r="AS339" s="86"/>
    </row>
    <row r="340" spans="1:45" x14ac:dyDescent="0.35">
      <c r="A340" s="97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8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84"/>
      <c r="AP340" s="89"/>
      <c r="AQ340" s="90"/>
      <c r="AR340" s="84"/>
      <c r="AS340" s="86"/>
    </row>
    <row r="341" spans="1:45" x14ac:dyDescent="0.35">
      <c r="A341" s="97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8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84"/>
      <c r="AP341" s="89"/>
      <c r="AQ341" s="90"/>
      <c r="AR341" s="84"/>
      <c r="AS341" s="86"/>
    </row>
    <row r="342" spans="1:45" x14ac:dyDescent="0.35">
      <c r="A342" s="88"/>
      <c r="B342" s="84"/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96"/>
      <c r="N342" s="84"/>
      <c r="O342" s="84"/>
      <c r="P342" s="84"/>
      <c r="Q342" s="84"/>
      <c r="R342" s="84"/>
      <c r="S342" s="84"/>
      <c r="T342" s="84"/>
      <c r="U342" s="84"/>
      <c r="V342" s="84"/>
      <c r="W342" s="84"/>
      <c r="X342" s="84"/>
      <c r="Y342" s="84"/>
      <c r="Z342" s="84"/>
      <c r="AA342" s="84"/>
      <c r="AB342" s="84"/>
      <c r="AC342" s="84"/>
      <c r="AD342" s="84"/>
      <c r="AE342" s="84"/>
      <c r="AF342" s="84"/>
      <c r="AG342" s="84"/>
      <c r="AH342" s="84"/>
      <c r="AI342" s="84"/>
      <c r="AJ342" s="84"/>
      <c r="AK342" s="84"/>
      <c r="AL342" s="84"/>
      <c r="AM342" s="84"/>
      <c r="AN342" s="84"/>
      <c r="AO342" s="84"/>
      <c r="AP342" s="89"/>
      <c r="AQ342" s="90"/>
      <c r="AR342" s="84"/>
      <c r="AS342" s="86"/>
    </row>
    <row r="343" spans="1:45" x14ac:dyDescent="0.35">
      <c r="A343" s="88"/>
      <c r="B343" s="84"/>
      <c r="C343" s="84"/>
      <c r="D343" s="84"/>
      <c r="E343" s="84"/>
      <c r="F343" s="84"/>
      <c r="G343" s="84"/>
      <c r="H343" s="84"/>
      <c r="I343" s="84"/>
      <c r="J343" s="84"/>
      <c r="K343" s="88"/>
      <c r="L343" s="84"/>
      <c r="M343" s="96"/>
      <c r="N343" s="84"/>
      <c r="O343" s="84"/>
      <c r="P343" s="84"/>
      <c r="Q343" s="84"/>
      <c r="R343" s="84"/>
      <c r="S343" s="84"/>
      <c r="T343" s="84"/>
      <c r="U343" s="84"/>
      <c r="V343" s="84"/>
      <c r="W343" s="84"/>
      <c r="X343" s="84"/>
      <c r="Y343" s="84"/>
      <c r="Z343" s="84"/>
      <c r="AA343" s="84"/>
      <c r="AB343" s="84"/>
      <c r="AC343" s="84"/>
      <c r="AD343" s="84"/>
      <c r="AE343" s="84"/>
      <c r="AF343" s="84"/>
      <c r="AG343" s="84"/>
      <c r="AH343" s="84"/>
      <c r="AI343" s="84"/>
      <c r="AJ343" s="84"/>
      <c r="AK343" s="84"/>
      <c r="AL343" s="84"/>
      <c r="AM343" s="84"/>
      <c r="AN343" s="84"/>
      <c r="AO343" s="84"/>
      <c r="AP343" s="89"/>
      <c r="AQ343" s="90"/>
      <c r="AR343" s="84"/>
      <c r="AS343" s="86"/>
    </row>
    <row r="344" spans="1:45" x14ac:dyDescent="0.35">
      <c r="A344" s="88"/>
      <c r="B344" s="84"/>
      <c r="C344" s="84"/>
      <c r="D344" s="84"/>
      <c r="E344" s="84"/>
      <c r="F344" s="84"/>
      <c r="G344" s="84"/>
      <c r="H344" s="84"/>
      <c r="I344" s="84"/>
      <c r="J344" s="84"/>
      <c r="K344" s="88"/>
      <c r="L344" s="84"/>
      <c r="M344" s="96"/>
      <c r="N344" s="84"/>
      <c r="O344" s="84"/>
      <c r="P344" s="84"/>
      <c r="Q344" s="84"/>
      <c r="R344" s="84"/>
      <c r="S344" s="84"/>
      <c r="T344" s="84"/>
      <c r="U344" s="84"/>
      <c r="V344" s="84"/>
      <c r="W344" s="84"/>
      <c r="X344" s="84"/>
      <c r="Y344" s="84"/>
      <c r="Z344" s="84"/>
      <c r="AA344" s="84"/>
      <c r="AB344" s="84"/>
      <c r="AC344" s="84"/>
      <c r="AD344" s="84"/>
      <c r="AE344" s="84"/>
      <c r="AF344" s="84"/>
      <c r="AG344" s="84"/>
      <c r="AH344" s="84"/>
      <c r="AI344" s="84"/>
      <c r="AJ344" s="84"/>
      <c r="AK344" s="84"/>
      <c r="AL344" s="84"/>
      <c r="AM344" s="84"/>
      <c r="AN344" s="84"/>
      <c r="AO344" s="84"/>
      <c r="AP344" s="89"/>
      <c r="AQ344" s="90"/>
      <c r="AR344" s="84"/>
      <c r="AS344" s="86"/>
    </row>
    <row r="345" spans="1:45" x14ac:dyDescent="0.35">
      <c r="A345" s="88"/>
      <c r="B345" s="84"/>
      <c r="C345" s="84"/>
      <c r="D345" s="84"/>
      <c r="E345" s="84"/>
      <c r="F345" s="84"/>
      <c r="G345" s="84"/>
      <c r="H345" s="84"/>
      <c r="I345" s="84"/>
      <c r="J345" s="84"/>
      <c r="K345" s="88"/>
      <c r="L345" s="84"/>
      <c r="M345" s="96"/>
      <c r="N345" s="84"/>
      <c r="O345" s="84"/>
      <c r="P345" s="84"/>
      <c r="Q345" s="84"/>
      <c r="R345" s="84"/>
      <c r="S345" s="84"/>
      <c r="T345" s="84"/>
      <c r="U345" s="84"/>
      <c r="V345" s="84"/>
      <c r="W345" s="84"/>
      <c r="X345" s="84"/>
      <c r="Y345" s="84"/>
      <c r="Z345" s="84"/>
      <c r="AA345" s="84"/>
      <c r="AB345" s="84"/>
      <c r="AC345" s="84"/>
      <c r="AD345" s="84"/>
      <c r="AE345" s="84"/>
      <c r="AF345" s="84"/>
      <c r="AG345" s="84"/>
      <c r="AH345" s="84"/>
      <c r="AI345" s="84"/>
      <c r="AJ345" s="84"/>
      <c r="AK345" s="84"/>
      <c r="AL345" s="84"/>
      <c r="AM345" s="84"/>
      <c r="AN345" s="84"/>
      <c r="AO345" s="84"/>
      <c r="AP345" s="89"/>
      <c r="AQ345" s="90"/>
      <c r="AR345" s="84"/>
      <c r="AS345" s="86"/>
    </row>
    <row r="346" spans="1:45" x14ac:dyDescent="0.35">
      <c r="A346" s="88"/>
      <c r="B346" s="84"/>
      <c r="C346" s="84"/>
      <c r="D346" s="84"/>
      <c r="E346" s="84"/>
      <c r="F346" s="84"/>
      <c r="G346" s="84"/>
      <c r="H346" s="84"/>
      <c r="I346" s="84"/>
      <c r="J346" s="84"/>
      <c r="K346" s="88"/>
      <c r="L346" s="84"/>
      <c r="M346" s="96"/>
      <c r="N346" s="84"/>
      <c r="O346" s="84"/>
      <c r="P346" s="84"/>
      <c r="Q346" s="84"/>
      <c r="R346" s="84"/>
      <c r="S346" s="84"/>
      <c r="T346" s="84"/>
      <c r="U346" s="84"/>
      <c r="V346" s="84"/>
      <c r="W346" s="84"/>
      <c r="X346" s="84"/>
      <c r="Y346" s="84"/>
      <c r="Z346" s="84"/>
      <c r="AA346" s="84"/>
      <c r="AB346" s="84"/>
      <c r="AC346" s="84"/>
      <c r="AD346" s="84"/>
      <c r="AE346" s="84"/>
      <c r="AF346" s="84"/>
      <c r="AG346" s="84"/>
      <c r="AH346" s="84"/>
      <c r="AI346" s="84"/>
      <c r="AJ346" s="84"/>
      <c r="AK346" s="84"/>
      <c r="AL346" s="84"/>
      <c r="AM346" s="84"/>
      <c r="AN346" s="84"/>
      <c r="AO346" s="84"/>
      <c r="AP346" s="89"/>
      <c r="AQ346" s="90"/>
      <c r="AR346" s="84"/>
      <c r="AS346" s="86"/>
    </row>
    <row r="347" spans="1:45" x14ac:dyDescent="0.35">
      <c r="A347" s="88"/>
      <c r="B347" s="84"/>
      <c r="C347" s="84"/>
      <c r="D347" s="84"/>
      <c r="E347" s="84"/>
      <c r="F347" s="84"/>
      <c r="G347" s="84"/>
      <c r="H347" s="84"/>
      <c r="I347" s="84"/>
      <c r="J347" s="84"/>
      <c r="K347" s="88"/>
      <c r="L347" s="84"/>
      <c r="M347" s="96"/>
      <c r="N347" s="84"/>
      <c r="O347" s="84"/>
      <c r="P347" s="84"/>
      <c r="Q347" s="84"/>
      <c r="R347" s="84"/>
      <c r="S347" s="84"/>
      <c r="T347" s="84"/>
      <c r="U347" s="84"/>
      <c r="V347" s="84"/>
      <c r="W347" s="84"/>
      <c r="X347" s="84"/>
      <c r="Y347" s="84"/>
      <c r="Z347" s="84"/>
      <c r="AA347" s="84"/>
      <c r="AB347" s="84"/>
      <c r="AC347" s="84"/>
      <c r="AD347" s="84"/>
      <c r="AE347" s="84"/>
      <c r="AF347" s="84"/>
      <c r="AG347" s="84"/>
      <c r="AH347" s="84"/>
      <c r="AI347" s="84"/>
      <c r="AJ347" s="84"/>
      <c r="AK347" s="84"/>
      <c r="AL347" s="84"/>
      <c r="AM347" s="84"/>
      <c r="AN347" s="84"/>
      <c r="AO347" s="84"/>
      <c r="AP347" s="89"/>
      <c r="AQ347" s="90"/>
      <c r="AR347" s="84"/>
      <c r="AS347" s="86"/>
    </row>
    <row r="348" spans="1:45" x14ac:dyDescent="0.35">
      <c r="A348" s="88"/>
      <c r="B348" s="84"/>
      <c r="C348" s="84"/>
      <c r="D348" s="84"/>
      <c r="E348" s="84"/>
      <c r="F348" s="84"/>
      <c r="G348" s="84"/>
      <c r="H348" s="84"/>
      <c r="I348" s="84"/>
      <c r="J348" s="84"/>
      <c r="K348" s="88"/>
      <c r="L348" s="84"/>
      <c r="M348" s="96"/>
      <c r="N348" s="84"/>
      <c r="O348" s="84"/>
      <c r="P348" s="84"/>
      <c r="Q348" s="84"/>
      <c r="R348" s="84"/>
      <c r="S348" s="84"/>
      <c r="T348" s="84"/>
      <c r="U348" s="84"/>
      <c r="V348" s="84"/>
      <c r="W348" s="84"/>
      <c r="X348" s="84"/>
      <c r="Y348" s="84"/>
      <c r="Z348" s="84"/>
      <c r="AA348" s="84"/>
      <c r="AB348" s="84"/>
      <c r="AC348" s="84"/>
      <c r="AD348" s="84"/>
      <c r="AE348" s="84"/>
      <c r="AF348" s="84"/>
      <c r="AG348" s="84"/>
      <c r="AH348" s="84"/>
      <c r="AI348" s="84"/>
      <c r="AJ348" s="84"/>
      <c r="AK348" s="84"/>
      <c r="AL348" s="84"/>
      <c r="AM348" s="84"/>
      <c r="AN348" s="84"/>
      <c r="AO348" s="84"/>
      <c r="AP348" s="89"/>
      <c r="AQ348" s="90"/>
      <c r="AR348" s="84"/>
      <c r="AS348" s="86"/>
    </row>
    <row r="349" spans="1:45" x14ac:dyDescent="0.35">
      <c r="A349" s="97"/>
      <c r="B349" s="92"/>
      <c r="C349" s="92"/>
      <c r="D349" s="92"/>
      <c r="E349" s="92"/>
      <c r="F349" s="92"/>
      <c r="G349" s="92"/>
      <c r="H349" s="92"/>
      <c r="I349" s="92"/>
      <c r="J349" s="92"/>
      <c r="K349" s="97"/>
      <c r="L349" s="92"/>
      <c r="M349" s="98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84"/>
      <c r="AP349" s="89"/>
      <c r="AQ349" s="90"/>
      <c r="AR349" s="84"/>
      <c r="AS349" s="86"/>
    </row>
    <row r="350" spans="1:45" x14ac:dyDescent="0.35">
      <c r="A350" s="88"/>
      <c r="B350" s="84"/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96"/>
      <c r="N350" s="84"/>
      <c r="O350" s="84"/>
      <c r="P350" s="84"/>
      <c r="Q350" s="84"/>
      <c r="R350" s="84"/>
      <c r="S350" s="84"/>
      <c r="T350" s="84"/>
      <c r="U350" s="84"/>
      <c r="V350" s="84"/>
      <c r="W350" s="84"/>
      <c r="X350" s="84"/>
      <c r="Y350" s="84"/>
      <c r="Z350" s="84"/>
      <c r="AA350" s="84"/>
      <c r="AB350" s="84"/>
      <c r="AC350" s="84"/>
      <c r="AD350" s="84"/>
      <c r="AE350" s="84"/>
      <c r="AF350" s="84"/>
      <c r="AG350" s="84"/>
      <c r="AH350" s="84"/>
      <c r="AI350" s="84"/>
      <c r="AJ350" s="84"/>
      <c r="AK350" s="84"/>
      <c r="AL350" s="84"/>
      <c r="AM350" s="84"/>
      <c r="AN350" s="84"/>
      <c r="AO350" s="84"/>
      <c r="AP350" s="89"/>
      <c r="AQ350" s="90"/>
      <c r="AR350" s="84"/>
      <c r="AS350" s="86"/>
    </row>
    <row r="351" spans="1:45" x14ac:dyDescent="0.35">
      <c r="A351" s="88"/>
      <c r="B351" s="84"/>
      <c r="C351" s="84"/>
      <c r="D351" s="84"/>
      <c r="E351" s="84"/>
      <c r="F351" s="84"/>
      <c r="G351" s="84"/>
      <c r="H351" s="84"/>
      <c r="I351" s="84"/>
      <c r="J351" s="84"/>
      <c r="K351" s="88"/>
      <c r="L351" s="84"/>
      <c r="M351" s="96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  <c r="AA351" s="84"/>
      <c r="AB351" s="84"/>
      <c r="AC351" s="84"/>
      <c r="AD351" s="84"/>
      <c r="AE351" s="84"/>
      <c r="AF351" s="84"/>
      <c r="AG351" s="84"/>
      <c r="AH351" s="84"/>
      <c r="AI351" s="84"/>
      <c r="AJ351" s="84"/>
      <c r="AK351" s="84"/>
      <c r="AL351" s="84"/>
      <c r="AM351" s="84"/>
      <c r="AN351" s="84"/>
      <c r="AO351" s="84"/>
      <c r="AP351" s="89"/>
      <c r="AQ351" s="90"/>
      <c r="AR351" s="84"/>
      <c r="AS351" s="86"/>
    </row>
    <row r="352" spans="1:45" x14ac:dyDescent="0.35">
      <c r="A352" s="88"/>
      <c r="B352" s="84"/>
      <c r="C352" s="84"/>
      <c r="D352" s="84"/>
      <c r="E352" s="84"/>
      <c r="F352" s="84"/>
      <c r="G352" s="84"/>
      <c r="H352" s="84"/>
      <c r="I352" s="84"/>
      <c r="J352" s="84"/>
      <c r="K352" s="88"/>
      <c r="L352" s="84"/>
      <c r="M352" s="96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  <c r="AA352" s="84"/>
      <c r="AB352" s="84"/>
      <c r="AC352" s="84"/>
      <c r="AD352" s="84"/>
      <c r="AE352" s="84"/>
      <c r="AF352" s="84"/>
      <c r="AG352" s="84"/>
      <c r="AH352" s="84"/>
      <c r="AI352" s="84"/>
      <c r="AJ352" s="84"/>
      <c r="AK352" s="84"/>
      <c r="AL352" s="84"/>
      <c r="AM352" s="84"/>
      <c r="AN352" s="84"/>
      <c r="AO352" s="84"/>
      <c r="AP352" s="89"/>
      <c r="AQ352" s="90"/>
      <c r="AR352" s="84"/>
      <c r="AS352" s="86"/>
    </row>
    <row r="353" spans="1:45" x14ac:dyDescent="0.35">
      <c r="A353" s="88"/>
      <c r="B353" s="84"/>
      <c r="C353" s="84"/>
      <c r="D353" s="84"/>
      <c r="E353" s="84"/>
      <c r="F353" s="84"/>
      <c r="G353" s="84"/>
      <c r="H353" s="84"/>
      <c r="I353" s="84"/>
      <c r="J353" s="84"/>
      <c r="K353" s="88"/>
      <c r="L353" s="84"/>
      <c r="M353" s="96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  <c r="AA353" s="84"/>
      <c r="AB353" s="84"/>
      <c r="AC353" s="84"/>
      <c r="AD353" s="84"/>
      <c r="AE353" s="84"/>
      <c r="AF353" s="84"/>
      <c r="AG353" s="84"/>
      <c r="AH353" s="84"/>
      <c r="AI353" s="84"/>
      <c r="AJ353" s="84"/>
      <c r="AK353" s="84"/>
      <c r="AL353" s="84"/>
      <c r="AM353" s="84"/>
      <c r="AN353" s="84"/>
      <c r="AO353" s="84"/>
      <c r="AP353" s="89"/>
      <c r="AQ353" s="90"/>
      <c r="AR353" s="84"/>
      <c r="AS353" s="86"/>
    </row>
    <row r="354" spans="1:45" x14ac:dyDescent="0.35">
      <c r="A354" s="88"/>
      <c r="B354" s="84"/>
      <c r="C354" s="84"/>
      <c r="D354" s="84"/>
      <c r="E354" s="84"/>
      <c r="F354" s="84"/>
      <c r="G354" s="84"/>
      <c r="H354" s="84"/>
      <c r="I354" s="84"/>
      <c r="J354" s="84"/>
      <c r="K354" s="84"/>
      <c r="L354" s="84"/>
      <c r="M354" s="96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  <c r="AA354" s="84"/>
      <c r="AB354" s="84"/>
      <c r="AC354" s="84"/>
      <c r="AD354" s="84"/>
      <c r="AE354" s="84"/>
      <c r="AF354" s="84"/>
      <c r="AG354" s="84"/>
      <c r="AH354" s="84"/>
      <c r="AI354" s="84"/>
      <c r="AJ354" s="84"/>
      <c r="AK354" s="84"/>
      <c r="AL354" s="84"/>
      <c r="AM354" s="84"/>
      <c r="AN354" s="84"/>
      <c r="AO354" s="84"/>
      <c r="AP354" s="89"/>
      <c r="AQ354" s="90"/>
      <c r="AR354" s="84"/>
      <c r="AS354" s="86"/>
    </row>
    <row r="355" spans="1:45" x14ac:dyDescent="0.35">
      <c r="A355" s="97"/>
      <c r="B355" s="92"/>
      <c r="C355" s="92"/>
      <c r="D355" s="92"/>
      <c r="E355" s="92"/>
      <c r="F355" s="92"/>
      <c r="G355" s="92"/>
      <c r="H355" s="92"/>
      <c r="I355" s="92"/>
      <c r="J355" s="92"/>
      <c r="K355" s="97"/>
      <c r="L355" s="92"/>
      <c r="M355" s="98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84"/>
      <c r="AP355" s="89"/>
      <c r="AQ355" s="90"/>
      <c r="AR355" s="84"/>
      <c r="AS355" s="86"/>
    </row>
    <row r="356" spans="1:45" x14ac:dyDescent="0.35">
      <c r="A356" s="88"/>
      <c r="B356" s="84"/>
      <c r="C356" s="84"/>
      <c r="D356" s="84"/>
      <c r="E356" s="84"/>
      <c r="F356" s="84"/>
      <c r="G356" s="84"/>
      <c r="H356" s="84"/>
      <c r="I356" s="84"/>
      <c r="J356" s="84"/>
      <c r="K356" s="88"/>
      <c r="L356" s="84"/>
      <c r="M356" s="96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  <c r="AA356" s="84"/>
      <c r="AB356" s="84"/>
      <c r="AC356" s="84"/>
      <c r="AD356" s="84"/>
      <c r="AE356" s="84"/>
      <c r="AF356" s="84"/>
      <c r="AG356" s="84"/>
      <c r="AH356" s="84"/>
      <c r="AI356" s="84"/>
      <c r="AJ356" s="84"/>
      <c r="AK356" s="84"/>
      <c r="AL356" s="84"/>
      <c r="AM356" s="84"/>
      <c r="AN356" s="84"/>
      <c r="AO356" s="84"/>
      <c r="AP356" s="89"/>
      <c r="AQ356" s="90"/>
      <c r="AR356" s="84"/>
      <c r="AS356" s="86"/>
    </row>
    <row r="357" spans="1:45" x14ac:dyDescent="0.35">
      <c r="A357" s="88"/>
      <c r="B357" s="84"/>
      <c r="C357" s="84"/>
      <c r="D357" s="84"/>
      <c r="E357" s="84"/>
      <c r="F357" s="84"/>
      <c r="G357" s="84"/>
      <c r="H357" s="84"/>
      <c r="I357" s="84"/>
      <c r="J357" s="84"/>
      <c r="K357" s="88"/>
      <c r="L357" s="84"/>
      <c r="M357" s="96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  <c r="AA357" s="84"/>
      <c r="AB357" s="84"/>
      <c r="AC357" s="84"/>
      <c r="AD357" s="84"/>
      <c r="AE357" s="84"/>
      <c r="AF357" s="84"/>
      <c r="AG357" s="84"/>
      <c r="AH357" s="84"/>
      <c r="AI357" s="84"/>
      <c r="AJ357" s="84"/>
      <c r="AK357" s="84"/>
      <c r="AL357" s="84"/>
      <c r="AM357" s="84"/>
      <c r="AN357" s="84"/>
      <c r="AO357" s="84"/>
      <c r="AP357" s="89"/>
      <c r="AQ357" s="90"/>
      <c r="AR357" s="84"/>
      <c r="AS357" s="86"/>
    </row>
    <row r="358" spans="1:45" x14ac:dyDescent="0.35">
      <c r="A358" s="97"/>
      <c r="B358" s="92"/>
      <c r="C358" s="92"/>
      <c r="D358" s="92"/>
      <c r="E358" s="92"/>
      <c r="F358" s="92"/>
      <c r="G358" s="92"/>
      <c r="H358" s="92"/>
      <c r="I358" s="92"/>
      <c r="J358" s="92"/>
      <c r="K358" s="97"/>
      <c r="L358" s="92"/>
      <c r="M358" s="98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84"/>
      <c r="AP358" s="89"/>
      <c r="AQ358" s="90"/>
      <c r="AR358" s="84"/>
      <c r="AS358" s="86"/>
    </row>
    <row r="359" spans="1:45" x14ac:dyDescent="0.35">
      <c r="A359" s="97"/>
      <c r="B359" s="92"/>
      <c r="C359" s="92"/>
      <c r="D359" s="92"/>
      <c r="E359" s="92"/>
      <c r="F359" s="92"/>
      <c r="G359" s="92"/>
      <c r="H359" s="92"/>
      <c r="I359" s="92"/>
      <c r="J359" s="92"/>
      <c r="K359" s="97"/>
      <c r="L359" s="92"/>
      <c r="M359" s="98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84"/>
      <c r="AP359" s="89"/>
      <c r="AQ359" s="90"/>
      <c r="AR359" s="84"/>
      <c r="AS359" s="86"/>
    </row>
    <row r="360" spans="1:45" x14ac:dyDescent="0.35">
      <c r="A360" s="97"/>
      <c r="B360" s="92"/>
      <c r="C360" s="92"/>
      <c r="D360" s="92"/>
      <c r="E360" s="92"/>
      <c r="F360" s="92"/>
      <c r="G360" s="92"/>
      <c r="H360" s="92"/>
      <c r="I360" s="92"/>
      <c r="J360" s="92"/>
      <c r="K360" s="97"/>
      <c r="L360" s="92"/>
      <c r="M360" s="98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84"/>
      <c r="AP360" s="89"/>
      <c r="AQ360" s="90"/>
      <c r="AR360" s="84"/>
      <c r="AS360" s="86"/>
    </row>
    <row r="361" spans="1:45" x14ac:dyDescent="0.35">
      <c r="A361" s="97"/>
      <c r="B361" s="92"/>
      <c r="C361" s="92"/>
      <c r="D361" s="92"/>
      <c r="E361" s="92"/>
      <c r="F361" s="92"/>
      <c r="G361" s="92"/>
      <c r="H361" s="92"/>
      <c r="I361" s="92"/>
      <c r="J361" s="92"/>
      <c r="K361" s="97"/>
      <c r="L361" s="92"/>
      <c r="M361" s="98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84"/>
      <c r="AP361" s="89"/>
      <c r="AQ361" s="90"/>
      <c r="AR361" s="84"/>
      <c r="AS361" s="86"/>
    </row>
    <row r="362" spans="1:45" x14ac:dyDescent="0.35">
      <c r="A362" s="97"/>
      <c r="B362" s="92"/>
      <c r="C362" s="92"/>
      <c r="D362" s="92"/>
      <c r="E362" s="92"/>
      <c r="F362" s="92"/>
      <c r="G362" s="92"/>
      <c r="H362" s="92"/>
      <c r="I362" s="92"/>
      <c r="J362" s="92"/>
      <c r="K362" s="97"/>
      <c r="L362" s="92"/>
      <c r="M362" s="98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84"/>
      <c r="AP362" s="89"/>
      <c r="AQ362" s="90"/>
      <c r="AR362" s="84"/>
      <c r="AS362" s="86"/>
    </row>
    <row r="363" spans="1:45" x14ac:dyDescent="0.35">
      <c r="A363" s="97"/>
      <c r="B363" s="92"/>
      <c r="C363" s="92"/>
      <c r="D363" s="92"/>
      <c r="E363" s="92"/>
      <c r="F363" s="92"/>
      <c r="G363" s="92"/>
      <c r="H363" s="92"/>
      <c r="I363" s="92"/>
      <c r="J363" s="92"/>
      <c r="K363" s="97"/>
      <c r="L363" s="92"/>
      <c r="M363" s="98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84"/>
      <c r="AP363" s="89"/>
      <c r="AQ363" s="90"/>
      <c r="AR363" s="84"/>
      <c r="AS363" s="86"/>
    </row>
    <row r="364" spans="1:45" x14ac:dyDescent="0.35">
      <c r="A364" s="97"/>
      <c r="B364" s="92"/>
      <c r="C364" s="92"/>
      <c r="D364" s="92"/>
      <c r="E364" s="92"/>
      <c r="F364" s="92"/>
      <c r="G364" s="92"/>
      <c r="H364" s="92"/>
      <c r="I364" s="92"/>
      <c r="J364" s="92"/>
      <c r="K364" s="97"/>
      <c r="L364" s="92"/>
      <c r="M364" s="98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84"/>
      <c r="AP364" s="89"/>
      <c r="AQ364" s="90"/>
      <c r="AR364" s="84"/>
      <c r="AS364" s="86"/>
    </row>
    <row r="365" spans="1:45" x14ac:dyDescent="0.35">
      <c r="A365" s="97"/>
      <c r="B365" s="92"/>
      <c r="C365" s="92"/>
      <c r="D365" s="92"/>
      <c r="E365" s="92"/>
      <c r="F365" s="92"/>
      <c r="G365" s="92"/>
      <c r="H365" s="92"/>
      <c r="I365" s="92"/>
      <c r="J365" s="92"/>
      <c r="K365" s="97"/>
      <c r="L365" s="92"/>
      <c r="M365" s="98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84"/>
      <c r="AP365" s="89"/>
      <c r="AQ365" s="90"/>
      <c r="AR365" s="84"/>
      <c r="AS365" s="86"/>
    </row>
    <row r="366" spans="1:45" x14ac:dyDescent="0.35">
      <c r="A366" s="97"/>
      <c r="B366" s="92"/>
      <c r="C366" s="92"/>
      <c r="D366" s="92"/>
      <c r="E366" s="92"/>
      <c r="F366" s="92"/>
      <c r="G366" s="92"/>
      <c r="H366" s="92"/>
      <c r="I366" s="92"/>
      <c r="J366" s="92"/>
      <c r="K366" s="97"/>
      <c r="L366" s="92"/>
      <c r="M366" s="98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84"/>
      <c r="AP366" s="89"/>
      <c r="AQ366" s="90"/>
      <c r="AR366" s="84"/>
      <c r="AS366" s="86"/>
    </row>
    <row r="367" spans="1:45" x14ac:dyDescent="0.35">
      <c r="A367" s="97"/>
      <c r="B367" s="92"/>
      <c r="C367" s="92"/>
      <c r="D367" s="92"/>
      <c r="E367" s="92"/>
      <c r="F367" s="92"/>
      <c r="G367" s="92"/>
      <c r="H367" s="92"/>
      <c r="I367" s="92"/>
      <c r="J367" s="92"/>
      <c r="K367" s="97"/>
      <c r="L367" s="92"/>
      <c r="M367" s="98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84"/>
      <c r="AP367" s="89"/>
      <c r="AQ367" s="90"/>
      <c r="AR367" s="84"/>
      <c r="AS367" s="86"/>
    </row>
    <row r="368" spans="1:45" x14ac:dyDescent="0.35">
      <c r="A368" s="97"/>
      <c r="B368" s="92"/>
      <c r="C368" s="92"/>
      <c r="D368" s="92"/>
      <c r="E368" s="92"/>
      <c r="F368" s="92"/>
      <c r="G368" s="92"/>
      <c r="H368" s="92"/>
      <c r="I368" s="92"/>
      <c r="J368" s="92"/>
      <c r="K368" s="97"/>
      <c r="L368" s="92"/>
      <c r="M368" s="98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84"/>
      <c r="AP368" s="89"/>
      <c r="AQ368" s="90"/>
      <c r="AR368" s="84"/>
      <c r="AS368" s="86"/>
    </row>
    <row r="369" spans="1:45" x14ac:dyDescent="0.35">
      <c r="A369" s="97"/>
      <c r="B369" s="92"/>
      <c r="C369" s="92"/>
      <c r="D369" s="92"/>
      <c r="E369" s="92"/>
      <c r="F369" s="92"/>
      <c r="G369" s="92"/>
      <c r="H369" s="92"/>
      <c r="I369" s="92"/>
      <c r="J369" s="92"/>
      <c r="K369" s="97"/>
      <c r="L369" s="92"/>
      <c r="M369" s="98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84"/>
      <c r="AP369" s="89"/>
      <c r="AQ369" s="90"/>
      <c r="AR369" s="84"/>
      <c r="AS369" s="86"/>
    </row>
    <row r="370" spans="1:45" x14ac:dyDescent="0.35">
      <c r="A370" s="97"/>
      <c r="B370" s="92"/>
      <c r="C370" s="92"/>
      <c r="D370" s="92"/>
      <c r="E370" s="92"/>
      <c r="F370" s="92"/>
      <c r="G370" s="92"/>
      <c r="H370" s="92"/>
      <c r="I370" s="92"/>
      <c r="J370" s="92"/>
      <c r="K370" s="97"/>
      <c r="L370" s="92"/>
      <c r="M370" s="98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84"/>
      <c r="AP370" s="89"/>
      <c r="AQ370" s="90"/>
      <c r="AR370" s="84"/>
      <c r="AS370" s="86"/>
    </row>
    <row r="371" spans="1:45" x14ac:dyDescent="0.35">
      <c r="A371" s="97"/>
      <c r="B371" s="92"/>
      <c r="C371" s="92"/>
      <c r="D371" s="92"/>
      <c r="E371" s="92"/>
      <c r="F371" s="92"/>
      <c r="G371" s="92"/>
      <c r="H371" s="92"/>
      <c r="I371" s="92"/>
      <c r="J371" s="92"/>
      <c r="K371" s="97"/>
      <c r="L371" s="92"/>
      <c r="M371" s="98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84"/>
      <c r="AP371" s="89"/>
      <c r="AQ371" s="90"/>
      <c r="AR371" s="84"/>
      <c r="AS371" s="86"/>
    </row>
    <row r="372" spans="1:45" x14ac:dyDescent="0.35">
      <c r="A372" s="97"/>
      <c r="B372" s="92"/>
      <c r="C372" s="92"/>
      <c r="D372" s="92"/>
      <c r="E372" s="92"/>
      <c r="F372" s="92"/>
      <c r="G372" s="92"/>
      <c r="H372" s="92"/>
      <c r="I372" s="92"/>
      <c r="J372" s="92"/>
      <c r="K372" s="97"/>
      <c r="L372" s="92"/>
      <c r="M372" s="98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84"/>
      <c r="AP372" s="89"/>
      <c r="AQ372" s="90"/>
      <c r="AR372" s="84"/>
      <c r="AS372" s="86"/>
    </row>
    <row r="373" spans="1:45" x14ac:dyDescent="0.35">
      <c r="A373" s="97"/>
      <c r="B373" s="92"/>
      <c r="C373" s="92"/>
      <c r="D373" s="92"/>
      <c r="E373" s="92"/>
      <c r="F373" s="92"/>
      <c r="G373" s="92"/>
      <c r="H373" s="92"/>
      <c r="I373" s="92"/>
      <c r="J373" s="92"/>
      <c r="K373" s="97"/>
      <c r="L373" s="92"/>
      <c r="M373" s="98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84"/>
      <c r="AP373" s="89"/>
      <c r="AQ373" s="90"/>
      <c r="AR373" s="84"/>
      <c r="AS373" s="86"/>
    </row>
    <row r="374" spans="1:45" x14ac:dyDescent="0.35">
      <c r="A374" s="97"/>
      <c r="B374" s="92"/>
      <c r="C374" s="92"/>
      <c r="D374" s="92"/>
      <c r="E374" s="92"/>
      <c r="F374" s="92"/>
      <c r="G374" s="92"/>
      <c r="H374" s="92"/>
      <c r="I374" s="92"/>
      <c r="J374" s="92"/>
      <c r="K374" s="97"/>
      <c r="L374" s="92"/>
      <c r="M374" s="98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84"/>
      <c r="AP374" s="89"/>
      <c r="AQ374" s="90"/>
      <c r="AR374" s="84"/>
      <c r="AS374" s="86"/>
    </row>
    <row r="375" spans="1:45" x14ac:dyDescent="0.35">
      <c r="A375" s="97"/>
      <c r="B375" s="92"/>
      <c r="C375" s="92"/>
      <c r="D375" s="92"/>
      <c r="E375" s="92"/>
      <c r="F375" s="92"/>
      <c r="G375" s="92"/>
      <c r="H375" s="92"/>
      <c r="I375" s="92"/>
      <c r="J375" s="92"/>
      <c r="K375" s="97"/>
      <c r="L375" s="92"/>
      <c r="M375" s="98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84"/>
      <c r="AP375" s="89"/>
      <c r="AQ375" s="90"/>
      <c r="AR375" s="84"/>
      <c r="AS375" s="86"/>
    </row>
    <row r="376" spans="1:45" x14ac:dyDescent="0.35">
      <c r="A376" s="97"/>
      <c r="B376" s="92"/>
      <c r="C376" s="92"/>
      <c r="D376" s="92"/>
      <c r="E376" s="92"/>
      <c r="F376" s="92"/>
      <c r="G376" s="92"/>
      <c r="H376" s="92"/>
      <c r="I376" s="92"/>
      <c r="J376" s="92"/>
      <c r="K376" s="97"/>
      <c r="L376" s="92"/>
      <c r="M376" s="98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84"/>
      <c r="AP376" s="89"/>
      <c r="AQ376" s="90"/>
      <c r="AR376" s="84"/>
      <c r="AS376" s="86"/>
    </row>
    <row r="377" spans="1:45" x14ac:dyDescent="0.35">
      <c r="A377" s="97"/>
      <c r="B377" s="92"/>
      <c r="C377" s="92"/>
      <c r="D377" s="92"/>
      <c r="E377" s="92"/>
      <c r="F377" s="92"/>
      <c r="G377" s="92"/>
      <c r="H377" s="92"/>
      <c r="I377" s="92"/>
      <c r="J377" s="92"/>
      <c r="K377" s="97"/>
      <c r="L377" s="92"/>
      <c r="M377" s="98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84"/>
      <c r="AP377" s="89"/>
      <c r="AQ377" s="90"/>
      <c r="AR377" s="84"/>
      <c r="AS377" s="86"/>
    </row>
    <row r="378" spans="1:45" x14ac:dyDescent="0.35">
      <c r="A378" s="97"/>
      <c r="B378" s="92"/>
      <c r="C378" s="92"/>
      <c r="D378" s="92"/>
      <c r="E378" s="92"/>
      <c r="F378" s="92"/>
      <c r="G378" s="92"/>
      <c r="H378" s="92"/>
      <c r="I378" s="92"/>
      <c r="J378" s="92"/>
      <c r="K378" s="97"/>
      <c r="L378" s="92"/>
      <c r="M378" s="98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84"/>
      <c r="AP378" s="89"/>
      <c r="AQ378" s="90"/>
      <c r="AR378" s="84"/>
      <c r="AS378" s="86"/>
    </row>
    <row r="379" spans="1:45" x14ac:dyDescent="0.35">
      <c r="A379" s="97"/>
      <c r="B379" s="92"/>
      <c r="C379" s="92"/>
      <c r="D379" s="92"/>
      <c r="E379" s="92"/>
      <c r="F379" s="92"/>
      <c r="G379" s="92"/>
      <c r="H379" s="92"/>
      <c r="I379" s="92"/>
      <c r="J379" s="92"/>
      <c r="K379" s="97"/>
      <c r="L379" s="92"/>
      <c r="M379" s="98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84"/>
      <c r="AP379" s="89"/>
      <c r="AQ379" s="90"/>
      <c r="AR379" s="84"/>
      <c r="AS379" s="86"/>
    </row>
    <row r="380" spans="1:45" x14ac:dyDescent="0.35">
      <c r="A380" s="97"/>
      <c r="B380" s="92"/>
      <c r="C380" s="92"/>
      <c r="D380" s="92"/>
      <c r="E380" s="92"/>
      <c r="F380" s="92"/>
      <c r="G380" s="92"/>
      <c r="H380" s="92"/>
      <c r="I380" s="92"/>
      <c r="J380" s="92"/>
      <c r="K380" s="97"/>
      <c r="L380" s="92"/>
      <c r="M380" s="98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84"/>
      <c r="AP380" s="89"/>
      <c r="AQ380" s="90"/>
      <c r="AR380" s="84"/>
      <c r="AS380" s="86"/>
    </row>
    <row r="381" spans="1:45" x14ac:dyDescent="0.35">
      <c r="A381" s="97"/>
      <c r="B381" s="92"/>
      <c r="C381" s="92"/>
      <c r="D381" s="92"/>
      <c r="E381" s="92"/>
      <c r="F381" s="92"/>
      <c r="G381" s="92"/>
      <c r="H381" s="92"/>
      <c r="I381" s="92"/>
      <c r="J381" s="92"/>
      <c r="K381" s="97"/>
      <c r="L381" s="92"/>
      <c r="M381" s="98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84"/>
      <c r="AP381" s="89"/>
      <c r="AQ381" s="90"/>
      <c r="AR381" s="84"/>
      <c r="AS381" s="86"/>
    </row>
    <row r="382" spans="1:45" x14ac:dyDescent="0.35">
      <c r="A382" s="97"/>
      <c r="B382" s="92"/>
      <c r="C382" s="92"/>
      <c r="D382" s="92"/>
      <c r="E382" s="92"/>
      <c r="F382" s="92"/>
      <c r="G382" s="92"/>
      <c r="H382" s="92"/>
      <c r="I382" s="92"/>
      <c r="J382" s="92"/>
      <c r="K382" s="97"/>
      <c r="L382" s="92"/>
      <c r="M382" s="98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84"/>
      <c r="AP382" s="89"/>
      <c r="AQ382" s="90"/>
      <c r="AR382" s="84"/>
      <c r="AS382" s="86"/>
    </row>
    <row r="383" spans="1:45" x14ac:dyDescent="0.35">
      <c r="A383" s="97"/>
      <c r="B383" s="92"/>
      <c r="C383" s="92"/>
      <c r="D383" s="92"/>
      <c r="E383" s="92"/>
      <c r="F383" s="92"/>
      <c r="G383" s="92"/>
      <c r="H383" s="92"/>
      <c r="I383" s="92"/>
      <c r="J383" s="92"/>
      <c r="K383" s="97"/>
      <c r="L383" s="92"/>
      <c r="M383" s="98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84"/>
      <c r="AP383" s="89"/>
      <c r="AQ383" s="90"/>
      <c r="AR383" s="84"/>
      <c r="AS383" s="86"/>
    </row>
    <row r="384" spans="1:45" x14ac:dyDescent="0.35">
      <c r="A384" s="97"/>
      <c r="B384" s="92"/>
      <c r="C384" s="92"/>
      <c r="D384" s="92"/>
      <c r="E384" s="92"/>
      <c r="F384" s="92"/>
      <c r="G384" s="92"/>
      <c r="H384" s="92"/>
      <c r="I384" s="92"/>
      <c r="J384" s="92"/>
      <c r="K384" s="97"/>
      <c r="L384" s="92"/>
      <c r="M384" s="98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84"/>
      <c r="AP384" s="89"/>
      <c r="AQ384" s="90"/>
      <c r="AR384" s="84"/>
      <c r="AS384" s="86"/>
    </row>
    <row r="385" spans="1:45" x14ac:dyDescent="0.35">
      <c r="A385" s="97"/>
      <c r="B385" s="92"/>
      <c r="C385" s="92"/>
      <c r="D385" s="92"/>
      <c r="E385" s="92"/>
      <c r="F385" s="92"/>
      <c r="G385" s="92"/>
      <c r="H385" s="92"/>
      <c r="I385" s="92"/>
      <c r="J385" s="92"/>
      <c r="K385" s="97"/>
      <c r="L385" s="92"/>
      <c r="M385" s="98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84"/>
      <c r="AP385" s="89"/>
      <c r="AQ385" s="90"/>
      <c r="AR385" s="84"/>
      <c r="AS385" s="86"/>
    </row>
    <row r="386" spans="1:45" x14ac:dyDescent="0.35">
      <c r="A386" s="97"/>
      <c r="B386" s="92"/>
      <c r="C386" s="92"/>
      <c r="D386" s="92"/>
      <c r="E386" s="92"/>
      <c r="F386" s="92"/>
      <c r="G386" s="92"/>
      <c r="H386" s="92"/>
      <c r="I386" s="92"/>
      <c r="J386" s="92"/>
      <c r="K386" s="97"/>
      <c r="L386" s="92"/>
      <c r="M386" s="98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84"/>
      <c r="AP386" s="89"/>
      <c r="AQ386" s="90"/>
      <c r="AR386" s="84"/>
      <c r="AS386" s="86"/>
    </row>
    <row r="387" spans="1:45" x14ac:dyDescent="0.35">
      <c r="A387" s="97"/>
      <c r="B387" s="92"/>
      <c r="C387" s="92"/>
      <c r="D387" s="92"/>
      <c r="E387" s="92"/>
      <c r="F387" s="92"/>
      <c r="G387" s="92"/>
      <c r="H387" s="92"/>
      <c r="I387" s="92"/>
      <c r="J387" s="92"/>
      <c r="K387" s="97"/>
      <c r="L387" s="92"/>
      <c r="M387" s="98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84"/>
      <c r="AP387" s="89"/>
      <c r="AQ387" s="90"/>
      <c r="AR387" s="84"/>
      <c r="AS387" s="86"/>
    </row>
    <row r="388" spans="1:45" x14ac:dyDescent="0.35">
      <c r="A388" s="97"/>
      <c r="B388" s="92"/>
      <c r="C388" s="92"/>
      <c r="D388" s="92"/>
      <c r="E388" s="92"/>
      <c r="F388" s="92"/>
      <c r="G388" s="92"/>
      <c r="H388" s="92"/>
      <c r="I388" s="92"/>
      <c r="J388" s="92"/>
      <c r="K388" s="97"/>
      <c r="L388" s="92"/>
      <c r="M388" s="98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84"/>
      <c r="AP388" s="89"/>
      <c r="AQ388" s="90"/>
      <c r="AR388" s="84"/>
      <c r="AS388" s="86"/>
    </row>
    <row r="389" spans="1:45" x14ac:dyDescent="0.35">
      <c r="A389" s="97"/>
      <c r="B389" s="92"/>
      <c r="C389" s="92"/>
      <c r="D389" s="92"/>
      <c r="E389" s="92"/>
      <c r="F389" s="92"/>
      <c r="G389" s="92"/>
      <c r="H389" s="92"/>
      <c r="I389" s="92"/>
      <c r="J389" s="92"/>
      <c r="K389" s="97"/>
      <c r="L389" s="92"/>
      <c r="M389" s="98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84"/>
      <c r="AP389" s="89"/>
      <c r="AQ389" s="90"/>
      <c r="AR389" s="84"/>
      <c r="AS389" s="86"/>
    </row>
    <row r="390" spans="1:45" x14ac:dyDescent="0.35">
      <c r="A390" s="97"/>
      <c r="B390" s="92"/>
      <c r="C390" s="92"/>
      <c r="D390" s="92"/>
      <c r="E390" s="92"/>
      <c r="F390" s="92"/>
      <c r="G390" s="92"/>
      <c r="H390" s="92"/>
      <c r="I390" s="92"/>
      <c r="J390" s="92"/>
      <c r="K390" s="97"/>
      <c r="L390" s="92"/>
      <c r="M390" s="98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84"/>
      <c r="AP390" s="89"/>
      <c r="AQ390" s="90"/>
      <c r="AR390" s="84"/>
      <c r="AS390" s="86"/>
    </row>
    <row r="391" spans="1:45" x14ac:dyDescent="0.35">
      <c r="A391" s="97"/>
      <c r="B391" s="92"/>
      <c r="C391" s="92"/>
      <c r="D391" s="92"/>
      <c r="E391" s="92"/>
      <c r="F391" s="92"/>
      <c r="G391" s="92"/>
      <c r="H391" s="92"/>
      <c r="I391" s="92"/>
      <c r="J391" s="92"/>
      <c r="K391" s="97"/>
      <c r="L391" s="92"/>
      <c r="M391" s="98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84"/>
      <c r="AP391" s="89"/>
      <c r="AQ391" s="90"/>
      <c r="AR391" s="84"/>
      <c r="AS391" s="86"/>
    </row>
    <row r="392" spans="1:45" x14ac:dyDescent="0.35">
      <c r="A392" s="97"/>
      <c r="B392" s="92"/>
      <c r="C392" s="92"/>
      <c r="D392" s="92"/>
      <c r="E392" s="92"/>
      <c r="F392" s="92"/>
      <c r="G392" s="92"/>
      <c r="H392" s="92"/>
      <c r="I392" s="92"/>
      <c r="J392" s="92"/>
      <c r="K392" s="97"/>
      <c r="L392" s="92"/>
      <c r="M392" s="98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84"/>
      <c r="AP392" s="89"/>
      <c r="AQ392" s="90"/>
      <c r="AR392" s="84"/>
      <c r="AS392" s="86"/>
    </row>
    <row r="393" spans="1:45" x14ac:dyDescent="0.35">
      <c r="A393" s="97"/>
      <c r="B393" s="92"/>
      <c r="C393" s="92"/>
      <c r="D393" s="92"/>
      <c r="E393" s="92"/>
      <c r="F393" s="92"/>
      <c r="G393" s="92"/>
      <c r="H393" s="92"/>
      <c r="I393" s="92"/>
      <c r="J393" s="92"/>
      <c r="K393" s="97"/>
      <c r="L393" s="92"/>
      <c r="M393" s="98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84"/>
      <c r="AP393" s="89"/>
      <c r="AQ393" s="90"/>
      <c r="AR393" s="84"/>
      <c r="AS393" s="86"/>
    </row>
    <row r="394" spans="1:45" x14ac:dyDescent="0.35">
      <c r="A394" s="97"/>
      <c r="B394" s="92"/>
      <c r="C394" s="92"/>
      <c r="D394" s="92"/>
      <c r="E394" s="92"/>
      <c r="F394" s="92"/>
      <c r="G394" s="92"/>
      <c r="H394" s="92"/>
      <c r="I394" s="92"/>
      <c r="J394" s="92"/>
      <c r="K394" s="97"/>
      <c r="L394" s="92"/>
      <c r="M394" s="98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84"/>
      <c r="AP394" s="89"/>
      <c r="AQ394" s="90"/>
      <c r="AR394" s="84"/>
      <c r="AS394" s="86"/>
    </row>
    <row r="395" spans="1:45" x14ac:dyDescent="0.35">
      <c r="A395" s="97"/>
      <c r="B395" s="92"/>
      <c r="C395" s="92"/>
      <c r="D395" s="92"/>
      <c r="E395" s="92"/>
      <c r="F395" s="92"/>
      <c r="G395" s="92"/>
      <c r="H395" s="92"/>
      <c r="I395" s="92"/>
      <c r="J395" s="92"/>
      <c r="K395" s="97"/>
      <c r="L395" s="92"/>
      <c r="M395" s="98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84"/>
      <c r="AP395" s="89"/>
      <c r="AQ395" s="90"/>
      <c r="AR395" s="84"/>
      <c r="AS395" s="86"/>
    </row>
    <row r="396" spans="1:45" x14ac:dyDescent="0.35">
      <c r="A396" s="97"/>
      <c r="B396" s="92"/>
      <c r="C396" s="92"/>
      <c r="D396" s="92"/>
      <c r="E396" s="92"/>
      <c r="F396" s="92"/>
      <c r="G396" s="92"/>
      <c r="H396" s="92"/>
      <c r="I396" s="92"/>
      <c r="J396" s="92"/>
      <c r="K396" s="97"/>
      <c r="L396" s="92"/>
      <c r="M396" s="98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84"/>
      <c r="AP396" s="89"/>
      <c r="AQ396" s="90"/>
      <c r="AR396" s="84"/>
      <c r="AS396" s="86"/>
    </row>
    <row r="397" spans="1:45" x14ac:dyDescent="0.35">
      <c r="A397" s="97"/>
      <c r="B397" s="92"/>
      <c r="C397" s="92"/>
      <c r="D397" s="92"/>
      <c r="E397" s="92"/>
      <c r="F397" s="92"/>
      <c r="G397" s="92"/>
      <c r="H397" s="92"/>
      <c r="I397" s="92"/>
      <c r="J397" s="92"/>
      <c r="K397" s="97"/>
      <c r="L397" s="92"/>
      <c r="M397" s="98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84"/>
      <c r="AP397" s="89"/>
      <c r="AQ397" s="90"/>
      <c r="AR397" s="84"/>
      <c r="AS397" s="86"/>
    </row>
    <row r="398" spans="1:45" x14ac:dyDescent="0.35">
      <c r="A398" s="97"/>
      <c r="B398" s="92"/>
      <c r="C398" s="92"/>
      <c r="D398" s="92"/>
      <c r="E398" s="92"/>
      <c r="F398" s="92"/>
      <c r="G398" s="92"/>
      <c r="H398" s="92"/>
      <c r="I398" s="92"/>
      <c r="J398" s="92"/>
      <c r="K398" s="97"/>
      <c r="L398" s="92"/>
      <c r="M398" s="98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84"/>
      <c r="AP398" s="89"/>
      <c r="AQ398" s="90"/>
      <c r="AR398" s="84"/>
      <c r="AS398" s="86"/>
    </row>
    <row r="399" spans="1:45" x14ac:dyDescent="0.35">
      <c r="A399" s="97"/>
      <c r="B399" s="92"/>
      <c r="C399" s="92"/>
      <c r="D399" s="92"/>
      <c r="E399" s="92"/>
      <c r="F399" s="92"/>
      <c r="G399" s="92"/>
      <c r="H399" s="92"/>
      <c r="I399" s="92"/>
      <c r="J399" s="92"/>
      <c r="K399" s="97"/>
      <c r="L399" s="92"/>
      <c r="M399" s="98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84"/>
      <c r="AP399" s="89"/>
      <c r="AQ399" s="90"/>
      <c r="AR399" s="84"/>
      <c r="AS399" s="86"/>
    </row>
    <row r="400" spans="1:45" x14ac:dyDescent="0.35">
      <c r="A400" s="97"/>
      <c r="B400" s="92"/>
      <c r="C400" s="92"/>
      <c r="D400" s="92"/>
      <c r="E400" s="92"/>
      <c r="F400" s="92"/>
      <c r="G400" s="92"/>
      <c r="H400" s="92"/>
      <c r="I400" s="92"/>
      <c r="J400" s="92"/>
      <c r="K400" s="97"/>
      <c r="L400" s="92"/>
      <c r="M400" s="98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84"/>
      <c r="AP400" s="89"/>
      <c r="AQ400" s="90"/>
      <c r="AR400" s="84"/>
      <c r="AS400" s="86"/>
    </row>
    <row r="401" spans="1:45" x14ac:dyDescent="0.35">
      <c r="A401" s="97"/>
      <c r="B401" s="92"/>
      <c r="C401" s="92"/>
      <c r="D401" s="92"/>
      <c r="E401" s="92"/>
      <c r="F401" s="92"/>
      <c r="G401" s="92"/>
      <c r="H401" s="92"/>
      <c r="I401" s="92"/>
      <c r="J401" s="92"/>
      <c r="K401" s="97"/>
      <c r="L401" s="92"/>
      <c r="M401" s="98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84"/>
      <c r="AP401" s="89"/>
      <c r="AQ401" s="90"/>
      <c r="AR401" s="84"/>
      <c r="AS401" s="86"/>
    </row>
    <row r="402" spans="1:45" x14ac:dyDescent="0.35">
      <c r="A402" s="97"/>
      <c r="B402" s="92"/>
      <c r="C402" s="92"/>
      <c r="D402" s="92"/>
      <c r="E402" s="92"/>
      <c r="F402" s="92"/>
      <c r="G402" s="92"/>
      <c r="H402" s="92"/>
      <c r="I402" s="92"/>
      <c r="J402" s="92"/>
      <c r="K402" s="97"/>
      <c r="L402" s="92"/>
      <c r="M402" s="98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84"/>
      <c r="AP402" s="89"/>
      <c r="AQ402" s="90"/>
      <c r="AR402" s="84"/>
      <c r="AS402" s="86"/>
    </row>
    <row r="403" spans="1:45" x14ac:dyDescent="0.35">
      <c r="A403" s="97"/>
      <c r="B403" s="92"/>
      <c r="C403" s="92"/>
      <c r="D403" s="92"/>
      <c r="E403" s="92"/>
      <c r="F403" s="92"/>
      <c r="G403" s="92"/>
      <c r="H403" s="92"/>
      <c r="I403" s="92"/>
      <c r="J403" s="92"/>
      <c r="K403" s="97"/>
      <c r="L403" s="92"/>
      <c r="M403" s="98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84"/>
      <c r="AP403" s="89"/>
      <c r="AQ403" s="90"/>
      <c r="AR403" s="84"/>
      <c r="AS403" s="86"/>
    </row>
    <row r="404" spans="1:45" x14ac:dyDescent="0.35">
      <c r="A404" s="97"/>
      <c r="B404" s="92"/>
      <c r="C404" s="92"/>
      <c r="D404" s="92"/>
      <c r="E404" s="92"/>
      <c r="F404" s="92"/>
      <c r="G404" s="92"/>
      <c r="H404" s="92"/>
      <c r="I404" s="92"/>
      <c r="J404" s="92"/>
      <c r="K404" s="97"/>
      <c r="L404" s="92"/>
      <c r="M404" s="98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84"/>
      <c r="AP404" s="89"/>
      <c r="AQ404" s="90"/>
      <c r="AR404" s="84"/>
      <c r="AS404" s="86"/>
    </row>
    <row r="405" spans="1:45" x14ac:dyDescent="0.35">
      <c r="A405" s="97"/>
      <c r="B405" s="92"/>
      <c r="C405" s="92"/>
      <c r="D405" s="92"/>
      <c r="E405" s="92"/>
      <c r="F405" s="92"/>
      <c r="G405" s="92"/>
      <c r="H405" s="92"/>
      <c r="I405" s="92"/>
      <c r="J405" s="92"/>
      <c r="K405" s="97"/>
      <c r="L405" s="92"/>
      <c r="M405" s="98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84"/>
      <c r="AP405" s="89"/>
      <c r="AQ405" s="90"/>
      <c r="AR405" s="84"/>
      <c r="AS405" s="86"/>
    </row>
    <row r="406" spans="1:45" x14ac:dyDescent="0.35">
      <c r="A406" s="97"/>
      <c r="B406" s="92"/>
      <c r="C406" s="92"/>
      <c r="D406" s="92"/>
      <c r="E406" s="92"/>
      <c r="F406" s="92"/>
      <c r="G406" s="92"/>
      <c r="H406" s="92"/>
      <c r="I406" s="92"/>
      <c r="J406" s="92"/>
      <c r="K406" s="97"/>
      <c r="L406" s="92"/>
      <c r="M406" s="98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84"/>
      <c r="AP406" s="89"/>
      <c r="AQ406" s="90"/>
      <c r="AR406" s="84"/>
      <c r="AS406" s="86"/>
    </row>
    <row r="407" spans="1:45" x14ac:dyDescent="0.35">
      <c r="A407" s="97"/>
      <c r="B407" s="92"/>
      <c r="C407" s="92"/>
      <c r="D407" s="92"/>
      <c r="E407" s="92"/>
      <c r="F407" s="92"/>
      <c r="G407" s="92"/>
      <c r="H407" s="92"/>
      <c r="I407" s="92"/>
      <c r="J407" s="92"/>
      <c r="K407" s="97"/>
      <c r="L407" s="92"/>
      <c r="M407" s="98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84"/>
      <c r="AP407" s="89"/>
      <c r="AQ407" s="90"/>
      <c r="AR407" s="84"/>
      <c r="AS407" s="86"/>
    </row>
    <row r="408" spans="1:45" x14ac:dyDescent="0.35">
      <c r="A408" s="97"/>
      <c r="B408" s="92"/>
      <c r="C408" s="92"/>
      <c r="D408" s="92"/>
      <c r="E408" s="92"/>
      <c r="F408" s="92"/>
      <c r="G408" s="92"/>
      <c r="H408" s="92"/>
      <c r="I408" s="92"/>
      <c r="J408" s="92"/>
      <c r="K408" s="97"/>
      <c r="L408" s="92"/>
      <c r="M408" s="98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84"/>
      <c r="AP408" s="89"/>
      <c r="AQ408" s="90"/>
      <c r="AR408" s="84"/>
      <c r="AS408" s="86"/>
    </row>
    <row r="409" spans="1:45" x14ac:dyDescent="0.35">
      <c r="A409" s="97"/>
      <c r="B409" s="92"/>
      <c r="C409" s="92"/>
      <c r="D409" s="92"/>
      <c r="E409" s="92"/>
      <c r="F409" s="92"/>
      <c r="G409" s="92"/>
      <c r="H409" s="92"/>
      <c r="I409" s="92"/>
      <c r="J409" s="92"/>
      <c r="K409" s="97"/>
      <c r="L409" s="92"/>
      <c r="M409" s="98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84"/>
      <c r="AP409" s="89"/>
      <c r="AQ409" s="90"/>
      <c r="AR409" s="84"/>
      <c r="AS409" s="86"/>
    </row>
    <row r="410" spans="1:45" x14ac:dyDescent="0.35">
      <c r="A410" s="97"/>
      <c r="B410" s="92"/>
      <c r="C410" s="92"/>
      <c r="D410" s="92"/>
      <c r="E410" s="92"/>
      <c r="F410" s="92"/>
      <c r="G410" s="92"/>
      <c r="H410" s="92"/>
      <c r="I410" s="92"/>
      <c r="J410" s="92"/>
      <c r="K410" s="97"/>
      <c r="L410" s="92"/>
      <c r="M410" s="98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84"/>
      <c r="AP410" s="89"/>
      <c r="AQ410" s="90"/>
      <c r="AR410" s="84"/>
      <c r="AS410" s="86"/>
    </row>
    <row r="411" spans="1:45" x14ac:dyDescent="0.35">
      <c r="A411" s="97"/>
      <c r="B411" s="92"/>
      <c r="C411" s="92"/>
      <c r="D411" s="92"/>
      <c r="E411" s="92"/>
      <c r="F411" s="92"/>
      <c r="G411" s="92"/>
      <c r="H411" s="92"/>
      <c r="I411" s="92"/>
      <c r="J411" s="92"/>
      <c r="K411" s="97"/>
      <c r="L411" s="92"/>
      <c r="M411" s="98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84"/>
      <c r="AP411" s="89"/>
      <c r="AQ411" s="90"/>
      <c r="AR411" s="84"/>
      <c r="AS411" s="86"/>
    </row>
    <row r="412" spans="1:45" x14ac:dyDescent="0.35">
      <c r="A412" s="97"/>
      <c r="B412" s="92"/>
      <c r="C412" s="92"/>
      <c r="D412" s="92"/>
      <c r="E412" s="92"/>
      <c r="F412" s="92"/>
      <c r="G412" s="92"/>
      <c r="H412" s="92"/>
      <c r="I412" s="92"/>
      <c r="J412" s="92"/>
      <c r="K412" s="97"/>
      <c r="L412" s="92"/>
      <c r="M412" s="98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84"/>
      <c r="AP412" s="89"/>
      <c r="AQ412" s="90"/>
      <c r="AR412" s="84"/>
      <c r="AS412" s="86"/>
    </row>
    <row r="413" spans="1:45" x14ac:dyDescent="0.35">
      <c r="A413" s="97"/>
      <c r="B413" s="92"/>
      <c r="C413" s="92"/>
      <c r="D413" s="92"/>
      <c r="E413" s="92"/>
      <c r="F413" s="92"/>
      <c r="G413" s="92"/>
      <c r="H413" s="92"/>
      <c r="I413" s="92"/>
      <c r="J413" s="92"/>
      <c r="K413" s="97"/>
      <c r="L413" s="92"/>
      <c r="M413" s="98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84"/>
      <c r="AP413" s="89"/>
      <c r="AQ413" s="90"/>
      <c r="AR413" s="84"/>
      <c r="AS413" s="86"/>
    </row>
    <row r="414" spans="1:45" x14ac:dyDescent="0.35">
      <c r="A414" s="97"/>
      <c r="B414" s="92"/>
      <c r="C414" s="92"/>
      <c r="D414" s="92"/>
      <c r="E414" s="92"/>
      <c r="F414" s="92"/>
      <c r="G414" s="92"/>
      <c r="H414" s="92"/>
      <c r="I414" s="92"/>
      <c r="J414" s="92"/>
      <c r="K414" s="97"/>
      <c r="L414" s="92"/>
      <c r="M414" s="98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84"/>
      <c r="AP414" s="89"/>
      <c r="AQ414" s="90"/>
      <c r="AR414" s="84"/>
      <c r="AS414" s="86"/>
    </row>
    <row r="415" spans="1:45" x14ac:dyDescent="0.35">
      <c r="A415" s="97"/>
      <c r="B415" s="92"/>
      <c r="C415" s="92"/>
      <c r="D415" s="92"/>
      <c r="E415" s="92"/>
      <c r="F415" s="92"/>
      <c r="G415" s="92"/>
      <c r="H415" s="92"/>
      <c r="I415" s="92"/>
      <c r="J415" s="92"/>
      <c r="K415" s="97"/>
      <c r="L415" s="92"/>
      <c r="M415" s="98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  <c r="AA415" s="92"/>
      <c r="AB415" s="92"/>
      <c r="AC415" s="92"/>
      <c r="AD415" s="92"/>
      <c r="AE415" s="92"/>
      <c r="AF415" s="92"/>
      <c r="AG415" s="92"/>
      <c r="AH415" s="92"/>
      <c r="AI415" s="92"/>
      <c r="AJ415" s="92"/>
      <c r="AK415" s="92"/>
      <c r="AL415" s="92"/>
      <c r="AM415" s="92"/>
      <c r="AN415" s="92"/>
      <c r="AO415" s="84"/>
      <c r="AP415" s="89"/>
      <c r="AQ415" s="90"/>
      <c r="AR415" s="84"/>
      <c r="AS415" s="86"/>
    </row>
    <row r="416" spans="1:45" x14ac:dyDescent="0.35">
      <c r="A416" s="97"/>
      <c r="B416" s="92"/>
      <c r="C416" s="92"/>
      <c r="D416" s="92"/>
      <c r="E416" s="92"/>
      <c r="F416" s="92"/>
      <c r="G416" s="92"/>
      <c r="H416" s="92"/>
      <c r="I416" s="92"/>
      <c r="J416" s="92"/>
      <c r="K416" s="97"/>
      <c r="L416" s="92"/>
      <c r="M416" s="98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  <c r="AA416" s="92"/>
      <c r="AB416" s="92"/>
      <c r="AC416" s="92"/>
      <c r="AD416" s="92"/>
      <c r="AE416" s="92"/>
      <c r="AF416" s="92"/>
      <c r="AG416" s="92"/>
      <c r="AH416" s="92"/>
      <c r="AI416" s="92"/>
      <c r="AJ416" s="92"/>
      <c r="AK416" s="92"/>
      <c r="AL416" s="92"/>
      <c r="AM416" s="92"/>
      <c r="AN416" s="92"/>
      <c r="AO416" s="84"/>
      <c r="AP416" s="89"/>
      <c r="AQ416" s="90"/>
      <c r="AR416" s="84"/>
      <c r="AS416" s="86"/>
    </row>
    <row r="417" spans="1:45" x14ac:dyDescent="0.35">
      <c r="A417" s="97"/>
      <c r="B417" s="92"/>
      <c r="C417" s="92"/>
      <c r="D417" s="92"/>
      <c r="E417" s="92"/>
      <c r="F417" s="92"/>
      <c r="G417" s="92"/>
      <c r="H417" s="92"/>
      <c r="I417" s="92"/>
      <c r="J417" s="92"/>
      <c r="K417" s="97"/>
      <c r="L417" s="92"/>
      <c r="M417" s="98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  <c r="AA417" s="92"/>
      <c r="AB417" s="92"/>
      <c r="AC417" s="92"/>
      <c r="AD417" s="92"/>
      <c r="AE417" s="92"/>
      <c r="AF417" s="92"/>
      <c r="AG417" s="92"/>
      <c r="AH417" s="92"/>
      <c r="AI417" s="92"/>
      <c r="AJ417" s="92"/>
      <c r="AK417" s="92"/>
      <c r="AL417" s="92"/>
      <c r="AM417" s="92"/>
      <c r="AN417" s="92"/>
      <c r="AO417" s="84"/>
      <c r="AP417" s="89"/>
      <c r="AQ417" s="90"/>
      <c r="AR417" s="84"/>
      <c r="AS417" s="86"/>
    </row>
    <row r="418" spans="1:45" x14ac:dyDescent="0.35">
      <c r="A418" s="97"/>
      <c r="B418" s="92"/>
      <c r="C418" s="92"/>
      <c r="D418" s="92"/>
      <c r="E418" s="92"/>
      <c r="F418" s="92"/>
      <c r="G418" s="92"/>
      <c r="H418" s="92"/>
      <c r="I418" s="92"/>
      <c r="J418" s="92"/>
      <c r="K418" s="97"/>
      <c r="L418" s="92"/>
      <c r="M418" s="98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  <c r="AA418" s="92"/>
      <c r="AB418" s="92"/>
      <c r="AC418" s="92"/>
      <c r="AD418" s="92"/>
      <c r="AE418" s="92"/>
      <c r="AF418" s="92"/>
      <c r="AG418" s="92"/>
      <c r="AH418" s="92"/>
      <c r="AI418" s="92"/>
      <c r="AJ418" s="92"/>
      <c r="AK418" s="92"/>
      <c r="AL418" s="92"/>
      <c r="AM418" s="92"/>
      <c r="AN418" s="92"/>
      <c r="AO418" s="84"/>
      <c r="AP418" s="89"/>
      <c r="AQ418" s="90"/>
      <c r="AR418" s="84"/>
      <c r="AS418" s="86"/>
    </row>
    <row r="419" spans="1:45" x14ac:dyDescent="0.35">
      <c r="A419" s="97"/>
      <c r="B419" s="92"/>
      <c r="C419" s="92"/>
      <c r="D419" s="92"/>
      <c r="E419" s="92"/>
      <c r="F419" s="92"/>
      <c r="G419" s="92"/>
      <c r="H419" s="92"/>
      <c r="I419" s="92"/>
      <c r="J419" s="92"/>
      <c r="K419" s="97"/>
      <c r="L419" s="92"/>
      <c r="M419" s="98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84"/>
      <c r="AP419" s="89"/>
      <c r="AQ419" s="90"/>
      <c r="AR419" s="84"/>
      <c r="AS419" s="86"/>
    </row>
    <row r="420" spans="1:45" x14ac:dyDescent="0.35">
      <c r="A420" s="97"/>
      <c r="B420" s="92"/>
      <c r="C420" s="92"/>
      <c r="D420" s="92"/>
      <c r="E420" s="92"/>
      <c r="F420" s="92"/>
      <c r="G420" s="92"/>
      <c r="H420" s="92"/>
      <c r="I420" s="92"/>
      <c r="J420" s="92"/>
      <c r="K420" s="97"/>
      <c r="L420" s="92"/>
      <c r="M420" s="98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  <c r="AA420" s="92"/>
      <c r="AB420" s="92"/>
      <c r="AC420" s="92"/>
      <c r="AD420" s="92"/>
      <c r="AE420" s="92"/>
      <c r="AF420" s="92"/>
      <c r="AG420" s="92"/>
      <c r="AH420" s="92"/>
      <c r="AI420" s="92"/>
      <c r="AJ420" s="92"/>
      <c r="AK420" s="92"/>
      <c r="AL420" s="92"/>
      <c r="AM420" s="92"/>
      <c r="AN420" s="92"/>
      <c r="AO420" s="84"/>
      <c r="AP420" s="89"/>
      <c r="AQ420" s="90"/>
      <c r="AR420" s="84"/>
      <c r="AS420" s="86"/>
    </row>
    <row r="421" spans="1:45" x14ac:dyDescent="0.35">
      <c r="A421" s="97"/>
      <c r="B421" s="92"/>
      <c r="C421" s="92"/>
      <c r="D421" s="92"/>
      <c r="E421" s="92"/>
      <c r="F421" s="92"/>
      <c r="G421" s="92"/>
      <c r="H421" s="92"/>
      <c r="I421" s="92"/>
      <c r="J421" s="92"/>
      <c r="K421" s="97"/>
      <c r="L421" s="92"/>
      <c r="M421" s="98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  <c r="AA421" s="92"/>
      <c r="AB421" s="92"/>
      <c r="AC421" s="92"/>
      <c r="AD421" s="92"/>
      <c r="AE421" s="92"/>
      <c r="AF421" s="92"/>
      <c r="AG421" s="92"/>
      <c r="AH421" s="92"/>
      <c r="AI421" s="92"/>
      <c r="AJ421" s="92"/>
      <c r="AK421" s="92"/>
      <c r="AL421" s="92"/>
      <c r="AM421" s="92"/>
      <c r="AN421" s="92"/>
      <c r="AO421" s="84"/>
      <c r="AP421" s="89"/>
      <c r="AQ421" s="90"/>
      <c r="AR421" s="84"/>
      <c r="AS421" s="86"/>
    </row>
    <row r="422" spans="1:45" x14ac:dyDescent="0.35">
      <c r="A422" s="97"/>
      <c r="B422" s="92"/>
      <c r="C422" s="92"/>
      <c r="D422" s="92"/>
      <c r="E422" s="92"/>
      <c r="F422" s="92"/>
      <c r="G422" s="92"/>
      <c r="H422" s="92"/>
      <c r="I422" s="92"/>
      <c r="J422" s="92"/>
      <c r="K422" s="97"/>
      <c r="L422" s="92"/>
      <c r="M422" s="98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  <c r="AA422" s="92"/>
      <c r="AB422" s="92"/>
      <c r="AC422" s="92"/>
      <c r="AD422" s="92"/>
      <c r="AE422" s="92"/>
      <c r="AF422" s="92"/>
      <c r="AG422" s="92"/>
      <c r="AH422" s="92"/>
      <c r="AI422" s="92"/>
      <c r="AJ422" s="92"/>
      <c r="AK422" s="92"/>
      <c r="AL422" s="92"/>
      <c r="AM422" s="92"/>
      <c r="AN422" s="92"/>
      <c r="AO422" s="84"/>
      <c r="AP422" s="89"/>
      <c r="AQ422" s="90"/>
      <c r="AR422" s="84"/>
      <c r="AS422" s="86"/>
    </row>
    <row r="423" spans="1:45" x14ac:dyDescent="0.35">
      <c r="A423" s="97"/>
      <c r="B423" s="92"/>
      <c r="C423" s="92"/>
      <c r="D423" s="92"/>
      <c r="E423" s="92"/>
      <c r="F423" s="92"/>
      <c r="G423" s="92"/>
      <c r="H423" s="92"/>
      <c r="I423" s="92"/>
      <c r="J423" s="92"/>
      <c r="K423" s="97"/>
      <c r="L423" s="92"/>
      <c r="M423" s="98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  <c r="AA423" s="92"/>
      <c r="AB423" s="92"/>
      <c r="AC423" s="92"/>
      <c r="AD423" s="92"/>
      <c r="AE423" s="92"/>
      <c r="AF423" s="92"/>
      <c r="AG423" s="92"/>
      <c r="AH423" s="92"/>
      <c r="AI423" s="92"/>
      <c r="AJ423" s="92"/>
      <c r="AK423" s="92"/>
      <c r="AL423" s="92"/>
      <c r="AM423" s="92"/>
      <c r="AN423" s="92"/>
      <c r="AO423" s="84"/>
      <c r="AP423" s="89"/>
      <c r="AQ423" s="90"/>
      <c r="AR423" s="84"/>
      <c r="AS423" s="86"/>
    </row>
    <row r="424" spans="1:45" x14ac:dyDescent="0.35">
      <c r="A424" s="97"/>
      <c r="B424" s="92"/>
      <c r="C424" s="92"/>
      <c r="D424" s="92"/>
      <c r="E424" s="92"/>
      <c r="F424" s="92"/>
      <c r="G424" s="92"/>
      <c r="H424" s="92"/>
      <c r="I424" s="92"/>
      <c r="J424" s="92"/>
      <c r="K424" s="97"/>
      <c r="L424" s="92"/>
      <c r="M424" s="98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  <c r="AA424" s="92"/>
      <c r="AB424" s="92"/>
      <c r="AC424" s="92"/>
      <c r="AD424" s="92"/>
      <c r="AE424" s="92"/>
      <c r="AF424" s="92"/>
      <c r="AG424" s="92"/>
      <c r="AH424" s="92"/>
      <c r="AI424" s="92"/>
      <c r="AJ424" s="92"/>
      <c r="AK424" s="92"/>
      <c r="AL424" s="92"/>
      <c r="AM424" s="92"/>
      <c r="AN424" s="92"/>
      <c r="AO424" s="84"/>
      <c r="AP424" s="89"/>
      <c r="AQ424" s="90"/>
      <c r="AR424" s="84"/>
      <c r="AS424" s="86"/>
    </row>
    <row r="425" spans="1:45" x14ac:dyDescent="0.35">
      <c r="A425" s="97"/>
      <c r="B425" s="92"/>
      <c r="C425" s="92"/>
      <c r="D425" s="92"/>
      <c r="E425" s="92"/>
      <c r="F425" s="92"/>
      <c r="G425" s="92"/>
      <c r="H425" s="92"/>
      <c r="I425" s="92"/>
      <c r="J425" s="92"/>
      <c r="K425" s="97"/>
      <c r="L425" s="92"/>
      <c r="M425" s="98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  <c r="AA425" s="92"/>
      <c r="AB425" s="92"/>
      <c r="AC425" s="92"/>
      <c r="AD425" s="92"/>
      <c r="AE425" s="92"/>
      <c r="AF425" s="92"/>
      <c r="AG425" s="92"/>
      <c r="AH425" s="92"/>
      <c r="AI425" s="92"/>
      <c r="AJ425" s="92"/>
      <c r="AK425" s="92"/>
      <c r="AL425" s="92"/>
      <c r="AM425" s="92"/>
      <c r="AN425" s="92"/>
      <c r="AO425" s="84"/>
      <c r="AP425" s="89"/>
      <c r="AQ425" s="90"/>
      <c r="AR425" s="84"/>
      <c r="AS425" s="86"/>
    </row>
    <row r="426" spans="1:45" x14ac:dyDescent="0.35">
      <c r="A426" s="97"/>
      <c r="B426" s="92"/>
      <c r="C426" s="92"/>
      <c r="D426" s="92"/>
      <c r="E426" s="92"/>
      <c r="F426" s="92"/>
      <c r="G426" s="92"/>
      <c r="H426" s="92"/>
      <c r="I426" s="92"/>
      <c r="J426" s="92"/>
      <c r="K426" s="97"/>
      <c r="L426" s="92"/>
      <c r="M426" s="98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  <c r="AA426" s="92"/>
      <c r="AB426" s="92"/>
      <c r="AC426" s="92"/>
      <c r="AD426" s="92"/>
      <c r="AE426" s="92"/>
      <c r="AF426" s="92"/>
      <c r="AG426" s="92"/>
      <c r="AH426" s="92"/>
      <c r="AI426" s="92"/>
      <c r="AJ426" s="92"/>
      <c r="AK426" s="92"/>
      <c r="AL426" s="92"/>
      <c r="AM426" s="92"/>
      <c r="AN426" s="92"/>
      <c r="AO426" s="84"/>
      <c r="AP426" s="89"/>
      <c r="AQ426" s="90"/>
      <c r="AR426" s="84"/>
      <c r="AS426" s="86"/>
    </row>
    <row r="427" spans="1:45" x14ac:dyDescent="0.35">
      <c r="A427" s="97"/>
      <c r="B427" s="92"/>
      <c r="C427" s="92"/>
      <c r="D427" s="92"/>
      <c r="E427" s="92"/>
      <c r="F427" s="92"/>
      <c r="G427" s="92"/>
      <c r="H427" s="92"/>
      <c r="I427" s="92"/>
      <c r="J427" s="92"/>
      <c r="K427" s="97"/>
      <c r="L427" s="92"/>
      <c r="M427" s="98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  <c r="AA427" s="92"/>
      <c r="AB427" s="92"/>
      <c r="AC427" s="92"/>
      <c r="AD427" s="92"/>
      <c r="AE427" s="92"/>
      <c r="AF427" s="92"/>
      <c r="AG427" s="92"/>
      <c r="AH427" s="92"/>
      <c r="AI427" s="92"/>
      <c r="AJ427" s="92"/>
      <c r="AK427" s="92"/>
      <c r="AL427" s="92"/>
      <c r="AM427" s="92"/>
      <c r="AN427" s="92"/>
      <c r="AO427" s="84"/>
      <c r="AP427" s="89"/>
      <c r="AQ427" s="90"/>
      <c r="AR427" s="84"/>
      <c r="AS427" s="86"/>
    </row>
    <row r="428" spans="1:45" x14ac:dyDescent="0.35">
      <c r="A428" s="97"/>
      <c r="B428" s="92"/>
      <c r="C428" s="92"/>
      <c r="D428" s="92"/>
      <c r="E428" s="92"/>
      <c r="F428" s="92"/>
      <c r="G428" s="92"/>
      <c r="H428" s="92"/>
      <c r="I428" s="92"/>
      <c r="J428" s="92"/>
      <c r="K428" s="97"/>
      <c r="L428" s="92"/>
      <c r="M428" s="98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  <c r="AA428" s="92"/>
      <c r="AB428" s="92"/>
      <c r="AC428" s="92"/>
      <c r="AD428" s="92"/>
      <c r="AE428" s="92"/>
      <c r="AF428" s="92"/>
      <c r="AG428" s="92"/>
      <c r="AH428" s="92"/>
      <c r="AI428" s="92"/>
      <c r="AJ428" s="92"/>
      <c r="AK428" s="92"/>
      <c r="AL428" s="92"/>
      <c r="AM428" s="92"/>
      <c r="AN428" s="92"/>
      <c r="AO428" s="84"/>
      <c r="AP428" s="89"/>
      <c r="AQ428" s="90"/>
      <c r="AR428" s="84"/>
      <c r="AS428" s="86"/>
    </row>
    <row r="429" spans="1:45" x14ac:dyDescent="0.35">
      <c r="A429" s="97"/>
      <c r="B429" s="92"/>
      <c r="C429" s="92"/>
      <c r="D429" s="92"/>
      <c r="E429" s="92"/>
      <c r="F429" s="92"/>
      <c r="G429" s="92"/>
      <c r="H429" s="92"/>
      <c r="I429" s="92"/>
      <c r="J429" s="92"/>
      <c r="K429" s="97"/>
      <c r="L429" s="92"/>
      <c r="M429" s="98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  <c r="AA429" s="92"/>
      <c r="AB429" s="92"/>
      <c r="AC429" s="92"/>
      <c r="AD429" s="92"/>
      <c r="AE429" s="92"/>
      <c r="AF429" s="92"/>
      <c r="AG429" s="92"/>
      <c r="AH429" s="92"/>
      <c r="AI429" s="92"/>
      <c r="AJ429" s="92"/>
      <c r="AK429" s="92"/>
      <c r="AL429" s="92"/>
      <c r="AM429" s="92"/>
      <c r="AN429" s="92"/>
      <c r="AO429" s="84"/>
      <c r="AP429" s="89"/>
      <c r="AQ429" s="90"/>
      <c r="AR429" s="84"/>
      <c r="AS429" s="86"/>
    </row>
    <row r="430" spans="1:45" x14ac:dyDescent="0.35">
      <c r="A430" s="97"/>
      <c r="B430" s="92"/>
      <c r="C430" s="92"/>
      <c r="D430" s="92"/>
      <c r="E430" s="92"/>
      <c r="F430" s="92"/>
      <c r="G430" s="92"/>
      <c r="H430" s="92"/>
      <c r="I430" s="92"/>
      <c r="J430" s="92"/>
      <c r="K430" s="97"/>
      <c r="L430" s="92"/>
      <c r="M430" s="98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  <c r="AA430" s="92"/>
      <c r="AB430" s="92"/>
      <c r="AC430" s="92"/>
      <c r="AD430" s="92"/>
      <c r="AE430" s="92"/>
      <c r="AF430" s="92"/>
      <c r="AG430" s="92"/>
      <c r="AH430" s="92"/>
      <c r="AI430" s="92"/>
      <c r="AJ430" s="92"/>
      <c r="AK430" s="92"/>
      <c r="AL430" s="92"/>
      <c r="AM430" s="92"/>
      <c r="AN430" s="92"/>
      <c r="AO430" s="84"/>
      <c r="AP430" s="89"/>
      <c r="AQ430" s="90"/>
      <c r="AR430" s="84"/>
      <c r="AS430" s="86"/>
    </row>
    <row r="431" spans="1:45" x14ac:dyDescent="0.35">
      <c r="A431" s="97"/>
      <c r="B431" s="92"/>
      <c r="C431" s="92"/>
      <c r="D431" s="92"/>
      <c r="E431" s="92"/>
      <c r="F431" s="92"/>
      <c r="G431" s="92"/>
      <c r="H431" s="92"/>
      <c r="I431" s="92"/>
      <c r="J431" s="92"/>
      <c r="K431" s="97"/>
      <c r="L431" s="92"/>
      <c r="M431" s="98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  <c r="AA431" s="92"/>
      <c r="AB431" s="92"/>
      <c r="AC431" s="92"/>
      <c r="AD431" s="92"/>
      <c r="AE431" s="92"/>
      <c r="AF431" s="92"/>
      <c r="AG431" s="92"/>
      <c r="AH431" s="92"/>
      <c r="AI431" s="92"/>
      <c r="AJ431" s="92"/>
      <c r="AK431" s="92"/>
      <c r="AL431" s="92"/>
      <c r="AM431" s="92"/>
      <c r="AN431" s="92"/>
      <c r="AO431" s="84"/>
      <c r="AP431" s="89"/>
      <c r="AQ431" s="90"/>
      <c r="AR431" s="84"/>
      <c r="AS431" s="86"/>
    </row>
    <row r="432" spans="1:45" x14ac:dyDescent="0.35">
      <c r="A432" s="97"/>
      <c r="B432" s="92"/>
      <c r="C432" s="92"/>
      <c r="D432" s="92"/>
      <c r="E432" s="92"/>
      <c r="F432" s="92"/>
      <c r="G432" s="92"/>
      <c r="H432" s="92"/>
      <c r="I432" s="92"/>
      <c r="J432" s="92"/>
      <c r="K432" s="97"/>
      <c r="L432" s="92"/>
      <c r="M432" s="98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  <c r="AA432" s="92"/>
      <c r="AB432" s="92"/>
      <c r="AC432" s="92"/>
      <c r="AD432" s="92"/>
      <c r="AE432" s="92"/>
      <c r="AF432" s="92"/>
      <c r="AG432" s="92"/>
      <c r="AH432" s="92"/>
      <c r="AI432" s="92"/>
      <c r="AJ432" s="92"/>
      <c r="AK432" s="92"/>
      <c r="AL432" s="92"/>
      <c r="AM432" s="92"/>
      <c r="AN432" s="92"/>
      <c r="AO432" s="84"/>
      <c r="AP432" s="89"/>
      <c r="AQ432" s="90"/>
      <c r="AR432" s="84"/>
      <c r="AS432" s="86"/>
    </row>
    <row r="433" spans="1:45" x14ac:dyDescent="0.35">
      <c r="A433" s="97"/>
      <c r="B433" s="92"/>
      <c r="C433" s="92"/>
      <c r="D433" s="92"/>
      <c r="E433" s="92"/>
      <c r="F433" s="92"/>
      <c r="G433" s="92"/>
      <c r="H433" s="92"/>
      <c r="I433" s="92"/>
      <c r="J433" s="92"/>
      <c r="K433" s="97"/>
      <c r="L433" s="92"/>
      <c r="M433" s="98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  <c r="AA433" s="92"/>
      <c r="AB433" s="92"/>
      <c r="AC433" s="92"/>
      <c r="AD433" s="92"/>
      <c r="AE433" s="92"/>
      <c r="AF433" s="92"/>
      <c r="AG433" s="92"/>
      <c r="AH433" s="92"/>
      <c r="AI433" s="92"/>
      <c r="AJ433" s="92"/>
      <c r="AK433" s="92"/>
      <c r="AL433" s="92"/>
      <c r="AM433" s="92"/>
      <c r="AN433" s="92"/>
      <c r="AO433" s="84"/>
      <c r="AP433" s="89"/>
      <c r="AQ433" s="90"/>
      <c r="AR433" s="84"/>
      <c r="AS433" s="86"/>
    </row>
    <row r="434" spans="1:45" x14ac:dyDescent="0.35">
      <c r="A434" s="97"/>
      <c r="B434" s="92"/>
      <c r="C434" s="92"/>
      <c r="D434" s="92"/>
      <c r="E434" s="92"/>
      <c r="F434" s="92"/>
      <c r="G434" s="92"/>
      <c r="H434" s="92"/>
      <c r="I434" s="92"/>
      <c r="J434" s="92"/>
      <c r="K434" s="97"/>
      <c r="L434" s="92"/>
      <c r="M434" s="98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  <c r="AA434" s="92"/>
      <c r="AB434" s="92"/>
      <c r="AC434" s="92"/>
      <c r="AD434" s="92"/>
      <c r="AE434" s="92"/>
      <c r="AF434" s="92"/>
      <c r="AG434" s="92"/>
      <c r="AH434" s="92"/>
      <c r="AI434" s="92"/>
      <c r="AJ434" s="92"/>
      <c r="AK434" s="92"/>
      <c r="AL434" s="92"/>
      <c r="AM434" s="92"/>
      <c r="AN434" s="92"/>
      <c r="AO434" s="84"/>
      <c r="AP434" s="89"/>
      <c r="AQ434" s="90"/>
      <c r="AR434" s="84"/>
      <c r="AS434" s="86"/>
    </row>
    <row r="435" spans="1:45" x14ac:dyDescent="0.35">
      <c r="A435" s="97"/>
      <c r="B435" s="92"/>
      <c r="C435" s="92"/>
      <c r="D435" s="92"/>
      <c r="E435" s="92"/>
      <c r="F435" s="92"/>
      <c r="G435" s="92"/>
      <c r="H435" s="92"/>
      <c r="I435" s="92"/>
      <c r="J435" s="92"/>
      <c r="K435" s="97"/>
      <c r="L435" s="92"/>
      <c r="M435" s="98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  <c r="AA435" s="92"/>
      <c r="AB435" s="92"/>
      <c r="AC435" s="92"/>
      <c r="AD435" s="92"/>
      <c r="AE435" s="92"/>
      <c r="AF435" s="92"/>
      <c r="AG435" s="92"/>
      <c r="AH435" s="92"/>
      <c r="AI435" s="92"/>
      <c r="AJ435" s="92"/>
      <c r="AK435" s="92"/>
      <c r="AL435" s="92"/>
      <c r="AM435" s="92"/>
      <c r="AN435" s="92"/>
      <c r="AO435" s="84"/>
      <c r="AP435" s="89"/>
      <c r="AQ435" s="90"/>
      <c r="AR435" s="84"/>
      <c r="AS435" s="86"/>
    </row>
    <row r="436" spans="1:45" x14ac:dyDescent="0.35">
      <c r="A436" s="97"/>
      <c r="B436" s="92"/>
      <c r="C436" s="92"/>
      <c r="D436" s="92"/>
      <c r="E436" s="92"/>
      <c r="F436" s="92"/>
      <c r="G436" s="92"/>
      <c r="H436" s="92"/>
      <c r="I436" s="92"/>
      <c r="J436" s="92"/>
      <c r="K436" s="97"/>
      <c r="L436" s="92"/>
      <c r="M436" s="98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  <c r="AA436" s="92"/>
      <c r="AB436" s="92"/>
      <c r="AC436" s="92"/>
      <c r="AD436" s="92"/>
      <c r="AE436" s="92"/>
      <c r="AF436" s="92"/>
      <c r="AG436" s="92"/>
      <c r="AH436" s="92"/>
      <c r="AI436" s="92"/>
      <c r="AJ436" s="92"/>
      <c r="AK436" s="92"/>
      <c r="AL436" s="92"/>
      <c r="AM436" s="92"/>
      <c r="AN436" s="92"/>
      <c r="AO436" s="84"/>
      <c r="AP436" s="89"/>
      <c r="AQ436" s="90"/>
      <c r="AR436" s="84"/>
      <c r="AS436" s="86"/>
    </row>
    <row r="437" spans="1:45" x14ac:dyDescent="0.35">
      <c r="A437" s="97"/>
      <c r="B437" s="92"/>
      <c r="C437" s="92"/>
      <c r="D437" s="92"/>
      <c r="E437" s="92"/>
      <c r="F437" s="92"/>
      <c r="G437" s="92"/>
      <c r="H437" s="92"/>
      <c r="I437" s="92"/>
      <c r="J437" s="92"/>
      <c r="K437" s="97"/>
      <c r="L437" s="92"/>
      <c r="M437" s="98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  <c r="AA437" s="92"/>
      <c r="AB437" s="92"/>
      <c r="AC437" s="92"/>
      <c r="AD437" s="92"/>
      <c r="AE437" s="92"/>
      <c r="AF437" s="92"/>
      <c r="AG437" s="92"/>
      <c r="AH437" s="92"/>
      <c r="AI437" s="92"/>
      <c r="AJ437" s="92"/>
      <c r="AK437" s="92"/>
      <c r="AL437" s="92"/>
      <c r="AM437" s="92"/>
      <c r="AN437" s="92"/>
      <c r="AO437" s="84"/>
      <c r="AP437" s="89"/>
      <c r="AQ437" s="90"/>
      <c r="AR437" s="84"/>
      <c r="AS437" s="86"/>
    </row>
    <row r="438" spans="1:45" x14ac:dyDescent="0.35">
      <c r="A438" s="97"/>
      <c r="B438" s="92"/>
      <c r="C438" s="92"/>
      <c r="D438" s="92"/>
      <c r="E438" s="92"/>
      <c r="F438" s="92"/>
      <c r="G438" s="92"/>
      <c r="H438" s="92"/>
      <c r="I438" s="92"/>
      <c r="J438" s="92"/>
      <c r="K438" s="97"/>
      <c r="L438" s="92"/>
      <c r="M438" s="98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  <c r="AA438" s="92"/>
      <c r="AB438" s="92"/>
      <c r="AC438" s="92"/>
      <c r="AD438" s="92"/>
      <c r="AE438" s="92"/>
      <c r="AF438" s="92"/>
      <c r="AG438" s="92"/>
      <c r="AH438" s="92"/>
      <c r="AI438" s="92"/>
      <c r="AJ438" s="92"/>
      <c r="AK438" s="92"/>
      <c r="AL438" s="92"/>
      <c r="AM438" s="92"/>
      <c r="AN438" s="92"/>
      <c r="AO438" s="84"/>
      <c r="AP438" s="89"/>
      <c r="AQ438" s="90"/>
      <c r="AR438" s="84"/>
      <c r="AS438" s="86"/>
    </row>
    <row r="439" spans="1:45" x14ac:dyDescent="0.35">
      <c r="A439" s="97"/>
      <c r="B439" s="92"/>
      <c r="C439" s="92"/>
      <c r="D439" s="92"/>
      <c r="E439" s="92"/>
      <c r="F439" s="92"/>
      <c r="G439" s="92"/>
      <c r="H439" s="92"/>
      <c r="I439" s="92"/>
      <c r="J439" s="92"/>
      <c r="K439" s="97"/>
      <c r="L439" s="92"/>
      <c r="M439" s="98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  <c r="AA439" s="92"/>
      <c r="AB439" s="92"/>
      <c r="AC439" s="92"/>
      <c r="AD439" s="92"/>
      <c r="AE439" s="92"/>
      <c r="AF439" s="92"/>
      <c r="AG439" s="92"/>
      <c r="AH439" s="92"/>
      <c r="AI439" s="92"/>
      <c r="AJ439" s="92"/>
      <c r="AK439" s="92"/>
      <c r="AL439" s="92"/>
      <c r="AM439" s="92"/>
      <c r="AN439" s="92"/>
      <c r="AO439" s="84"/>
      <c r="AP439" s="89"/>
      <c r="AQ439" s="90"/>
      <c r="AR439" s="84"/>
      <c r="AS439" s="86"/>
    </row>
    <row r="440" spans="1:45" x14ac:dyDescent="0.35">
      <c r="A440" s="97"/>
      <c r="B440" s="92"/>
      <c r="C440" s="92"/>
      <c r="D440" s="92"/>
      <c r="E440" s="92"/>
      <c r="F440" s="92"/>
      <c r="G440" s="92"/>
      <c r="H440" s="92"/>
      <c r="I440" s="92"/>
      <c r="J440" s="92"/>
      <c r="K440" s="97"/>
      <c r="L440" s="92"/>
      <c r="M440" s="98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  <c r="AA440" s="92"/>
      <c r="AB440" s="92"/>
      <c r="AC440" s="92"/>
      <c r="AD440" s="92"/>
      <c r="AE440" s="92"/>
      <c r="AF440" s="92"/>
      <c r="AG440" s="92"/>
      <c r="AH440" s="92"/>
      <c r="AI440" s="92"/>
      <c r="AJ440" s="92"/>
      <c r="AK440" s="92"/>
      <c r="AL440" s="92"/>
      <c r="AM440" s="92"/>
      <c r="AN440" s="92"/>
      <c r="AO440" s="84"/>
      <c r="AP440" s="89"/>
      <c r="AQ440" s="90"/>
      <c r="AR440" s="84"/>
      <c r="AS440" s="86"/>
    </row>
    <row r="441" spans="1:45" x14ac:dyDescent="0.35">
      <c r="A441" s="97"/>
      <c r="B441" s="92"/>
      <c r="C441" s="92"/>
      <c r="D441" s="92"/>
      <c r="E441" s="92"/>
      <c r="F441" s="92"/>
      <c r="G441" s="92"/>
      <c r="H441" s="92"/>
      <c r="I441" s="92"/>
      <c r="J441" s="92"/>
      <c r="K441" s="97"/>
      <c r="L441" s="92"/>
      <c r="M441" s="98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  <c r="AA441" s="92"/>
      <c r="AB441" s="92"/>
      <c r="AC441" s="92"/>
      <c r="AD441" s="92"/>
      <c r="AE441" s="92"/>
      <c r="AF441" s="92"/>
      <c r="AG441" s="92"/>
      <c r="AH441" s="92"/>
      <c r="AI441" s="92"/>
      <c r="AJ441" s="92"/>
      <c r="AK441" s="92"/>
      <c r="AL441" s="92"/>
      <c r="AM441" s="92"/>
      <c r="AN441" s="92"/>
      <c r="AO441" s="84"/>
      <c r="AP441" s="89"/>
      <c r="AQ441" s="90"/>
      <c r="AR441" s="84"/>
      <c r="AS441" s="86"/>
    </row>
    <row r="442" spans="1:45" x14ac:dyDescent="0.35">
      <c r="A442" s="97"/>
      <c r="B442" s="92"/>
      <c r="C442" s="92"/>
      <c r="D442" s="92"/>
      <c r="E442" s="92"/>
      <c r="F442" s="92"/>
      <c r="G442" s="92"/>
      <c r="H442" s="92"/>
      <c r="I442" s="92"/>
      <c r="J442" s="92"/>
      <c r="K442" s="97"/>
      <c r="L442" s="92"/>
      <c r="M442" s="98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  <c r="AA442" s="92"/>
      <c r="AB442" s="92"/>
      <c r="AC442" s="92"/>
      <c r="AD442" s="92"/>
      <c r="AE442" s="92"/>
      <c r="AF442" s="92"/>
      <c r="AG442" s="92"/>
      <c r="AH442" s="92"/>
      <c r="AI442" s="92"/>
      <c r="AJ442" s="92"/>
      <c r="AK442" s="92"/>
      <c r="AL442" s="92"/>
      <c r="AM442" s="92"/>
      <c r="AN442" s="92"/>
      <c r="AO442" s="84"/>
      <c r="AP442" s="89"/>
      <c r="AQ442" s="90"/>
      <c r="AR442" s="84"/>
      <c r="AS442" s="86"/>
    </row>
    <row r="443" spans="1:45" x14ac:dyDescent="0.35">
      <c r="A443" s="97"/>
      <c r="B443" s="92"/>
      <c r="C443" s="92"/>
      <c r="D443" s="92"/>
      <c r="E443" s="92"/>
      <c r="F443" s="92"/>
      <c r="G443" s="92"/>
      <c r="H443" s="92"/>
      <c r="I443" s="92"/>
      <c r="J443" s="92"/>
      <c r="K443" s="97"/>
      <c r="L443" s="92"/>
      <c r="M443" s="98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  <c r="AA443" s="92"/>
      <c r="AB443" s="92"/>
      <c r="AC443" s="92"/>
      <c r="AD443" s="92"/>
      <c r="AE443" s="92"/>
      <c r="AF443" s="92"/>
      <c r="AG443" s="92"/>
      <c r="AH443" s="92"/>
      <c r="AI443" s="92"/>
      <c r="AJ443" s="92"/>
      <c r="AK443" s="92"/>
      <c r="AL443" s="92"/>
      <c r="AM443" s="92"/>
      <c r="AN443" s="92"/>
      <c r="AO443" s="84"/>
      <c r="AP443" s="89"/>
      <c r="AQ443" s="90"/>
      <c r="AR443" s="84"/>
      <c r="AS443" s="86"/>
    </row>
    <row r="444" spans="1:45" x14ac:dyDescent="0.35">
      <c r="A444" s="97"/>
      <c r="B444" s="92"/>
      <c r="C444" s="92"/>
      <c r="D444" s="92"/>
      <c r="E444" s="92"/>
      <c r="F444" s="92"/>
      <c r="G444" s="92"/>
      <c r="H444" s="92"/>
      <c r="I444" s="92"/>
      <c r="J444" s="92"/>
      <c r="K444" s="97"/>
      <c r="L444" s="92"/>
      <c r="M444" s="98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  <c r="AA444" s="92"/>
      <c r="AB444" s="92"/>
      <c r="AC444" s="92"/>
      <c r="AD444" s="92"/>
      <c r="AE444" s="92"/>
      <c r="AF444" s="92"/>
      <c r="AG444" s="92"/>
      <c r="AH444" s="92"/>
      <c r="AI444" s="92"/>
      <c r="AJ444" s="92"/>
      <c r="AK444" s="92"/>
      <c r="AL444" s="92"/>
      <c r="AM444" s="92"/>
      <c r="AN444" s="92"/>
      <c r="AO444" s="84"/>
      <c r="AP444" s="89"/>
      <c r="AQ444" s="90"/>
      <c r="AR444" s="84"/>
      <c r="AS444" s="86"/>
    </row>
    <row r="445" spans="1:45" x14ac:dyDescent="0.35">
      <c r="A445" s="97"/>
      <c r="B445" s="92"/>
      <c r="C445" s="92"/>
      <c r="D445" s="92"/>
      <c r="E445" s="92"/>
      <c r="F445" s="92"/>
      <c r="G445" s="92"/>
      <c r="H445" s="92"/>
      <c r="I445" s="92"/>
      <c r="J445" s="92"/>
      <c r="K445" s="97"/>
      <c r="L445" s="92"/>
      <c r="M445" s="98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  <c r="AA445" s="92"/>
      <c r="AB445" s="92"/>
      <c r="AC445" s="92"/>
      <c r="AD445" s="92"/>
      <c r="AE445" s="92"/>
      <c r="AF445" s="92"/>
      <c r="AG445" s="92"/>
      <c r="AH445" s="92"/>
      <c r="AI445" s="92"/>
      <c r="AJ445" s="92"/>
      <c r="AK445" s="92"/>
      <c r="AL445" s="92"/>
      <c r="AM445" s="92"/>
      <c r="AN445" s="92"/>
      <c r="AO445" s="84"/>
      <c r="AP445" s="89"/>
      <c r="AQ445" s="90"/>
      <c r="AR445" s="84"/>
      <c r="AS445" s="86"/>
    </row>
    <row r="446" spans="1:45" x14ac:dyDescent="0.35">
      <c r="A446" s="97"/>
      <c r="B446" s="92"/>
      <c r="C446" s="92"/>
      <c r="D446" s="92"/>
      <c r="E446" s="92"/>
      <c r="F446" s="92"/>
      <c r="G446" s="92"/>
      <c r="H446" s="92"/>
      <c r="I446" s="92"/>
      <c r="J446" s="92"/>
      <c r="K446" s="97"/>
      <c r="L446" s="92"/>
      <c r="M446" s="98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  <c r="AA446" s="92"/>
      <c r="AB446" s="92"/>
      <c r="AC446" s="92"/>
      <c r="AD446" s="92"/>
      <c r="AE446" s="92"/>
      <c r="AF446" s="92"/>
      <c r="AG446" s="92"/>
      <c r="AH446" s="92"/>
      <c r="AI446" s="92"/>
      <c r="AJ446" s="92"/>
      <c r="AK446" s="92"/>
      <c r="AL446" s="92"/>
      <c r="AM446" s="92"/>
      <c r="AN446" s="92"/>
      <c r="AO446" s="84"/>
      <c r="AP446" s="89"/>
      <c r="AQ446" s="90"/>
      <c r="AR446" s="84"/>
      <c r="AS446" s="86"/>
    </row>
    <row r="447" spans="1:45" x14ac:dyDescent="0.35">
      <c r="A447" s="97"/>
      <c r="B447" s="92"/>
      <c r="C447" s="92"/>
      <c r="D447" s="92"/>
      <c r="E447" s="92"/>
      <c r="F447" s="92"/>
      <c r="G447" s="92"/>
      <c r="H447" s="92"/>
      <c r="I447" s="92"/>
      <c r="J447" s="92"/>
      <c r="K447" s="97"/>
      <c r="L447" s="92"/>
      <c r="M447" s="98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  <c r="AA447" s="92"/>
      <c r="AB447" s="92"/>
      <c r="AC447" s="92"/>
      <c r="AD447" s="92"/>
      <c r="AE447" s="92"/>
      <c r="AF447" s="92"/>
      <c r="AG447" s="92"/>
      <c r="AH447" s="92"/>
      <c r="AI447" s="92"/>
      <c r="AJ447" s="92"/>
      <c r="AK447" s="92"/>
      <c r="AL447" s="92"/>
      <c r="AM447" s="92"/>
      <c r="AN447" s="92"/>
      <c r="AO447" s="84"/>
      <c r="AP447" s="89"/>
      <c r="AQ447" s="90"/>
      <c r="AR447" s="84"/>
      <c r="AS447" s="86"/>
    </row>
    <row r="448" spans="1:45" x14ac:dyDescent="0.35">
      <c r="A448" s="97"/>
      <c r="B448" s="92"/>
      <c r="C448" s="92"/>
      <c r="D448" s="92"/>
      <c r="E448" s="92"/>
      <c r="F448" s="92"/>
      <c r="G448" s="92"/>
      <c r="H448" s="92"/>
      <c r="I448" s="92"/>
      <c r="J448" s="92"/>
      <c r="K448" s="97"/>
      <c r="L448" s="92"/>
      <c r="M448" s="98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  <c r="AA448" s="92"/>
      <c r="AB448" s="92"/>
      <c r="AC448" s="92"/>
      <c r="AD448" s="92"/>
      <c r="AE448" s="92"/>
      <c r="AF448" s="92"/>
      <c r="AG448" s="92"/>
      <c r="AH448" s="92"/>
      <c r="AI448" s="92"/>
      <c r="AJ448" s="92"/>
      <c r="AK448" s="92"/>
      <c r="AL448" s="92"/>
      <c r="AM448" s="92"/>
      <c r="AN448" s="92"/>
      <c r="AO448" s="84"/>
      <c r="AP448" s="89"/>
      <c r="AQ448" s="90"/>
      <c r="AR448" s="84"/>
      <c r="AS448" s="86"/>
    </row>
    <row r="449" spans="1:45" x14ac:dyDescent="0.35">
      <c r="A449" s="97"/>
      <c r="B449" s="92"/>
      <c r="C449" s="92"/>
      <c r="D449" s="92"/>
      <c r="E449" s="92"/>
      <c r="F449" s="92"/>
      <c r="G449" s="92"/>
      <c r="H449" s="92"/>
      <c r="I449" s="92"/>
      <c r="J449" s="92"/>
      <c r="K449" s="97"/>
      <c r="L449" s="92"/>
      <c r="M449" s="98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  <c r="AA449" s="92"/>
      <c r="AB449" s="92"/>
      <c r="AC449" s="92"/>
      <c r="AD449" s="92"/>
      <c r="AE449" s="92"/>
      <c r="AF449" s="92"/>
      <c r="AG449" s="92"/>
      <c r="AH449" s="92"/>
      <c r="AI449" s="92"/>
      <c r="AJ449" s="92"/>
      <c r="AK449" s="92"/>
      <c r="AL449" s="92"/>
      <c r="AM449" s="92"/>
      <c r="AN449" s="92"/>
      <c r="AO449" s="84"/>
      <c r="AP449" s="89"/>
      <c r="AQ449" s="90"/>
      <c r="AR449" s="84"/>
      <c r="AS449" s="86"/>
    </row>
    <row r="450" spans="1:45" x14ac:dyDescent="0.35">
      <c r="A450" s="97"/>
      <c r="B450" s="92"/>
      <c r="C450" s="92"/>
      <c r="D450" s="92"/>
      <c r="E450" s="92"/>
      <c r="F450" s="92"/>
      <c r="G450" s="92"/>
      <c r="H450" s="92"/>
      <c r="I450" s="92"/>
      <c r="J450" s="92"/>
      <c r="K450" s="97"/>
      <c r="L450" s="92"/>
      <c r="M450" s="98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  <c r="AA450" s="92"/>
      <c r="AB450" s="92"/>
      <c r="AC450" s="92"/>
      <c r="AD450" s="92"/>
      <c r="AE450" s="92"/>
      <c r="AF450" s="92"/>
      <c r="AG450" s="92"/>
      <c r="AH450" s="92"/>
      <c r="AI450" s="92"/>
      <c r="AJ450" s="92"/>
      <c r="AK450" s="92"/>
      <c r="AL450" s="92"/>
      <c r="AM450" s="92"/>
      <c r="AN450" s="92"/>
      <c r="AO450" s="84"/>
      <c r="AP450" s="89"/>
      <c r="AQ450" s="90"/>
      <c r="AR450" s="84"/>
      <c r="AS450" s="86"/>
    </row>
    <row r="451" spans="1:45" x14ac:dyDescent="0.35">
      <c r="A451" s="97"/>
      <c r="B451" s="92"/>
      <c r="C451" s="92"/>
      <c r="D451" s="92"/>
      <c r="E451" s="92"/>
      <c r="F451" s="92"/>
      <c r="G451" s="92"/>
      <c r="H451" s="92"/>
      <c r="I451" s="92"/>
      <c r="J451" s="92"/>
      <c r="K451" s="97"/>
      <c r="L451" s="92"/>
      <c r="M451" s="98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  <c r="AA451" s="92"/>
      <c r="AB451" s="92"/>
      <c r="AC451" s="92"/>
      <c r="AD451" s="92"/>
      <c r="AE451" s="92"/>
      <c r="AF451" s="92"/>
      <c r="AG451" s="92"/>
      <c r="AH451" s="92"/>
      <c r="AI451" s="92"/>
      <c r="AJ451" s="92"/>
      <c r="AK451" s="92"/>
      <c r="AL451" s="92"/>
      <c r="AM451" s="92"/>
      <c r="AN451" s="92"/>
      <c r="AO451" s="84"/>
      <c r="AP451" s="89"/>
      <c r="AQ451" s="90"/>
      <c r="AR451" s="84"/>
      <c r="AS451" s="86"/>
    </row>
    <row r="452" spans="1:45" x14ac:dyDescent="0.35">
      <c r="A452" s="88"/>
      <c r="B452" s="84"/>
      <c r="C452" s="84"/>
      <c r="D452" s="84"/>
      <c r="E452" s="84"/>
      <c r="F452" s="84"/>
      <c r="G452" s="84"/>
      <c r="H452" s="84"/>
      <c r="I452" s="84"/>
      <c r="J452" s="84"/>
      <c r="K452" s="88"/>
      <c r="L452" s="84"/>
      <c r="M452" s="96"/>
      <c r="N452" s="84"/>
      <c r="O452" s="84"/>
      <c r="P452" s="84"/>
      <c r="Q452" s="84"/>
      <c r="R452" s="84"/>
      <c r="S452" s="84"/>
      <c r="T452" s="84"/>
      <c r="U452" s="84"/>
      <c r="V452" s="84"/>
      <c r="W452" s="84"/>
      <c r="X452" s="84"/>
      <c r="Y452" s="84"/>
      <c r="Z452" s="84"/>
      <c r="AA452" s="84"/>
      <c r="AB452" s="84"/>
      <c r="AC452" s="84"/>
      <c r="AD452" s="84"/>
      <c r="AE452" s="84"/>
      <c r="AF452" s="84"/>
      <c r="AG452" s="84"/>
      <c r="AH452" s="84"/>
      <c r="AI452" s="84"/>
      <c r="AJ452" s="84"/>
      <c r="AK452" s="84"/>
      <c r="AL452" s="84"/>
      <c r="AM452" s="84"/>
      <c r="AN452" s="84"/>
      <c r="AO452" s="84"/>
      <c r="AP452" s="89"/>
      <c r="AQ452" s="90"/>
      <c r="AR452" s="84"/>
      <c r="AS452" s="86"/>
    </row>
    <row r="453" spans="1:45" x14ac:dyDescent="0.35">
      <c r="A453" s="88"/>
      <c r="B453" s="84"/>
      <c r="C453" s="84"/>
      <c r="D453" s="84"/>
      <c r="E453" s="84"/>
      <c r="F453" s="84"/>
      <c r="G453" s="84"/>
      <c r="H453" s="84"/>
      <c r="I453" s="84"/>
      <c r="J453" s="84"/>
      <c r="K453" s="88"/>
      <c r="L453" s="84"/>
      <c r="M453" s="96"/>
      <c r="N453" s="84"/>
      <c r="O453" s="84"/>
      <c r="P453" s="84"/>
      <c r="Q453" s="84"/>
      <c r="R453" s="84"/>
      <c r="S453" s="84"/>
      <c r="T453" s="84"/>
      <c r="U453" s="84"/>
      <c r="V453" s="84"/>
      <c r="W453" s="84"/>
      <c r="X453" s="84"/>
      <c r="Y453" s="84"/>
      <c r="Z453" s="84"/>
      <c r="AA453" s="84"/>
      <c r="AB453" s="84"/>
      <c r="AC453" s="84"/>
      <c r="AD453" s="84"/>
      <c r="AE453" s="84"/>
      <c r="AF453" s="84"/>
      <c r="AG453" s="84"/>
      <c r="AH453" s="84"/>
      <c r="AI453" s="84"/>
      <c r="AJ453" s="84"/>
      <c r="AK453" s="84"/>
      <c r="AL453" s="84"/>
      <c r="AM453" s="84"/>
      <c r="AN453" s="84"/>
      <c r="AO453" s="84"/>
      <c r="AP453" s="89"/>
      <c r="AQ453" s="90"/>
      <c r="AR453" s="84"/>
      <c r="AS453" s="86"/>
    </row>
    <row r="454" spans="1:45" x14ac:dyDescent="0.35">
      <c r="A454" s="88"/>
      <c r="B454" s="84"/>
      <c r="C454" s="84"/>
      <c r="D454" s="84"/>
      <c r="E454" s="84"/>
      <c r="F454" s="84"/>
      <c r="G454" s="84"/>
      <c r="H454" s="84"/>
      <c r="I454" s="84"/>
      <c r="J454" s="84"/>
      <c r="K454" s="88"/>
      <c r="L454" s="84"/>
      <c r="M454" s="96"/>
      <c r="N454" s="84"/>
      <c r="O454" s="84"/>
      <c r="P454" s="84"/>
      <c r="Q454" s="84"/>
      <c r="R454" s="84"/>
      <c r="S454" s="84"/>
      <c r="T454" s="84"/>
      <c r="U454" s="84"/>
      <c r="V454" s="84"/>
      <c r="W454" s="84"/>
      <c r="X454" s="84"/>
      <c r="Y454" s="84"/>
      <c r="Z454" s="84"/>
      <c r="AA454" s="84"/>
      <c r="AB454" s="84"/>
      <c r="AC454" s="84"/>
      <c r="AD454" s="84"/>
      <c r="AE454" s="84"/>
      <c r="AF454" s="84"/>
      <c r="AG454" s="84"/>
      <c r="AH454" s="84"/>
      <c r="AI454" s="84"/>
      <c r="AJ454" s="84"/>
      <c r="AK454" s="84"/>
      <c r="AL454" s="84"/>
      <c r="AM454" s="84"/>
      <c r="AN454" s="84"/>
      <c r="AO454" s="84"/>
      <c r="AP454" s="89"/>
      <c r="AQ454" s="90"/>
      <c r="AR454" s="84"/>
      <c r="AS454" s="86"/>
    </row>
    <row r="455" spans="1:45" x14ac:dyDescent="0.35">
      <c r="A455" s="88"/>
      <c r="B455" s="84"/>
      <c r="C455" s="84"/>
      <c r="D455" s="84"/>
      <c r="E455" s="84"/>
      <c r="F455" s="84"/>
      <c r="G455" s="84"/>
      <c r="H455" s="84"/>
      <c r="I455" s="84"/>
      <c r="J455" s="84"/>
      <c r="K455" s="88"/>
      <c r="L455" s="84"/>
      <c r="M455" s="96"/>
      <c r="N455" s="84"/>
      <c r="O455" s="84"/>
      <c r="P455" s="84"/>
      <c r="Q455" s="84"/>
      <c r="R455" s="84"/>
      <c r="S455" s="84"/>
      <c r="T455" s="84"/>
      <c r="U455" s="84"/>
      <c r="V455" s="84"/>
      <c r="W455" s="84"/>
      <c r="X455" s="84"/>
      <c r="Y455" s="84"/>
      <c r="Z455" s="84"/>
      <c r="AA455" s="84"/>
      <c r="AB455" s="84"/>
      <c r="AC455" s="84"/>
      <c r="AD455" s="84"/>
      <c r="AE455" s="84"/>
      <c r="AF455" s="84"/>
      <c r="AG455" s="84"/>
      <c r="AH455" s="84"/>
      <c r="AI455" s="84"/>
      <c r="AJ455" s="84"/>
      <c r="AK455" s="84"/>
      <c r="AL455" s="84"/>
      <c r="AM455" s="84"/>
      <c r="AN455" s="84"/>
      <c r="AO455" s="84"/>
      <c r="AP455" s="89"/>
      <c r="AQ455" s="90"/>
      <c r="AR455" s="84"/>
      <c r="AS455" s="86"/>
    </row>
    <row r="456" spans="1:45" x14ac:dyDescent="0.35">
      <c r="A456" s="88"/>
      <c r="B456" s="84"/>
      <c r="C456" s="84"/>
      <c r="D456" s="84"/>
      <c r="E456" s="84"/>
      <c r="F456" s="84"/>
      <c r="G456" s="84"/>
      <c r="H456" s="84"/>
      <c r="I456" s="84"/>
      <c r="J456" s="84"/>
      <c r="K456" s="84"/>
      <c r="L456" s="84"/>
      <c r="M456" s="96"/>
      <c r="N456" s="84"/>
      <c r="O456" s="84"/>
      <c r="P456" s="84"/>
      <c r="Q456" s="84"/>
      <c r="R456" s="84"/>
      <c r="S456" s="84"/>
      <c r="T456" s="84"/>
      <c r="U456" s="84"/>
      <c r="V456" s="84"/>
      <c r="W456" s="84"/>
      <c r="X456" s="84"/>
      <c r="Y456" s="84"/>
      <c r="Z456" s="84"/>
      <c r="AA456" s="84"/>
      <c r="AB456" s="84"/>
      <c r="AC456" s="84"/>
      <c r="AD456" s="84"/>
      <c r="AE456" s="84"/>
      <c r="AF456" s="84"/>
      <c r="AG456" s="84"/>
      <c r="AH456" s="84"/>
      <c r="AI456" s="84"/>
      <c r="AJ456" s="84"/>
      <c r="AK456" s="84"/>
      <c r="AL456" s="84"/>
      <c r="AM456" s="84"/>
      <c r="AN456" s="84"/>
      <c r="AO456" s="84"/>
      <c r="AP456" s="89"/>
      <c r="AQ456" s="90"/>
      <c r="AR456" s="84"/>
      <c r="AS456" s="86"/>
    </row>
    <row r="457" spans="1:45" x14ac:dyDescent="0.35">
      <c r="A457" s="97"/>
      <c r="B457" s="92"/>
      <c r="C457" s="92"/>
      <c r="D457" s="92"/>
      <c r="E457" s="92"/>
      <c r="F457" s="92"/>
      <c r="G457" s="92"/>
      <c r="H457" s="92"/>
      <c r="I457" s="92"/>
      <c r="J457" s="92"/>
      <c r="K457" s="97"/>
      <c r="L457" s="92"/>
      <c r="M457" s="98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  <c r="AA457" s="92"/>
      <c r="AB457" s="92"/>
      <c r="AC457" s="92"/>
      <c r="AD457" s="92"/>
      <c r="AE457" s="92"/>
      <c r="AF457" s="92"/>
      <c r="AG457" s="92"/>
      <c r="AH457" s="92"/>
      <c r="AI457" s="92"/>
      <c r="AJ457" s="92"/>
      <c r="AK457" s="92"/>
      <c r="AL457" s="92"/>
      <c r="AM457" s="92"/>
      <c r="AN457" s="92"/>
      <c r="AO457" s="84"/>
      <c r="AP457" s="89"/>
      <c r="AQ457" s="90"/>
      <c r="AR457" s="84"/>
      <c r="AS457" s="86"/>
    </row>
    <row r="458" spans="1:45" x14ac:dyDescent="0.35">
      <c r="A458" s="88"/>
      <c r="B458" s="84"/>
      <c r="C458" s="84"/>
      <c r="D458" s="84"/>
      <c r="E458" s="84"/>
      <c r="F458" s="84"/>
      <c r="G458" s="84"/>
      <c r="H458" s="84"/>
      <c r="I458" s="84"/>
      <c r="J458" s="84"/>
      <c r="K458" s="88"/>
      <c r="L458" s="84"/>
      <c r="M458" s="96"/>
      <c r="N458" s="84"/>
      <c r="O458" s="84"/>
      <c r="P458" s="84"/>
      <c r="Q458" s="84"/>
      <c r="R458" s="84"/>
      <c r="S458" s="84"/>
      <c r="T458" s="84"/>
      <c r="U458" s="84"/>
      <c r="V458" s="84"/>
      <c r="W458" s="84"/>
      <c r="X458" s="84"/>
      <c r="Y458" s="84"/>
      <c r="Z458" s="84"/>
      <c r="AA458" s="84"/>
      <c r="AB458" s="84"/>
      <c r="AC458" s="84"/>
      <c r="AD458" s="84"/>
      <c r="AE458" s="84"/>
      <c r="AF458" s="84"/>
      <c r="AG458" s="84"/>
      <c r="AH458" s="84"/>
      <c r="AI458" s="84"/>
      <c r="AJ458" s="84"/>
      <c r="AK458" s="84"/>
      <c r="AL458" s="84"/>
      <c r="AM458" s="84"/>
      <c r="AN458" s="84"/>
      <c r="AO458" s="84"/>
      <c r="AP458" s="89"/>
      <c r="AQ458" s="90"/>
      <c r="AR458" s="84"/>
      <c r="AS458" s="86"/>
    </row>
    <row r="459" spans="1:45" x14ac:dyDescent="0.35">
      <c r="A459" s="97"/>
      <c r="B459" s="92"/>
      <c r="C459" s="92"/>
      <c r="D459" s="92"/>
      <c r="E459" s="92"/>
      <c r="F459" s="92"/>
      <c r="G459" s="92"/>
      <c r="H459" s="92"/>
      <c r="I459" s="92"/>
      <c r="J459" s="92"/>
      <c r="K459" s="97"/>
      <c r="L459" s="92"/>
      <c r="M459" s="98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  <c r="AA459" s="92"/>
      <c r="AB459" s="92"/>
      <c r="AC459" s="92"/>
      <c r="AD459" s="92"/>
      <c r="AE459" s="92"/>
      <c r="AF459" s="92"/>
      <c r="AG459" s="92"/>
      <c r="AH459" s="92"/>
      <c r="AI459" s="92"/>
      <c r="AJ459" s="92"/>
      <c r="AK459" s="92"/>
      <c r="AL459" s="92"/>
      <c r="AM459" s="92"/>
      <c r="AN459" s="92"/>
      <c r="AO459" s="84"/>
      <c r="AP459" s="89"/>
      <c r="AQ459" s="90"/>
      <c r="AR459" s="84"/>
      <c r="AS459" s="86"/>
    </row>
    <row r="460" spans="1:45" x14ac:dyDescent="0.35">
      <c r="A460" s="88"/>
      <c r="B460" s="84"/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96"/>
      <c r="N460" s="84"/>
      <c r="O460" s="84"/>
      <c r="P460" s="84"/>
      <c r="Q460" s="84"/>
      <c r="R460" s="84"/>
      <c r="S460" s="84"/>
      <c r="T460" s="84"/>
      <c r="U460" s="84"/>
      <c r="V460" s="84"/>
      <c r="W460" s="84"/>
      <c r="X460" s="84"/>
      <c r="Y460" s="84"/>
      <c r="Z460" s="84"/>
      <c r="AA460" s="84"/>
      <c r="AB460" s="84"/>
      <c r="AC460" s="84"/>
      <c r="AD460" s="84"/>
      <c r="AE460" s="84"/>
      <c r="AF460" s="84"/>
      <c r="AG460" s="84"/>
      <c r="AH460" s="84"/>
      <c r="AI460" s="84"/>
      <c r="AJ460" s="84"/>
      <c r="AK460" s="84"/>
      <c r="AL460" s="84"/>
      <c r="AM460" s="84"/>
      <c r="AN460" s="84"/>
      <c r="AO460" s="84"/>
      <c r="AP460" s="89"/>
      <c r="AQ460" s="90"/>
      <c r="AR460" s="84"/>
      <c r="AS460" s="86"/>
    </row>
    <row r="461" spans="1:45" x14ac:dyDescent="0.35">
      <c r="A461" s="88"/>
      <c r="B461" s="84"/>
      <c r="C461" s="84"/>
      <c r="D461" s="84"/>
      <c r="E461" s="84"/>
      <c r="F461" s="84"/>
      <c r="G461" s="84"/>
      <c r="H461" s="84"/>
      <c r="I461" s="84"/>
      <c r="J461" s="84"/>
      <c r="K461" s="88"/>
      <c r="L461" s="84"/>
      <c r="M461" s="96"/>
      <c r="N461" s="84"/>
      <c r="O461" s="84"/>
      <c r="P461" s="84"/>
      <c r="Q461" s="84"/>
      <c r="R461" s="84"/>
      <c r="S461" s="84"/>
      <c r="T461" s="84"/>
      <c r="U461" s="84"/>
      <c r="V461" s="84"/>
      <c r="W461" s="84"/>
      <c r="X461" s="84"/>
      <c r="Y461" s="84"/>
      <c r="Z461" s="84"/>
      <c r="AA461" s="84"/>
      <c r="AB461" s="84"/>
      <c r="AC461" s="84"/>
      <c r="AD461" s="84"/>
      <c r="AE461" s="84"/>
      <c r="AF461" s="84"/>
      <c r="AG461" s="84"/>
      <c r="AH461" s="84"/>
      <c r="AI461" s="84"/>
      <c r="AJ461" s="84"/>
      <c r="AK461" s="84"/>
      <c r="AL461" s="84"/>
      <c r="AM461" s="84"/>
      <c r="AN461" s="84"/>
      <c r="AO461" s="84"/>
      <c r="AP461" s="89"/>
      <c r="AQ461" s="90"/>
      <c r="AR461" s="84"/>
      <c r="AS461" s="86"/>
    </row>
    <row r="462" spans="1:45" x14ac:dyDescent="0.35">
      <c r="A462" s="88"/>
      <c r="B462" s="84"/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96"/>
      <c r="N462" s="84"/>
      <c r="O462" s="84"/>
      <c r="P462" s="84"/>
      <c r="Q462" s="84"/>
      <c r="R462" s="84"/>
      <c r="S462" s="84"/>
      <c r="T462" s="84"/>
      <c r="U462" s="84"/>
      <c r="V462" s="84"/>
      <c r="W462" s="84"/>
      <c r="X462" s="84"/>
      <c r="Y462" s="84"/>
      <c r="Z462" s="84"/>
      <c r="AA462" s="84"/>
      <c r="AB462" s="84"/>
      <c r="AC462" s="84"/>
      <c r="AD462" s="84"/>
      <c r="AE462" s="84"/>
      <c r="AF462" s="84"/>
      <c r="AG462" s="84"/>
      <c r="AH462" s="84"/>
      <c r="AI462" s="84"/>
      <c r="AJ462" s="84"/>
      <c r="AK462" s="84"/>
      <c r="AL462" s="84"/>
      <c r="AM462" s="84"/>
      <c r="AN462" s="84"/>
      <c r="AO462" s="84"/>
      <c r="AP462" s="89"/>
      <c r="AQ462" s="90"/>
      <c r="AR462" s="84"/>
      <c r="AS462" s="86"/>
    </row>
    <row r="463" spans="1:45" x14ac:dyDescent="0.35">
      <c r="A463" s="88"/>
      <c r="B463" s="84"/>
      <c r="C463" s="84"/>
      <c r="D463" s="84"/>
      <c r="E463" s="84"/>
      <c r="F463" s="84"/>
      <c r="G463" s="84"/>
      <c r="H463" s="84"/>
      <c r="I463" s="84"/>
      <c r="J463" s="84"/>
      <c r="K463" s="88"/>
      <c r="L463" s="84"/>
      <c r="M463" s="96"/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  <c r="Y463" s="84"/>
      <c r="Z463" s="84"/>
      <c r="AA463" s="84"/>
      <c r="AB463" s="84"/>
      <c r="AC463" s="84"/>
      <c r="AD463" s="84"/>
      <c r="AE463" s="84"/>
      <c r="AF463" s="84"/>
      <c r="AG463" s="84"/>
      <c r="AH463" s="84"/>
      <c r="AI463" s="84"/>
      <c r="AJ463" s="84"/>
      <c r="AK463" s="84"/>
      <c r="AL463" s="84"/>
      <c r="AM463" s="84"/>
      <c r="AN463" s="84"/>
      <c r="AO463" s="84"/>
      <c r="AP463" s="89"/>
      <c r="AQ463" s="90"/>
      <c r="AR463" s="84"/>
      <c r="AS463" s="86"/>
    </row>
    <row r="464" spans="1:45" x14ac:dyDescent="0.35">
      <c r="A464" s="88"/>
      <c r="B464" s="84"/>
      <c r="C464" s="84"/>
      <c r="D464" s="84"/>
      <c r="E464" s="84"/>
      <c r="F464" s="84"/>
      <c r="G464" s="84"/>
      <c r="H464" s="84"/>
      <c r="I464" s="84"/>
      <c r="J464" s="84"/>
      <c r="K464" s="88"/>
      <c r="L464" s="84"/>
      <c r="M464" s="96"/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  <c r="Y464" s="84"/>
      <c r="Z464" s="84"/>
      <c r="AA464" s="84"/>
      <c r="AB464" s="84"/>
      <c r="AC464" s="84"/>
      <c r="AD464" s="84"/>
      <c r="AE464" s="84"/>
      <c r="AF464" s="84"/>
      <c r="AG464" s="84"/>
      <c r="AH464" s="84"/>
      <c r="AI464" s="84"/>
      <c r="AJ464" s="84"/>
      <c r="AK464" s="84"/>
      <c r="AL464" s="84"/>
      <c r="AM464" s="84"/>
      <c r="AN464" s="84"/>
      <c r="AO464" s="84"/>
      <c r="AP464" s="89"/>
      <c r="AQ464" s="90"/>
      <c r="AR464" s="84"/>
      <c r="AS464" s="86"/>
    </row>
    <row r="465" spans="1:45" x14ac:dyDescent="0.35">
      <c r="A465" s="88"/>
      <c r="B465" s="84"/>
      <c r="C465" s="84"/>
      <c r="D465" s="84"/>
      <c r="E465" s="84"/>
      <c r="F465" s="84"/>
      <c r="G465" s="84"/>
      <c r="H465" s="84"/>
      <c r="I465" s="84"/>
      <c r="J465" s="84"/>
      <c r="K465" s="88"/>
      <c r="L465" s="84"/>
      <c r="M465" s="96"/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  <c r="Y465" s="84"/>
      <c r="Z465" s="84"/>
      <c r="AA465" s="84"/>
      <c r="AB465" s="84"/>
      <c r="AC465" s="84"/>
      <c r="AD465" s="84"/>
      <c r="AE465" s="84"/>
      <c r="AF465" s="84"/>
      <c r="AG465" s="84"/>
      <c r="AH465" s="84"/>
      <c r="AI465" s="84"/>
      <c r="AJ465" s="84"/>
      <c r="AK465" s="84"/>
      <c r="AL465" s="84"/>
      <c r="AM465" s="84"/>
      <c r="AN465" s="84"/>
      <c r="AO465" s="84"/>
      <c r="AP465" s="89"/>
      <c r="AQ465" s="90"/>
      <c r="AR465" s="84"/>
      <c r="AS465" s="86"/>
    </row>
    <row r="466" spans="1:45" x14ac:dyDescent="0.35">
      <c r="A466" s="88"/>
      <c r="B466" s="84"/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96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  <c r="AA466" s="84"/>
      <c r="AB466" s="84"/>
      <c r="AC466" s="84"/>
      <c r="AD466" s="84"/>
      <c r="AE466" s="84"/>
      <c r="AF466" s="84"/>
      <c r="AG466" s="84"/>
      <c r="AH466" s="84"/>
      <c r="AI466" s="84"/>
      <c r="AJ466" s="84"/>
      <c r="AK466" s="84"/>
      <c r="AL466" s="84"/>
      <c r="AM466" s="84"/>
      <c r="AN466" s="84"/>
      <c r="AO466" s="84"/>
      <c r="AP466" s="89"/>
      <c r="AQ466" s="90"/>
      <c r="AR466" s="84"/>
      <c r="AS466" s="86"/>
    </row>
    <row r="467" spans="1:45" x14ac:dyDescent="0.35">
      <c r="A467" s="97"/>
      <c r="B467" s="92"/>
      <c r="C467" s="92"/>
      <c r="D467" s="92"/>
      <c r="E467" s="92"/>
      <c r="F467" s="92"/>
      <c r="G467" s="92"/>
      <c r="H467" s="92"/>
      <c r="I467" s="92"/>
      <c r="J467" s="92"/>
      <c r="K467" s="92"/>
      <c r="L467" s="92"/>
      <c r="M467" s="98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  <c r="AA467" s="92"/>
      <c r="AB467" s="92"/>
      <c r="AC467" s="92"/>
      <c r="AD467" s="92"/>
      <c r="AE467" s="92"/>
      <c r="AF467" s="92"/>
      <c r="AG467" s="92"/>
      <c r="AH467" s="92"/>
      <c r="AI467" s="92"/>
      <c r="AJ467" s="92"/>
      <c r="AK467" s="92"/>
      <c r="AL467" s="92"/>
      <c r="AM467" s="92"/>
      <c r="AN467" s="92"/>
      <c r="AO467" s="84"/>
      <c r="AP467" s="89"/>
      <c r="AQ467" s="90"/>
      <c r="AR467" s="84"/>
      <c r="AS467" s="86"/>
    </row>
    <row r="468" spans="1:45" x14ac:dyDescent="0.35">
      <c r="A468" s="88"/>
      <c r="B468" s="84"/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96"/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  <c r="Y468" s="84"/>
      <c r="Z468" s="84"/>
      <c r="AA468" s="84"/>
      <c r="AB468" s="84"/>
      <c r="AC468" s="84"/>
      <c r="AD468" s="84"/>
      <c r="AE468" s="84"/>
      <c r="AF468" s="84"/>
      <c r="AG468" s="84"/>
      <c r="AH468" s="84"/>
      <c r="AI468" s="84"/>
      <c r="AJ468" s="84"/>
      <c r="AK468" s="84"/>
      <c r="AL468" s="84"/>
      <c r="AM468" s="84"/>
      <c r="AN468" s="84"/>
      <c r="AO468" s="84"/>
      <c r="AP468" s="89"/>
      <c r="AQ468" s="90"/>
      <c r="AR468" s="84"/>
      <c r="AS468" s="86"/>
    </row>
    <row r="469" spans="1:45" x14ac:dyDescent="0.35">
      <c r="A469" s="88"/>
      <c r="B469" s="84"/>
      <c r="C469" s="84"/>
      <c r="D469" s="84"/>
      <c r="E469" s="84"/>
      <c r="F469" s="84"/>
      <c r="G469" s="84"/>
      <c r="H469" s="84"/>
      <c r="I469" s="84"/>
      <c r="J469" s="84"/>
      <c r="K469" s="88"/>
      <c r="L469" s="84"/>
      <c r="M469" s="96"/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  <c r="Y469" s="84"/>
      <c r="Z469" s="84"/>
      <c r="AA469" s="84"/>
      <c r="AB469" s="84"/>
      <c r="AC469" s="84"/>
      <c r="AD469" s="84"/>
      <c r="AE469" s="84"/>
      <c r="AF469" s="84"/>
      <c r="AG469" s="84"/>
      <c r="AH469" s="84"/>
      <c r="AI469" s="84"/>
      <c r="AJ469" s="84"/>
      <c r="AK469" s="84"/>
      <c r="AL469" s="84"/>
      <c r="AM469" s="84"/>
      <c r="AN469" s="84"/>
      <c r="AO469" s="84"/>
      <c r="AP469" s="89"/>
      <c r="AQ469" s="90"/>
      <c r="AR469" s="84"/>
      <c r="AS469" s="86"/>
    </row>
    <row r="470" spans="1:45" x14ac:dyDescent="0.35">
      <c r="A470" s="88"/>
      <c r="B470" s="84"/>
      <c r="C470" s="84"/>
      <c r="D470" s="84"/>
      <c r="E470" s="84"/>
      <c r="F470" s="84"/>
      <c r="G470" s="84"/>
      <c r="H470" s="84"/>
      <c r="I470" s="84"/>
      <c r="J470" s="84"/>
      <c r="K470" s="88"/>
      <c r="L470" s="84"/>
      <c r="M470" s="96"/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  <c r="Y470" s="84"/>
      <c r="Z470" s="84"/>
      <c r="AA470" s="84"/>
      <c r="AB470" s="84"/>
      <c r="AC470" s="84"/>
      <c r="AD470" s="84"/>
      <c r="AE470" s="84"/>
      <c r="AF470" s="84"/>
      <c r="AG470" s="84"/>
      <c r="AH470" s="84"/>
      <c r="AI470" s="84"/>
      <c r="AJ470" s="84"/>
      <c r="AK470" s="84"/>
      <c r="AL470" s="84"/>
      <c r="AM470" s="84"/>
      <c r="AN470" s="84"/>
      <c r="AO470" s="84"/>
      <c r="AP470" s="89"/>
      <c r="AQ470" s="90"/>
      <c r="AR470" s="84"/>
      <c r="AS470" s="86"/>
    </row>
    <row r="471" spans="1:45" x14ac:dyDescent="0.35">
      <c r="A471" s="88"/>
      <c r="B471" s="84"/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96"/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  <c r="Y471" s="84"/>
      <c r="Z471" s="84"/>
      <c r="AA471" s="84"/>
      <c r="AB471" s="84"/>
      <c r="AC471" s="84"/>
      <c r="AD471" s="84"/>
      <c r="AE471" s="84"/>
      <c r="AF471" s="84"/>
      <c r="AG471" s="84"/>
      <c r="AH471" s="84"/>
      <c r="AI471" s="84"/>
      <c r="AJ471" s="84"/>
      <c r="AK471" s="84"/>
      <c r="AL471" s="84"/>
      <c r="AM471" s="84"/>
      <c r="AN471" s="84"/>
      <c r="AO471" s="84"/>
      <c r="AP471" s="89"/>
      <c r="AQ471" s="90"/>
      <c r="AR471" s="84"/>
      <c r="AS471" s="86"/>
    </row>
    <row r="472" spans="1:45" x14ac:dyDescent="0.35">
      <c r="A472" s="88"/>
      <c r="B472" s="84"/>
      <c r="C472" s="84"/>
      <c r="D472" s="84"/>
      <c r="E472" s="84"/>
      <c r="F472" s="84"/>
      <c r="G472" s="84"/>
      <c r="H472" s="84"/>
      <c r="I472" s="84"/>
      <c r="J472" s="84"/>
      <c r="K472" s="88"/>
      <c r="L472" s="84"/>
      <c r="M472" s="96"/>
      <c r="N472" s="84"/>
      <c r="O472" s="84"/>
      <c r="P472" s="84"/>
      <c r="Q472" s="84"/>
      <c r="R472" s="84"/>
      <c r="S472" s="84"/>
      <c r="T472" s="84"/>
      <c r="U472" s="84"/>
      <c r="V472" s="84"/>
      <c r="W472" s="84"/>
      <c r="X472" s="84"/>
      <c r="Y472" s="84"/>
      <c r="Z472" s="84"/>
      <c r="AA472" s="84"/>
      <c r="AB472" s="84"/>
      <c r="AC472" s="84"/>
      <c r="AD472" s="84"/>
      <c r="AE472" s="84"/>
      <c r="AF472" s="84"/>
      <c r="AG472" s="84"/>
      <c r="AH472" s="84"/>
      <c r="AI472" s="84"/>
      <c r="AJ472" s="84"/>
      <c r="AK472" s="84"/>
      <c r="AL472" s="84"/>
      <c r="AM472" s="84"/>
      <c r="AN472" s="84"/>
      <c r="AO472" s="84"/>
      <c r="AP472" s="89"/>
      <c r="AQ472" s="90"/>
      <c r="AR472" s="84"/>
      <c r="AS472" s="86"/>
    </row>
    <row r="473" spans="1:45" x14ac:dyDescent="0.35">
      <c r="A473" s="97"/>
      <c r="B473" s="92"/>
      <c r="C473" s="92"/>
      <c r="D473" s="92"/>
      <c r="E473" s="92"/>
      <c r="F473" s="92"/>
      <c r="G473" s="92"/>
      <c r="H473" s="92"/>
      <c r="I473" s="92"/>
      <c r="J473" s="92"/>
      <c r="K473" s="97"/>
      <c r="L473" s="92"/>
      <c r="M473" s="98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  <c r="AA473" s="92"/>
      <c r="AB473" s="92"/>
      <c r="AC473" s="92"/>
      <c r="AD473" s="92"/>
      <c r="AE473" s="92"/>
      <c r="AF473" s="92"/>
      <c r="AG473" s="92"/>
      <c r="AH473" s="92"/>
      <c r="AI473" s="92"/>
      <c r="AJ473" s="92"/>
      <c r="AK473" s="92"/>
      <c r="AL473" s="92"/>
      <c r="AM473" s="92"/>
      <c r="AN473" s="92"/>
      <c r="AO473" s="84"/>
      <c r="AP473" s="89"/>
      <c r="AQ473" s="90"/>
      <c r="AR473" s="84"/>
      <c r="AS473" s="86"/>
    </row>
    <row r="474" spans="1:45" x14ac:dyDescent="0.35">
      <c r="A474" s="88"/>
      <c r="B474" s="84"/>
      <c r="C474" s="84"/>
      <c r="D474" s="84"/>
      <c r="E474" s="84"/>
      <c r="F474" s="84"/>
      <c r="G474" s="84"/>
      <c r="H474" s="84"/>
      <c r="I474" s="84"/>
      <c r="J474" s="84"/>
      <c r="K474" s="88"/>
      <c r="L474" s="84"/>
      <c r="M474" s="96"/>
      <c r="N474" s="84"/>
      <c r="O474" s="84"/>
      <c r="P474" s="84"/>
      <c r="Q474" s="84"/>
      <c r="R474" s="84"/>
      <c r="S474" s="84"/>
      <c r="T474" s="84"/>
      <c r="U474" s="84"/>
      <c r="V474" s="84"/>
      <c r="W474" s="84"/>
      <c r="X474" s="84"/>
      <c r="Y474" s="84"/>
      <c r="Z474" s="84"/>
      <c r="AA474" s="84"/>
      <c r="AB474" s="84"/>
      <c r="AC474" s="84"/>
      <c r="AD474" s="84"/>
      <c r="AE474" s="84"/>
      <c r="AF474" s="84"/>
      <c r="AG474" s="84"/>
      <c r="AH474" s="84"/>
      <c r="AI474" s="84"/>
      <c r="AJ474" s="84"/>
      <c r="AK474" s="84"/>
      <c r="AL474" s="84"/>
      <c r="AM474" s="84"/>
      <c r="AN474" s="84"/>
      <c r="AO474" s="84"/>
      <c r="AP474" s="89"/>
      <c r="AQ474" s="90"/>
      <c r="AR474" s="84"/>
      <c r="AS474" s="86"/>
    </row>
    <row r="475" spans="1:45" x14ac:dyDescent="0.35">
      <c r="A475" s="88"/>
      <c r="B475" s="84"/>
      <c r="C475" s="84"/>
      <c r="D475" s="84"/>
      <c r="E475" s="84"/>
      <c r="F475" s="84"/>
      <c r="G475" s="84"/>
      <c r="H475" s="84"/>
      <c r="I475" s="84"/>
      <c r="J475" s="84"/>
      <c r="K475" s="88"/>
      <c r="L475" s="84"/>
      <c r="M475" s="96"/>
      <c r="N475" s="84"/>
      <c r="O475" s="84"/>
      <c r="P475" s="84"/>
      <c r="Q475" s="84"/>
      <c r="R475" s="84"/>
      <c r="S475" s="84"/>
      <c r="T475" s="84"/>
      <c r="U475" s="84"/>
      <c r="V475" s="84"/>
      <c r="W475" s="84"/>
      <c r="X475" s="84"/>
      <c r="Y475" s="84"/>
      <c r="Z475" s="84"/>
      <c r="AA475" s="84"/>
      <c r="AB475" s="84"/>
      <c r="AC475" s="84"/>
      <c r="AD475" s="84"/>
      <c r="AE475" s="84"/>
      <c r="AF475" s="84"/>
      <c r="AG475" s="84"/>
      <c r="AH475" s="84"/>
      <c r="AI475" s="84"/>
      <c r="AJ475" s="84"/>
      <c r="AK475" s="84"/>
      <c r="AL475" s="84"/>
      <c r="AM475" s="84"/>
      <c r="AN475" s="84"/>
      <c r="AO475" s="84"/>
      <c r="AP475" s="89"/>
      <c r="AQ475" s="90"/>
      <c r="AR475" s="84"/>
      <c r="AS475" s="86"/>
    </row>
    <row r="476" spans="1:45" x14ac:dyDescent="0.35">
      <c r="A476" s="88"/>
      <c r="B476" s="84"/>
      <c r="C476" s="84"/>
      <c r="D476" s="84"/>
      <c r="E476" s="84"/>
      <c r="F476" s="84"/>
      <c r="G476" s="84"/>
      <c r="H476" s="84"/>
      <c r="I476" s="84"/>
      <c r="J476" s="84"/>
      <c r="K476" s="88"/>
      <c r="L476" s="84"/>
      <c r="M476" s="96"/>
      <c r="N476" s="84"/>
      <c r="O476" s="84"/>
      <c r="P476" s="84"/>
      <c r="Q476" s="84"/>
      <c r="R476" s="84"/>
      <c r="S476" s="84"/>
      <c r="T476" s="84"/>
      <c r="U476" s="84"/>
      <c r="V476" s="84"/>
      <c r="W476" s="84"/>
      <c r="X476" s="84"/>
      <c r="Y476" s="84"/>
      <c r="Z476" s="84"/>
      <c r="AA476" s="84"/>
      <c r="AB476" s="84"/>
      <c r="AC476" s="84"/>
      <c r="AD476" s="84"/>
      <c r="AE476" s="84"/>
      <c r="AF476" s="84"/>
      <c r="AG476" s="84"/>
      <c r="AH476" s="84"/>
      <c r="AI476" s="84"/>
      <c r="AJ476" s="84"/>
      <c r="AK476" s="84"/>
      <c r="AL476" s="84"/>
      <c r="AM476" s="84"/>
      <c r="AN476" s="84"/>
      <c r="AO476" s="84"/>
      <c r="AP476" s="89"/>
      <c r="AQ476" s="90"/>
      <c r="AR476" s="84"/>
      <c r="AS476" s="86"/>
    </row>
    <row r="477" spans="1:45" x14ac:dyDescent="0.35">
      <c r="A477" s="88"/>
      <c r="B477" s="84"/>
      <c r="C477" s="84"/>
      <c r="D477" s="84"/>
      <c r="E477" s="84"/>
      <c r="F477" s="84"/>
      <c r="G477" s="84"/>
      <c r="H477" s="84"/>
      <c r="I477" s="84"/>
      <c r="J477" s="84"/>
      <c r="K477" s="88"/>
      <c r="L477" s="84"/>
      <c r="M477" s="96"/>
      <c r="N477" s="84"/>
      <c r="O477" s="84"/>
      <c r="P477" s="84"/>
      <c r="Q477" s="84"/>
      <c r="R477" s="84"/>
      <c r="S477" s="84"/>
      <c r="T477" s="84"/>
      <c r="U477" s="84"/>
      <c r="V477" s="84"/>
      <c r="W477" s="84"/>
      <c r="X477" s="84"/>
      <c r="Y477" s="84"/>
      <c r="Z477" s="84"/>
      <c r="AA477" s="84"/>
      <c r="AB477" s="84"/>
      <c r="AC477" s="84"/>
      <c r="AD477" s="84"/>
      <c r="AE477" s="84"/>
      <c r="AF477" s="84"/>
      <c r="AG477" s="84"/>
      <c r="AH477" s="84"/>
      <c r="AI477" s="84"/>
      <c r="AJ477" s="84"/>
      <c r="AK477" s="84"/>
      <c r="AL477" s="84"/>
      <c r="AM477" s="84"/>
      <c r="AN477" s="84"/>
      <c r="AO477" s="84"/>
      <c r="AP477" s="89"/>
      <c r="AQ477" s="90"/>
      <c r="AR477" s="84"/>
      <c r="AS477" s="86"/>
    </row>
    <row r="478" spans="1:45" x14ac:dyDescent="0.35">
      <c r="A478" s="88"/>
      <c r="B478" s="84"/>
      <c r="C478" s="84"/>
      <c r="D478" s="84"/>
      <c r="E478" s="84"/>
      <c r="F478" s="84"/>
      <c r="G478" s="84"/>
      <c r="H478" s="84"/>
      <c r="I478" s="84"/>
      <c r="J478" s="84"/>
      <c r="K478" s="88"/>
      <c r="L478" s="84"/>
      <c r="M478" s="96"/>
      <c r="N478" s="84"/>
      <c r="O478" s="84"/>
      <c r="P478" s="84"/>
      <c r="Q478" s="84"/>
      <c r="R478" s="84"/>
      <c r="S478" s="84"/>
      <c r="T478" s="84"/>
      <c r="U478" s="84"/>
      <c r="V478" s="84"/>
      <c r="W478" s="84"/>
      <c r="X478" s="84"/>
      <c r="Y478" s="84"/>
      <c r="Z478" s="84"/>
      <c r="AA478" s="84"/>
      <c r="AB478" s="84"/>
      <c r="AC478" s="84"/>
      <c r="AD478" s="84"/>
      <c r="AE478" s="84"/>
      <c r="AF478" s="84"/>
      <c r="AG478" s="84"/>
      <c r="AH478" s="84"/>
      <c r="AI478" s="84"/>
      <c r="AJ478" s="84"/>
      <c r="AK478" s="84"/>
      <c r="AL478" s="84"/>
      <c r="AM478" s="84"/>
      <c r="AN478" s="84"/>
      <c r="AO478" s="84"/>
      <c r="AP478" s="89"/>
      <c r="AQ478" s="90"/>
      <c r="AR478" s="84"/>
      <c r="AS478" s="86"/>
    </row>
    <row r="479" spans="1:45" x14ac:dyDescent="0.35">
      <c r="A479" s="88"/>
      <c r="B479" s="84"/>
      <c r="C479" s="84"/>
      <c r="D479" s="84"/>
      <c r="E479" s="84"/>
      <c r="F479" s="84"/>
      <c r="G479" s="84"/>
      <c r="H479" s="84"/>
      <c r="I479" s="84"/>
      <c r="J479" s="84"/>
      <c r="K479" s="88"/>
      <c r="L479" s="84"/>
      <c r="M479" s="96"/>
      <c r="N479" s="84"/>
      <c r="O479" s="84"/>
      <c r="P479" s="84"/>
      <c r="Q479" s="84"/>
      <c r="R479" s="84"/>
      <c r="S479" s="84"/>
      <c r="T479" s="84"/>
      <c r="U479" s="84"/>
      <c r="V479" s="84"/>
      <c r="W479" s="84"/>
      <c r="X479" s="84"/>
      <c r="Y479" s="84"/>
      <c r="Z479" s="84"/>
      <c r="AA479" s="84"/>
      <c r="AB479" s="84"/>
      <c r="AC479" s="84"/>
      <c r="AD479" s="84"/>
      <c r="AE479" s="84"/>
      <c r="AF479" s="84"/>
      <c r="AG479" s="84"/>
      <c r="AH479" s="84"/>
      <c r="AI479" s="84"/>
      <c r="AJ479" s="84"/>
      <c r="AK479" s="84"/>
      <c r="AL479" s="84"/>
      <c r="AM479" s="84"/>
      <c r="AN479" s="84"/>
      <c r="AO479" s="84"/>
      <c r="AP479" s="89"/>
      <c r="AQ479" s="90"/>
      <c r="AR479" s="84"/>
      <c r="AS479" s="86"/>
    </row>
    <row r="480" spans="1:45" x14ac:dyDescent="0.35">
      <c r="A480" s="97"/>
      <c r="B480" s="92"/>
      <c r="C480" s="92"/>
      <c r="D480" s="92"/>
      <c r="E480" s="92"/>
      <c r="F480" s="92"/>
      <c r="G480" s="92"/>
      <c r="H480" s="92"/>
      <c r="I480" s="92"/>
      <c r="J480" s="92"/>
      <c r="K480" s="92"/>
      <c r="L480" s="92"/>
      <c r="M480" s="98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  <c r="AA480" s="92"/>
      <c r="AB480" s="92"/>
      <c r="AC480" s="92"/>
      <c r="AD480" s="92"/>
      <c r="AE480" s="92"/>
      <c r="AF480" s="92"/>
      <c r="AG480" s="92"/>
      <c r="AH480" s="92"/>
      <c r="AI480" s="92"/>
      <c r="AJ480" s="92"/>
      <c r="AK480" s="92"/>
      <c r="AL480" s="92"/>
      <c r="AM480" s="92"/>
      <c r="AN480" s="92"/>
      <c r="AO480" s="84"/>
      <c r="AP480" s="89"/>
      <c r="AQ480" s="90"/>
      <c r="AR480" s="84"/>
      <c r="AS480" s="86"/>
    </row>
    <row r="481" spans="1:45" x14ac:dyDescent="0.35">
      <c r="A481" s="88"/>
      <c r="B481" s="84"/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96"/>
      <c r="N481" s="84"/>
      <c r="O481" s="84"/>
      <c r="P481" s="84"/>
      <c r="Q481" s="84"/>
      <c r="R481" s="84"/>
      <c r="S481" s="84"/>
      <c r="T481" s="84"/>
      <c r="U481" s="84"/>
      <c r="V481" s="84"/>
      <c r="W481" s="84"/>
      <c r="X481" s="84"/>
      <c r="Y481" s="84"/>
      <c r="Z481" s="84"/>
      <c r="AA481" s="84"/>
      <c r="AB481" s="84"/>
      <c r="AC481" s="84"/>
      <c r="AD481" s="84"/>
      <c r="AE481" s="84"/>
      <c r="AF481" s="84"/>
      <c r="AG481" s="84"/>
      <c r="AH481" s="84"/>
      <c r="AI481" s="84"/>
      <c r="AJ481" s="84"/>
      <c r="AK481" s="84"/>
      <c r="AL481" s="84"/>
      <c r="AM481" s="84"/>
      <c r="AN481" s="84"/>
      <c r="AO481" s="84"/>
      <c r="AP481" s="89"/>
      <c r="AQ481" s="90"/>
      <c r="AR481" s="84"/>
      <c r="AS481" s="86"/>
    </row>
    <row r="482" spans="1:45" x14ac:dyDescent="0.35">
      <c r="A482" s="88"/>
      <c r="B482" s="84"/>
      <c r="C482" s="84"/>
      <c r="D482" s="84"/>
      <c r="E482" s="84"/>
      <c r="F482" s="84"/>
      <c r="G482" s="84"/>
      <c r="H482" s="84"/>
      <c r="I482" s="84"/>
      <c r="J482" s="84"/>
      <c r="K482" s="88"/>
      <c r="L482" s="84"/>
      <c r="M482" s="96"/>
      <c r="N482" s="84"/>
      <c r="O482" s="84"/>
      <c r="P482" s="84"/>
      <c r="Q482" s="84"/>
      <c r="R482" s="84"/>
      <c r="S482" s="84"/>
      <c r="T482" s="84"/>
      <c r="U482" s="84"/>
      <c r="V482" s="84"/>
      <c r="W482" s="84"/>
      <c r="X482" s="84"/>
      <c r="Y482" s="84"/>
      <c r="Z482" s="84"/>
      <c r="AA482" s="84"/>
      <c r="AB482" s="84"/>
      <c r="AC482" s="84"/>
      <c r="AD482" s="84"/>
      <c r="AE482" s="84"/>
      <c r="AF482" s="84"/>
      <c r="AG482" s="84"/>
      <c r="AH482" s="84"/>
      <c r="AI482" s="84"/>
      <c r="AJ482" s="84"/>
      <c r="AK482" s="84"/>
      <c r="AL482" s="84"/>
      <c r="AM482" s="84"/>
      <c r="AN482" s="84"/>
      <c r="AO482" s="84"/>
      <c r="AP482" s="89"/>
      <c r="AQ482" s="90"/>
      <c r="AR482" s="84"/>
      <c r="AS482" s="86"/>
    </row>
    <row r="483" spans="1:45" x14ac:dyDescent="0.35">
      <c r="A483" s="88"/>
      <c r="B483" s="84"/>
      <c r="C483" s="84"/>
      <c r="D483" s="84"/>
      <c r="E483" s="84"/>
      <c r="F483" s="84"/>
      <c r="G483" s="84"/>
      <c r="H483" s="84"/>
      <c r="I483" s="84"/>
      <c r="J483" s="84"/>
      <c r="K483" s="88"/>
      <c r="L483" s="84"/>
      <c r="M483" s="96"/>
      <c r="N483" s="84"/>
      <c r="O483" s="84"/>
      <c r="P483" s="84"/>
      <c r="Q483" s="84"/>
      <c r="R483" s="84"/>
      <c r="S483" s="84"/>
      <c r="T483" s="84"/>
      <c r="U483" s="84"/>
      <c r="V483" s="84"/>
      <c r="W483" s="84"/>
      <c r="X483" s="84"/>
      <c r="Y483" s="84"/>
      <c r="Z483" s="84"/>
      <c r="AA483" s="84"/>
      <c r="AB483" s="84"/>
      <c r="AC483" s="84"/>
      <c r="AD483" s="84"/>
      <c r="AE483" s="84"/>
      <c r="AF483" s="84"/>
      <c r="AG483" s="84"/>
      <c r="AH483" s="84"/>
      <c r="AI483" s="84"/>
      <c r="AJ483" s="84"/>
      <c r="AK483" s="84"/>
      <c r="AL483" s="84"/>
      <c r="AM483" s="84"/>
      <c r="AN483" s="84"/>
      <c r="AO483" s="84"/>
      <c r="AP483" s="89"/>
      <c r="AQ483" s="90"/>
      <c r="AR483" s="84"/>
      <c r="AS483" s="86"/>
    </row>
    <row r="484" spans="1:45" x14ac:dyDescent="0.35">
      <c r="A484" s="88"/>
      <c r="B484" s="84"/>
      <c r="C484" s="84"/>
      <c r="D484" s="84"/>
      <c r="E484" s="84"/>
      <c r="F484" s="84"/>
      <c r="G484" s="84"/>
      <c r="H484" s="84"/>
      <c r="I484" s="84"/>
      <c r="J484" s="84"/>
      <c r="K484" s="88"/>
      <c r="L484" s="84"/>
      <c r="M484" s="96"/>
      <c r="N484" s="84"/>
      <c r="O484" s="84"/>
      <c r="P484" s="84"/>
      <c r="Q484" s="84"/>
      <c r="R484" s="84"/>
      <c r="S484" s="84"/>
      <c r="T484" s="84"/>
      <c r="U484" s="84"/>
      <c r="V484" s="84"/>
      <c r="W484" s="84"/>
      <c r="X484" s="84"/>
      <c r="Y484" s="84"/>
      <c r="Z484" s="84"/>
      <c r="AA484" s="84"/>
      <c r="AB484" s="84"/>
      <c r="AC484" s="84"/>
      <c r="AD484" s="84"/>
      <c r="AE484" s="84"/>
      <c r="AF484" s="84"/>
      <c r="AG484" s="84"/>
      <c r="AH484" s="84"/>
      <c r="AI484" s="84"/>
      <c r="AJ484" s="84"/>
      <c r="AK484" s="84"/>
      <c r="AL484" s="84"/>
      <c r="AM484" s="84"/>
      <c r="AN484" s="84"/>
      <c r="AO484" s="84"/>
      <c r="AP484" s="89"/>
      <c r="AQ484" s="90"/>
      <c r="AR484" s="84"/>
      <c r="AS484" s="86"/>
    </row>
    <row r="485" spans="1:45" x14ac:dyDescent="0.35">
      <c r="A485" s="97"/>
      <c r="B485" s="92"/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8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X485" s="92"/>
      <c r="Y485" s="92"/>
      <c r="Z485" s="92"/>
      <c r="AA485" s="92"/>
      <c r="AB485" s="92"/>
      <c r="AC485" s="92"/>
      <c r="AD485" s="92"/>
      <c r="AE485" s="92"/>
      <c r="AF485" s="92"/>
      <c r="AG485" s="92"/>
      <c r="AH485" s="92"/>
      <c r="AI485" s="92"/>
      <c r="AJ485" s="92"/>
      <c r="AK485" s="92"/>
      <c r="AL485" s="92"/>
      <c r="AM485" s="92"/>
      <c r="AN485" s="92"/>
      <c r="AO485" s="84"/>
      <c r="AP485" s="89"/>
      <c r="AQ485" s="90"/>
      <c r="AR485" s="84"/>
      <c r="AS485" s="86"/>
    </row>
    <row r="486" spans="1:45" x14ac:dyDescent="0.35">
      <c r="A486" s="88"/>
      <c r="B486" s="84"/>
      <c r="C486" s="84"/>
      <c r="D486" s="84"/>
      <c r="E486" s="84"/>
      <c r="F486" s="84"/>
      <c r="G486" s="84"/>
      <c r="H486" s="84"/>
      <c r="I486" s="84"/>
      <c r="J486" s="84"/>
      <c r="K486" s="88"/>
      <c r="L486" s="84"/>
      <c r="M486" s="96"/>
      <c r="N486" s="84"/>
      <c r="O486" s="84"/>
      <c r="P486" s="84"/>
      <c r="Q486" s="84"/>
      <c r="R486" s="84"/>
      <c r="S486" s="84"/>
      <c r="T486" s="84"/>
      <c r="U486" s="84"/>
      <c r="V486" s="84"/>
      <c r="W486" s="84"/>
      <c r="X486" s="84"/>
      <c r="Y486" s="84"/>
      <c r="Z486" s="84"/>
      <c r="AA486" s="84"/>
      <c r="AB486" s="84"/>
      <c r="AC486" s="84"/>
      <c r="AD486" s="84"/>
      <c r="AE486" s="84"/>
      <c r="AF486" s="84"/>
      <c r="AG486" s="84"/>
      <c r="AH486" s="84"/>
      <c r="AI486" s="84"/>
      <c r="AJ486" s="84"/>
      <c r="AK486" s="84"/>
      <c r="AL486" s="84"/>
      <c r="AM486" s="84"/>
      <c r="AN486" s="84"/>
      <c r="AO486" s="84"/>
      <c r="AP486" s="89"/>
      <c r="AQ486" s="90"/>
      <c r="AR486" s="84"/>
      <c r="AS486" s="86"/>
    </row>
    <row r="487" spans="1:45" x14ac:dyDescent="0.35">
      <c r="A487" s="88"/>
      <c r="B487" s="84"/>
      <c r="C487" s="84"/>
      <c r="D487" s="84"/>
      <c r="E487" s="84"/>
      <c r="F487" s="84"/>
      <c r="G487" s="84"/>
      <c r="H487" s="84"/>
      <c r="I487" s="84"/>
      <c r="J487" s="84"/>
      <c r="K487" s="88"/>
      <c r="L487" s="84"/>
      <c r="M487" s="96"/>
      <c r="N487" s="84"/>
      <c r="O487" s="84"/>
      <c r="P487" s="84"/>
      <c r="Q487" s="84"/>
      <c r="R487" s="84"/>
      <c r="S487" s="84"/>
      <c r="T487" s="84"/>
      <c r="U487" s="84"/>
      <c r="V487" s="84"/>
      <c r="W487" s="84"/>
      <c r="X487" s="84"/>
      <c r="Y487" s="84"/>
      <c r="Z487" s="84"/>
      <c r="AA487" s="84"/>
      <c r="AB487" s="84"/>
      <c r="AC487" s="84"/>
      <c r="AD487" s="84"/>
      <c r="AE487" s="84"/>
      <c r="AF487" s="84"/>
      <c r="AG487" s="84"/>
      <c r="AH487" s="84"/>
      <c r="AI487" s="84"/>
      <c r="AJ487" s="84"/>
      <c r="AK487" s="84"/>
      <c r="AL487" s="84"/>
      <c r="AM487" s="84"/>
      <c r="AN487" s="84"/>
      <c r="AO487" s="84"/>
      <c r="AP487" s="89"/>
      <c r="AQ487" s="90"/>
      <c r="AR487" s="84"/>
      <c r="AS487" s="86"/>
    </row>
    <row r="488" spans="1:45" x14ac:dyDescent="0.35">
      <c r="A488" s="88"/>
      <c r="B488" s="84"/>
      <c r="C488" s="84"/>
      <c r="D488" s="84"/>
      <c r="E488" s="84"/>
      <c r="F488" s="84"/>
      <c r="G488" s="84"/>
      <c r="H488" s="84"/>
      <c r="I488" s="84"/>
      <c r="J488" s="84"/>
      <c r="K488" s="88"/>
      <c r="L488" s="84"/>
      <c r="M488" s="96"/>
      <c r="N488" s="84"/>
      <c r="O488" s="84"/>
      <c r="P488" s="84"/>
      <c r="Q488" s="84"/>
      <c r="R488" s="84"/>
      <c r="S488" s="84"/>
      <c r="T488" s="84"/>
      <c r="U488" s="84"/>
      <c r="V488" s="84"/>
      <c r="W488" s="84"/>
      <c r="X488" s="84"/>
      <c r="Y488" s="84"/>
      <c r="Z488" s="84"/>
      <c r="AA488" s="84"/>
      <c r="AB488" s="84"/>
      <c r="AC488" s="84"/>
      <c r="AD488" s="84"/>
      <c r="AE488" s="84"/>
      <c r="AF488" s="84"/>
      <c r="AG488" s="84"/>
      <c r="AH488" s="84"/>
      <c r="AI488" s="84"/>
      <c r="AJ488" s="84"/>
      <c r="AK488" s="84"/>
      <c r="AL488" s="84"/>
      <c r="AM488" s="84"/>
      <c r="AN488" s="84"/>
      <c r="AO488" s="84"/>
      <c r="AP488" s="89"/>
      <c r="AQ488" s="90"/>
      <c r="AR488" s="84"/>
      <c r="AS488" s="86"/>
    </row>
    <row r="489" spans="1:45" x14ac:dyDescent="0.35">
      <c r="A489" s="88"/>
      <c r="B489" s="84"/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96"/>
      <c r="N489" s="84"/>
      <c r="O489" s="84"/>
      <c r="P489" s="84"/>
      <c r="Q489" s="84"/>
      <c r="R489" s="84"/>
      <c r="S489" s="84"/>
      <c r="T489" s="84"/>
      <c r="U489" s="84"/>
      <c r="V489" s="84"/>
      <c r="W489" s="84"/>
      <c r="X489" s="84"/>
      <c r="Y489" s="84"/>
      <c r="Z489" s="84"/>
      <c r="AA489" s="84"/>
      <c r="AB489" s="84"/>
      <c r="AC489" s="84"/>
      <c r="AD489" s="84"/>
      <c r="AE489" s="84"/>
      <c r="AF489" s="84"/>
      <c r="AG489" s="84"/>
      <c r="AH489" s="84"/>
      <c r="AI489" s="84"/>
      <c r="AJ489" s="84"/>
      <c r="AK489" s="84"/>
      <c r="AL489" s="84"/>
      <c r="AM489" s="84"/>
      <c r="AN489" s="84"/>
      <c r="AO489" s="84"/>
      <c r="AP489" s="89"/>
      <c r="AQ489" s="90"/>
      <c r="AR489" s="84"/>
      <c r="AS489" s="86"/>
    </row>
    <row r="490" spans="1:45" x14ac:dyDescent="0.35">
      <c r="A490" s="97"/>
      <c r="B490" s="92"/>
      <c r="C490" s="92"/>
      <c r="D490" s="92"/>
      <c r="E490" s="92"/>
      <c r="F490" s="92"/>
      <c r="G490" s="92"/>
      <c r="H490" s="92"/>
      <c r="I490" s="92"/>
      <c r="J490" s="92"/>
      <c r="K490" s="97"/>
      <c r="L490" s="92"/>
      <c r="M490" s="98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  <c r="AA490" s="92"/>
      <c r="AB490" s="92"/>
      <c r="AC490" s="92"/>
      <c r="AD490" s="92"/>
      <c r="AE490" s="92"/>
      <c r="AF490" s="92"/>
      <c r="AG490" s="92"/>
      <c r="AH490" s="92"/>
      <c r="AI490" s="92"/>
      <c r="AJ490" s="92"/>
      <c r="AK490" s="92"/>
      <c r="AL490" s="92"/>
      <c r="AM490" s="92"/>
      <c r="AN490" s="92"/>
      <c r="AO490" s="84"/>
      <c r="AP490" s="89"/>
      <c r="AQ490" s="90"/>
      <c r="AR490" s="84"/>
      <c r="AS490" s="86"/>
    </row>
    <row r="491" spans="1:45" x14ac:dyDescent="0.35">
      <c r="A491" s="88"/>
      <c r="B491" s="84"/>
      <c r="C491" s="84"/>
      <c r="D491" s="84"/>
      <c r="E491" s="84"/>
      <c r="F491" s="84"/>
      <c r="G491" s="84"/>
      <c r="H491" s="84"/>
      <c r="I491" s="84"/>
      <c r="J491" s="84"/>
      <c r="K491" s="88"/>
      <c r="L491" s="84"/>
      <c r="M491" s="96"/>
      <c r="N491" s="84"/>
      <c r="O491" s="84"/>
      <c r="P491" s="84"/>
      <c r="Q491" s="84"/>
      <c r="R491" s="84"/>
      <c r="S491" s="84"/>
      <c r="T491" s="84"/>
      <c r="U491" s="84"/>
      <c r="V491" s="84"/>
      <c r="W491" s="84"/>
      <c r="X491" s="84"/>
      <c r="Y491" s="84"/>
      <c r="Z491" s="84"/>
      <c r="AA491" s="84"/>
      <c r="AB491" s="84"/>
      <c r="AC491" s="84"/>
      <c r="AD491" s="84"/>
      <c r="AE491" s="84"/>
      <c r="AF491" s="84"/>
      <c r="AG491" s="84"/>
      <c r="AH491" s="84"/>
      <c r="AI491" s="84"/>
      <c r="AJ491" s="84"/>
      <c r="AK491" s="84"/>
      <c r="AL491" s="84"/>
      <c r="AM491" s="84"/>
      <c r="AN491" s="84"/>
      <c r="AO491" s="84"/>
      <c r="AP491" s="89"/>
      <c r="AQ491" s="90"/>
      <c r="AR491" s="84"/>
      <c r="AS491" s="86"/>
    </row>
    <row r="492" spans="1:45" x14ac:dyDescent="0.35">
      <c r="A492" s="88"/>
      <c r="B492" s="84"/>
      <c r="C492" s="84"/>
      <c r="D492" s="84"/>
      <c r="E492" s="84"/>
      <c r="F492" s="84"/>
      <c r="G492" s="84"/>
      <c r="H492" s="84"/>
      <c r="I492" s="84"/>
      <c r="J492" s="84"/>
      <c r="K492" s="88"/>
      <c r="L492" s="84"/>
      <c r="M492" s="96"/>
      <c r="N492" s="84"/>
      <c r="O492" s="84"/>
      <c r="P492" s="84"/>
      <c r="Q492" s="84"/>
      <c r="R492" s="84"/>
      <c r="S492" s="84"/>
      <c r="T492" s="84"/>
      <c r="U492" s="84"/>
      <c r="V492" s="84"/>
      <c r="W492" s="84"/>
      <c r="X492" s="84"/>
      <c r="Y492" s="84"/>
      <c r="Z492" s="84"/>
      <c r="AA492" s="84"/>
      <c r="AB492" s="84"/>
      <c r="AC492" s="84"/>
      <c r="AD492" s="84"/>
      <c r="AE492" s="84"/>
      <c r="AF492" s="84"/>
      <c r="AG492" s="84"/>
      <c r="AH492" s="84"/>
      <c r="AI492" s="84"/>
      <c r="AJ492" s="84"/>
      <c r="AK492" s="84"/>
      <c r="AL492" s="84"/>
      <c r="AM492" s="84"/>
      <c r="AN492" s="84"/>
      <c r="AO492" s="84"/>
      <c r="AP492" s="89"/>
      <c r="AQ492" s="90"/>
      <c r="AR492" s="84"/>
      <c r="AS492" s="86"/>
    </row>
    <row r="493" spans="1:45" x14ac:dyDescent="0.35">
      <c r="A493" s="88"/>
      <c r="B493" s="84"/>
      <c r="C493" s="84"/>
      <c r="D493" s="84"/>
      <c r="E493" s="84"/>
      <c r="F493" s="84"/>
      <c r="G493" s="84"/>
      <c r="H493" s="84"/>
      <c r="I493" s="84"/>
      <c r="J493" s="84"/>
      <c r="K493" s="88"/>
      <c r="L493" s="84"/>
      <c r="M493" s="96"/>
      <c r="N493" s="84"/>
      <c r="O493" s="84"/>
      <c r="P493" s="84"/>
      <c r="Q493" s="84"/>
      <c r="R493" s="84"/>
      <c r="S493" s="84"/>
      <c r="T493" s="84"/>
      <c r="U493" s="84"/>
      <c r="V493" s="84"/>
      <c r="W493" s="84"/>
      <c r="X493" s="84"/>
      <c r="Y493" s="84"/>
      <c r="Z493" s="84"/>
      <c r="AA493" s="84"/>
      <c r="AB493" s="84"/>
      <c r="AC493" s="84"/>
      <c r="AD493" s="84"/>
      <c r="AE493" s="84"/>
      <c r="AF493" s="84"/>
      <c r="AG493" s="84"/>
      <c r="AH493" s="84"/>
      <c r="AI493" s="84"/>
      <c r="AJ493" s="84"/>
      <c r="AK493" s="84"/>
      <c r="AL493" s="84"/>
      <c r="AM493" s="84"/>
      <c r="AN493" s="84"/>
      <c r="AO493" s="84"/>
      <c r="AP493" s="89"/>
      <c r="AQ493" s="90"/>
      <c r="AR493" s="84"/>
      <c r="AS493" s="86"/>
    </row>
    <row r="494" spans="1:45" x14ac:dyDescent="0.35">
      <c r="A494" s="88"/>
      <c r="B494" s="84"/>
      <c r="C494" s="84"/>
      <c r="D494" s="84"/>
      <c r="E494" s="84"/>
      <c r="F494" s="84"/>
      <c r="G494" s="84"/>
      <c r="H494" s="84"/>
      <c r="I494" s="84"/>
      <c r="J494" s="84"/>
      <c r="K494" s="88"/>
      <c r="L494" s="84"/>
      <c r="M494" s="96"/>
      <c r="N494" s="84"/>
      <c r="O494" s="84"/>
      <c r="P494" s="84"/>
      <c r="Q494" s="84"/>
      <c r="R494" s="84"/>
      <c r="S494" s="84"/>
      <c r="T494" s="84"/>
      <c r="U494" s="84"/>
      <c r="V494" s="84"/>
      <c r="W494" s="84"/>
      <c r="X494" s="84"/>
      <c r="Y494" s="84"/>
      <c r="Z494" s="84"/>
      <c r="AA494" s="84"/>
      <c r="AB494" s="84"/>
      <c r="AC494" s="84"/>
      <c r="AD494" s="84"/>
      <c r="AE494" s="84"/>
      <c r="AF494" s="84"/>
      <c r="AG494" s="84"/>
      <c r="AH494" s="84"/>
      <c r="AI494" s="84"/>
      <c r="AJ494" s="84"/>
      <c r="AK494" s="84"/>
      <c r="AL494" s="84"/>
      <c r="AM494" s="84"/>
      <c r="AN494" s="84"/>
      <c r="AO494" s="84"/>
      <c r="AP494" s="89"/>
      <c r="AQ494" s="90"/>
      <c r="AR494" s="84"/>
      <c r="AS494" s="86"/>
    </row>
    <row r="495" spans="1:45" x14ac:dyDescent="0.35">
      <c r="A495" s="88"/>
      <c r="B495" s="84"/>
      <c r="C495" s="84"/>
      <c r="D495" s="84"/>
      <c r="E495" s="84"/>
      <c r="F495" s="84"/>
      <c r="G495" s="84"/>
      <c r="H495" s="84"/>
      <c r="I495" s="84"/>
      <c r="J495" s="84"/>
      <c r="K495" s="84"/>
      <c r="L495" s="84"/>
      <c r="M495" s="96"/>
      <c r="N495" s="84"/>
      <c r="O495" s="84"/>
      <c r="P495" s="84"/>
      <c r="Q495" s="84"/>
      <c r="R495" s="84"/>
      <c r="S495" s="84"/>
      <c r="T495" s="84"/>
      <c r="U495" s="84"/>
      <c r="V495" s="84"/>
      <c r="W495" s="84"/>
      <c r="X495" s="84"/>
      <c r="Y495" s="84"/>
      <c r="Z495" s="84"/>
      <c r="AA495" s="84"/>
      <c r="AB495" s="84"/>
      <c r="AC495" s="84"/>
      <c r="AD495" s="84"/>
      <c r="AE495" s="84"/>
      <c r="AF495" s="84"/>
      <c r="AG495" s="84"/>
      <c r="AH495" s="84"/>
      <c r="AI495" s="84"/>
      <c r="AJ495" s="84"/>
      <c r="AK495" s="84"/>
      <c r="AL495" s="84"/>
      <c r="AM495" s="84"/>
      <c r="AN495" s="84"/>
      <c r="AO495" s="84"/>
      <c r="AP495" s="89"/>
      <c r="AQ495" s="90"/>
      <c r="AR495" s="84"/>
      <c r="AS495" s="86"/>
    </row>
    <row r="496" spans="1:45" x14ac:dyDescent="0.35">
      <c r="A496" s="88"/>
      <c r="B496" s="84"/>
      <c r="C496" s="84"/>
      <c r="D496" s="84"/>
      <c r="E496" s="84"/>
      <c r="F496" s="84"/>
      <c r="G496" s="84"/>
      <c r="H496" s="84"/>
      <c r="I496" s="84"/>
      <c r="J496" s="84"/>
      <c r="K496" s="88"/>
      <c r="L496" s="84"/>
      <c r="M496" s="96"/>
      <c r="N496" s="84"/>
      <c r="O496" s="84"/>
      <c r="P496" s="84"/>
      <c r="Q496" s="84"/>
      <c r="R496" s="84"/>
      <c r="S496" s="84"/>
      <c r="T496" s="84"/>
      <c r="U496" s="84"/>
      <c r="V496" s="84"/>
      <c r="W496" s="84"/>
      <c r="X496" s="84"/>
      <c r="Y496" s="84"/>
      <c r="Z496" s="84"/>
      <c r="AA496" s="84"/>
      <c r="AB496" s="84"/>
      <c r="AC496" s="84"/>
      <c r="AD496" s="84"/>
      <c r="AE496" s="84"/>
      <c r="AF496" s="84"/>
      <c r="AG496" s="84"/>
      <c r="AH496" s="84"/>
      <c r="AI496" s="84"/>
      <c r="AJ496" s="84"/>
      <c r="AK496" s="84"/>
      <c r="AL496" s="84"/>
      <c r="AM496" s="84"/>
      <c r="AN496" s="84"/>
      <c r="AO496" s="84"/>
      <c r="AP496" s="89"/>
      <c r="AQ496" s="90"/>
      <c r="AR496" s="84"/>
      <c r="AS496" s="86"/>
    </row>
    <row r="497" spans="1:45" x14ac:dyDescent="0.35">
      <c r="A497" s="88"/>
      <c r="B497" s="84"/>
      <c r="C497" s="84"/>
      <c r="D497" s="84"/>
      <c r="E497" s="84"/>
      <c r="F497" s="84"/>
      <c r="G497" s="84"/>
      <c r="H497" s="84"/>
      <c r="I497" s="84"/>
      <c r="J497" s="84"/>
      <c r="K497" s="84"/>
      <c r="L497" s="84"/>
      <c r="M497" s="96"/>
      <c r="N497" s="84"/>
      <c r="O497" s="84"/>
      <c r="P497" s="84"/>
      <c r="Q497" s="84"/>
      <c r="R497" s="84"/>
      <c r="S497" s="84"/>
      <c r="T497" s="84"/>
      <c r="U497" s="84"/>
      <c r="V497" s="84"/>
      <c r="W497" s="84"/>
      <c r="X497" s="84"/>
      <c r="Y497" s="84"/>
      <c r="Z497" s="84"/>
      <c r="AA497" s="84"/>
      <c r="AB497" s="84"/>
      <c r="AC497" s="84"/>
      <c r="AD497" s="84"/>
      <c r="AE497" s="84"/>
      <c r="AF497" s="84"/>
      <c r="AG497" s="84"/>
      <c r="AH497" s="84"/>
      <c r="AI497" s="84"/>
      <c r="AJ497" s="84"/>
      <c r="AK497" s="84"/>
      <c r="AL497" s="84"/>
      <c r="AM497" s="84"/>
      <c r="AN497" s="84"/>
      <c r="AO497" s="84"/>
      <c r="AP497" s="89"/>
      <c r="AQ497" s="90"/>
      <c r="AR497" s="84"/>
      <c r="AS497" s="86"/>
    </row>
    <row r="498" spans="1:45" x14ac:dyDescent="0.35">
      <c r="A498" s="88"/>
      <c r="B498" s="84"/>
      <c r="C498" s="84"/>
      <c r="D498" s="84"/>
      <c r="E498" s="84"/>
      <c r="F498" s="84"/>
      <c r="G498" s="84"/>
      <c r="H498" s="84"/>
      <c r="I498" s="84"/>
      <c r="J498" s="84"/>
      <c r="K498" s="88"/>
      <c r="L498" s="84"/>
      <c r="M498" s="96"/>
      <c r="N498" s="84"/>
      <c r="O498" s="84"/>
      <c r="P498" s="84"/>
      <c r="Q498" s="84"/>
      <c r="R498" s="84"/>
      <c r="S498" s="84"/>
      <c r="T498" s="84"/>
      <c r="U498" s="84"/>
      <c r="V498" s="84"/>
      <c r="W498" s="84"/>
      <c r="X498" s="84"/>
      <c r="Y498" s="84"/>
      <c r="Z498" s="84"/>
      <c r="AA498" s="84"/>
      <c r="AB498" s="84"/>
      <c r="AC498" s="84"/>
      <c r="AD498" s="84"/>
      <c r="AE498" s="84"/>
      <c r="AF498" s="84"/>
      <c r="AG498" s="84"/>
      <c r="AH498" s="84"/>
      <c r="AI498" s="84"/>
      <c r="AJ498" s="84"/>
      <c r="AK498" s="84"/>
      <c r="AL498" s="84"/>
      <c r="AM498" s="84"/>
      <c r="AN498" s="84"/>
      <c r="AO498" s="84"/>
      <c r="AP498" s="89"/>
      <c r="AQ498" s="90"/>
      <c r="AR498" s="84"/>
      <c r="AS498" s="86"/>
    </row>
    <row r="499" spans="1:45" x14ac:dyDescent="0.35">
      <c r="A499" s="88"/>
      <c r="B499" s="84"/>
      <c r="C499" s="84"/>
      <c r="D499" s="84"/>
      <c r="E499" s="84"/>
      <c r="F499" s="84"/>
      <c r="G499" s="84"/>
      <c r="H499" s="84"/>
      <c r="I499" s="84"/>
      <c r="J499" s="84"/>
      <c r="K499" s="88"/>
      <c r="L499" s="84"/>
      <c r="M499" s="96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84"/>
      <c r="AA499" s="84"/>
      <c r="AB499" s="84"/>
      <c r="AC499" s="84"/>
      <c r="AD499" s="84"/>
      <c r="AE499" s="84"/>
      <c r="AF499" s="84"/>
      <c r="AG499" s="84"/>
      <c r="AH499" s="84"/>
      <c r="AI499" s="84"/>
      <c r="AJ499" s="84"/>
      <c r="AK499" s="84"/>
      <c r="AL499" s="84"/>
      <c r="AM499" s="84"/>
      <c r="AN499" s="84"/>
      <c r="AO499" s="84"/>
      <c r="AP499" s="89"/>
      <c r="AQ499" s="90"/>
      <c r="AR499" s="84"/>
      <c r="AS499" s="86"/>
    </row>
    <row r="500" spans="1:45" x14ac:dyDescent="0.35">
      <c r="A500" s="88"/>
      <c r="B500" s="84"/>
      <c r="C500" s="84"/>
      <c r="D500" s="84"/>
      <c r="E500" s="84"/>
      <c r="F500" s="84"/>
      <c r="G500" s="84"/>
      <c r="H500" s="84"/>
      <c r="I500" s="84"/>
      <c r="J500" s="84"/>
      <c r="K500" s="88"/>
      <c r="L500" s="84"/>
      <c r="M500" s="96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/>
      <c r="Z500" s="84"/>
      <c r="AA500" s="84"/>
      <c r="AB500" s="84"/>
      <c r="AC500" s="84"/>
      <c r="AD500" s="84"/>
      <c r="AE500" s="84"/>
      <c r="AF500" s="84"/>
      <c r="AG500" s="84"/>
      <c r="AH500" s="84"/>
      <c r="AI500" s="84"/>
      <c r="AJ500" s="84"/>
      <c r="AK500" s="84"/>
      <c r="AL500" s="84"/>
      <c r="AM500" s="84"/>
      <c r="AN500" s="84"/>
      <c r="AO500" s="84"/>
      <c r="AP500" s="89"/>
      <c r="AQ500" s="90"/>
      <c r="AR500" s="84"/>
      <c r="AS500" s="86"/>
    </row>
    <row r="501" spans="1:45" x14ac:dyDescent="0.35">
      <c r="A501" s="88"/>
      <c r="B501" s="84"/>
      <c r="C501" s="84"/>
      <c r="D501" s="84"/>
      <c r="E501" s="84"/>
      <c r="F501" s="84"/>
      <c r="G501" s="84"/>
      <c r="H501" s="84"/>
      <c r="I501" s="84"/>
      <c r="J501" s="84"/>
      <c r="K501" s="84"/>
      <c r="L501" s="84"/>
      <c r="M501" s="96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84"/>
      <c r="AA501" s="84"/>
      <c r="AB501" s="84"/>
      <c r="AC501" s="84"/>
      <c r="AD501" s="84"/>
      <c r="AE501" s="84"/>
      <c r="AF501" s="84"/>
      <c r="AG501" s="84"/>
      <c r="AH501" s="84"/>
      <c r="AI501" s="84"/>
      <c r="AJ501" s="84"/>
      <c r="AK501" s="84"/>
      <c r="AL501" s="84"/>
      <c r="AM501" s="84"/>
      <c r="AN501" s="84"/>
      <c r="AO501" s="84"/>
      <c r="AP501" s="89"/>
      <c r="AQ501" s="90"/>
      <c r="AR501" s="84"/>
      <c r="AS501" s="86"/>
    </row>
    <row r="502" spans="1:45" x14ac:dyDescent="0.35">
      <c r="A502" s="97"/>
      <c r="B502" s="92"/>
      <c r="C502" s="92"/>
      <c r="D502" s="92"/>
      <c r="E502" s="92"/>
      <c r="F502" s="92"/>
      <c r="G502" s="92"/>
      <c r="H502" s="92"/>
      <c r="I502" s="92"/>
      <c r="J502" s="92"/>
      <c r="K502" s="97"/>
      <c r="L502" s="92"/>
      <c r="M502" s="98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  <c r="AA502" s="92"/>
      <c r="AB502" s="92"/>
      <c r="AC502" s="92"/>
      <c r="AD502" s="92"/>
      <c r="AE502" s="92"/>
      <c r="AF502" s="92"/>
      <c r="AG502" s="92"/>
      <c r="AH502" s="92"/>
      <c r="AI502" s="92"/>
      <c r="AJ502" s="92"/>
      <c r="AK502" s="92"/>
      <c r="AL502" s="92"/>
      <c r="AM502" s="92"/>
      <c r="AN502" s="92"/>
      <c r="AO502" s="84"/>
      <c r="AP502" s="89"/>
      <c r="AQ502" s="90"/>
      <c r="AR502" s="84"/>
      <c r="AS502" s="86"/>
    </row>
    <row r="503" spans="1:45" x14ac:dyDescent="0.35">
      <c r="A503" s="88"/>
      <c r="B503" s="84"/>
      <c r="C503" s="84"/>
      <c r="D503" s="84"/>
      <c r="E503" s="84"/>
      <c r="F503" s="84"/>
      <c r="G503" s="84"/>
      <c r="H503" s="84"/>
      <c r="I503" s="84"/>
      <c r="J503" s="84"/>
      <c r="K503" s="84"/>
      <c r="L503" s="84"/>
      <c r="M503" s="96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84"/>
      <c r="AA503" s="84"/>
      <c r="AB503" s="84"/>
      <c r="AC503" s="84"/>
      <c r="AD503" s="84"/>
      <c r="AE503" s="84"/>
      <c r="AF503" s="84"/>
      <c r="AG503" s="84"/>
      <c r="AH503" s="84"/>
      <c r="AI503" s="84"/>
      <c r="AJ503" s="84"/>
      <c r="AK503" s="84"/>
      <c r="AL503" s="84"/>
      <c r="AM503" s="84"/>
      <c r="AN503" s="84"/>
      <c r="AO503" s="84"/>
      <c r="AP503" s="89"/>
      <c r="AQ503" s="90"/>
      <c r="AR503" s="84"/>
      <c r="AS503" s="86"/>
    </row>
    <row r="504" spans="1:45" x14ac:dyDescent="0.35">
      <c r="A504" s="88"/>
      <c r="B504" s="84"/>
      <c r="C504" s="84"/>
      <c r="D504" s="84"/>
      <c r="E504" s="84"/>
      <c r="F504" s="84"/>
      <c r="G504" s="84"/>
      <c r="H504" s="84"/>
      <c r="I504" s="84"/>
      <c r="J504" s="84"/>
      <c r="K504" s="88"/>
      <c r="L504" s="84"/>
      <c r="M504" s="96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/>
      <c r="Z504" s="84"/>
      <c r="AA504" s="84"/>
      <c r="AB504" s="84"/>
      <c r="AC504" s="84"/>
      <c r="AD504" s="84"/>
      <c r="AE504" s="84"/>
      <c r="AF504" s="84"/>
      <c r="AG504" s="84"/>
      <c r="AH504" s="84"/>
      <c r="AI504" s="84"/>
      <c r="AJ504" s="84"/>
      <c r="AK504" s="84"/>
      <c r="AL504" s="84"/>
      <c r="AM504" s="84"/>
      <c r="AN504" s="84"/>
      <c r="AO504" s="84"/>
      <c r="AP504" s="89"/>
      <c r="AQ504" s="90"/>
      <c r="AR504" s="84"/>
      <c r="AS504" s="86"/>
    </row>
    <row r="505" spans="1:45" x14ac:dyDescent="0.35">
      <c r="A505" s="97"/>
      <c r="B505" s="92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8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  <c r="AA505" s="92"/>
      <c r="AB505" s="92"/>
      <c r="AC505" s="92"/>
      <c r="AD505" s="92"/>
      <c r="AE505" s="92"/>
      <c r="AF505" s="92"/>
      <c r="AG505" s="92"/>
      <c r="AH505" s="92"/>
      <c r="AI505" s="92"/>
      <c r="AJ505" s="92"/>
      <c r="AK505" s="92"/>
      <c r="AL505" s="92"/>
      <c r="AM505" s="92"/>
      <c r="AN505" s="92"/>
      <c r="AO505" s="84"/>
      <c r="AP505" s="89"/>
      <c r="AQ505" s="90"/>
      <c r="AR505" s="84"/>
      <c r="AS505" s="86"/>
    </row>
    <row r="506" spans="1:45" x14ac:dyDescent="0.35">
      <c r="A506" s="88"/>
      <c r="B506" s="84"/>
      <c r="C506" s="84"/>
      <c r="D506" s="84"/>
      <c r="E506" s="84"/>
      <c r="F506" s="84"/>
      <c r="G506" s="84"/>
      <c r="H506" s="84"/>
      <c r="I506" s="84"/>
      <c r="J506" s="84"/>
      <c r="K506" s="84"/>
      <c r="L506" s="84"/>
      <c r="M506" s="96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  <c r="Y506" s="84"/>
      <c r="Z506" s="84"/>
      <c r="AA506" s="84"/>
      <c r="AB506" s="84"/>
      <c r="AC506" s="84"/>
      <c r="AD506" s="84"/>
      <c r="AE506" s="84"/>
      <c r="AF506" s="84"/>
      <c r="AG506" s="84"/>
      <c r="AH506" s="84"/>
      <c r="AI506" s="84"/>
      <c r="AJ506" s="84"/>
      <c r="AK506" s="84"/>
      <c r="AL506" s="84"/>
      <c r="AM506" s="84"/>
      <c r="AN506" s="84"/>
      <c r="AO506" s="84"/>
      <c r="AP506" s="89"/>
      <c r="AQ506" s="90"/>
      <c r="AR506" s="84"/>
      <c r="AS506" s="86"/>
    </row>
    <row r="507" spans="1:45" x14ac:dyDescent="0.35">
      <c r="A507" s="88"/>
      <c r="B507" s="84"/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96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  <c r="Y507" s="84"/>
      <c r="Z507" s="84"/>
      <c r="AA507" s="84"/>
      <c r="AB507" s="84"/>
      <c r="AC507" s="84"/>
      <c r="AD507" s="84"/>
      <c r="AE507" s="84"/>
      <c r="AF507" s="84"/>
      <c r="AG507" s="84"/>
      <c r="AH507" s="84"/>
      <c r="AI507" s="84"/>
      <c r="AJ507" s="84"/>
      <c r="AK507" s="84"/>
      <c r="AL507" s="84"/>
      <c r="AM507" s="84"/>
      <c r="AN507" s="84"/>
      <c r="AO507" s="84"/>
      <c r="AP507" s="89"/>
      <c r="AQ507" s="90"/>
      <c r="AR507" s="84"/>
      <c r="AS507" s="86"/>
    </row>
    <row r="508" spans="1:45" x14ac:dyDescent="0.35">
      <c r="A508" s="88"/>
      <c r="B508" s="84"/>
      <c r="C508" s="84"/>
      <c r="D508" s="84"/>
      <c r="E508" s="84"/>
      <c r="F508" s="84"/>
      <c r="G508" s="84"/>
      <c r="H508" s="84"/>
      <c r="I508" s="84"/>
      <c r="J508" s="84"/>
      <c r="K508" s="88"/>
      <c r="L508" s="84"/>
      <c r="M508" s="96"/>
      <c r="N508" s="84"/>
      <c r="O508" s="84"/>
      <c r="P508" s="84"/>
      <c r="Q508" s="84"/>
      <c r="R508" s="84"/>
      <c r="S508" s="84"/>
      <c r="T508" s="84"/>
      <c r="U508" s="84"/>
      <c r="V508" s="84"/>
      <c r="W508" s="84"/>
      <c r="X508" s="84"/>
      <c r="Y508" s="84"/>
      <c r="Z508" s="84"/>
      <c r="AA508" s="84"/>
      <c r="AB508" s="84"/>
      <c r="AC508" s="84"/>
      <c r="AD508" s="84"/>
      <c r="AE508" s="84"/>
      <c r="AF508" s="84"/>
      <c r="AG508" s="84"/>
      <c r="AH508" s="84"/>
      <c r="AI508" s="84"/>
      <c r="AJ508" s="84"/>
      <c r="AK508" s="84"/>
      <c r="AL508" s="84"/>
      <c r="AM508" s="84"/>
      <c r="AN508" s="84"/>
      <c r="AO508" s="84"/>
      <c r="AP508" s="89"/>
      <c r="AQ508" s="90"/>
      <c r="AR508" s="84"/>
      <c r="AS508" s="86"/>
    </row>
    <row r="509" spans="1:45" x14ac:dyDescent="0.35">
      <c r="A509" s="97"/>
      <c r="B509" s="92"/>
      <c r="C509" s="92"/>
      <c r="D509" s="92"/>
      <c r="E509" s="92"/>
      <c r="F509" s="92"/>
      <c r="G509" s="92"/>
      <c r="H509" s="92"/>
      <c r="I509" s="92"/>
      <c r="J509" s="92"/>
      <c r="K509" s="97"/>
      <c r="L509" s="92"/>
      <c r="M509" s="98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  <c r="AA509" s="92"/>
      <c r="AB509" s="92"/>
      <c r="AC509" s="92"/>
      <c r="AD509" s="92"/>
      <c r="AE509" s="92"/>
      <c r="AF509" s="92"/>
      <c r="AG509" s="92"/>
      <c r="AH509" s="92"/>
      <c r="AI509" s="92"/>
      <c r="AJ509" s="92"/>
      <c r="AK509" s="92"/>
      <c r="AL509" s="92"/>
      <c r="AM509" s="92"/>
      <c r="AN509" s="92"/>
      <c r="AO509" s="84"/>
      <c r="AP509" s="89"/>
      <c r="AQ509" s="90"/>
      <c r="AR509" s="84"/>
      <c r="AS509" s="86"/>
    </row>
    <row r="510" spans="1:45" x14ac:dyDescent="0.35">
      <c r="A510" s="97"/>
      <c r="B510" s="92"/>
      <c r="C510" s="92"/>
      <c r="D510" s="92"/>
      <c r="E510" s="92"/>
      <c r="F510" s="92"/>
      <c r="G510" s="92"/>
      <c r="H510" s="92"/>
      <c r="I510" s="92"/>
      <c r="J510" s="92"/>
      <c r="K510" s="97"/>
      <c r="L510" s="92"/>
      <c r="M510" s="98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  <c r="AA510" s="92"/>
      <c r="AB510" s="92"/>
      <c r="AC510" s="92"/>
      <c r="AD510" s="92"/>
      <c r="AE510" s="92"/>
      <c r="AF510" s="92"/>
      <c r="AG510" s="92"/>
      <c r="AH510" s="92"/>
      <c r="AI510" s="92"/>
      <c r="AJ510" s="92"/>
      <c r="AK510" s="92"/>
      <c r="AL510" s="92"/>
      <c r="AM510" s="92"/>
      <c r="AN510" s="92"/>
      <c r="AO510" s="84"/>
      <c r="AP510" s="89"/>
      <c r="AQ510" s="90"/>
      <c r="AR510" s="84"/>
      <c r="AS510" s="86"/>
    </row>
    <row r="511" spans="1:45" x14ac:dyDescent="0.35">
      <c r="A511" s="97"/>
      <c r="B511" s="92"/>
      <c r="C511" s="92"/>
      <c r="D511" s="92"/>
      <c r="E511" s="92"/>
      <c r="F511" s="92"/>
      <c r="G511" s="92"/>
      <c r="H511" s="92"/>
      <c r="I511" s="92"/>
      <c r="J511" s="92"/>
      <c r="K511" s="97"/>
      <c r="L511" s="92"/>
      <c r="M511" s="98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  <c r="AA511" s="92"/>
      <c r="AB511" s="92"/>
      <c r="AC511" s="92"/>
      <c r="AD511" s="92"/>
      <c r="AE511" s="92"/>
      <c r="AF511" s="92"/>
      <c r="AG511" s="92"/>
      <c r="AH511" s="92"/>
      <c r="AI511" s="92"/>
      <c r="AJ511" s="92"/>
      <c r="AK511" s="92"/>
      <c r="AL511" s="92"/>
      <c r="AM511" s="92"/>
      <c r="AN511" s="92"/>
      <c r="AO511" s="84"/>
      <c r="AP511" s="89"/>
      <c r="AQ511" s="90"/>
      <c r="AR511" s="84"/>
      <c r="AS511" s="86"/>
    </row>
    <row r="512" spans="1:45" x14ac:dyDescent="0.35">
      <c r="A512" s="97"/>
      <c r="B512" s="92"/>
      <c r="C512" s="92"/>
      <c r="D512" s="92"/>
      <c r="E512" s="92"/>
      <c r="F512" s="92"/>
      <c r="G512" s="92"/>
      <c r="H512" s="92"/>
      <c r="I512" s="92"/>
      <c r="J512" s="92"/>
      <c r="K512" s="97"/>
      <c r="L512" s="92"/>
      <c r="M512" s="98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  <c r="AA512" s="92"/>
      <c r="AB512" s="92"/>
      <c r="AC512" s="92"/>
      <c r="AD512" s="92"/>
      <c r="AE512" s="92"/>
      <c r="AF512" s="92"/>
      <c r="AG512" s="92"/>
      <c r="AH512" s="92"/>
      <c r="AI512" s="92"/>
      <c r="AJ512" s="92"/>
      <c r="AK512" s="92"/>
      <c r="AL512" s="92"/>
      <c r="AM512" s="92"/>
      <c r="AN512" s="92"/>
      <c r="AO512" s="84"/>
      <c r="AP512" s="89"/>
      <c r="AQ512" s="90"/>
      <c r="AR512" s="84"/>
      <c r="AS512" s="86"/>
    </row>
    <row r="513" spans="1:45" x14ac:dyDescent="0.35">
      <c r="A513" s="97"/>
      <c r="B513" s="92"/>
      <c r="C513" s="92"/>
      <c r="D513" s="92"/>
      <c r="E513" s="92"/>
      <c r="F513" s="92"/>
      <c r="G513" s="92"/>
      <c r="H513" s="92"/>
      <c r="I513" s="92"/>
      <c r="J513" s="92"/>
      <c r="K513" s="97"/>
      <c r="L513" s="92"/>
      <c r="M513" s="98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  <c r="AA513" s="92"/>
      <c r="AB513" s="92"/>
      <c r="AC513" s="92"/>
      <c r="AD513" s="92"/>
      <c r="AE513" s="92"/>
      <c r="AF513" s="92"/>
      <c r="AG513" s="92"/>
      <c r="AH513" s="92"/>
      <c r="AI513" s="92"/>
      <c r="AJ513" s="92"/>
      <c r="AK513" s="92"/>
      <c r="AL513" s="92"/>
      <c r="AM513" s="92"/>
      <c r="AN513" s="92"/>
      <c r="AO513" s="84"/>
      <c r="AP513" s="89"/>
      <c r="AQ513" s="90"/>
      <c r="AR513" s="84"/>
      <c r="AS513" s="86"/>
    </row>
    <row r="514" spans="1:45" x14ac:dyDescent="0.35">
      <c r="A514" s="97"/>
      <c r="B514" s="92"/>
      <c r="C514" s="92"/>
      <c r="D514" s="92"/>
      <c r="E514" s="92"/>
      <c r="F514" s="92"/>
      <c r="G514" s="92"/>
      <c r="H514" s="92"/>
      <c r="I514" s="92"/>
      <c r="J514" s="92"/>
      <c r="K514" s="97"/>
      <c r="L514" s="92"/>
      <c r="M514" s="98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  <c r="AA514" s="92"/>
      <c r="AB514" s="92"/>
      <c r="AC514" s="92"/>
      <c r="AD514" s="92"/>
      <c r="AE514" s="92"/>
      <c r="AF514" s="92"/>
      <c r="AG514" s="92"/>
      <c r="AH514" s="92"/>
      <c r="AI514" s="92"/>
      <c r="AJ514" s="92"/>
      <c r="AK514" s="92"/>
      <c r="AL514" s="92"/>
      <c r="AM514" s="92"/>
      <c r="AN514" s="92"/>
      <c r="AO514" s="84"/>
      <c r="AP514" s="89"/>
      <c r="AQ514" s="90"/>
      <c r="AR514" s="84"/>
      <c r="AS514" s="86"/>
    </row>
    <row r="515" spans="1:45" x14ac:dyDescent="0.35">
      <c r="A515" s="97"/>
      <c r="B515" s="92"/>
      <c r="C515" s="92"/>
      <c r="D515" s="92"/>
      <c r="E515" s="92"/>
      <c r="F515" s="92"/>
      <c r="G515" s="92"/>
      <c r="H515" s="92"/>
      <c r="I515" s="92"/>
      <c r="J515" s="92"/>
      <c r="K515" s="97"/>
      <c r="L515" s="92"/>
      <c r="M515" s="98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  <c r="AA515" s="92"/>
      <c r="AB515" s="92"/>
      <c r="AC515" s="92"/>
      <c r="AD515" s="92"/>
      <c r="AE515" s="92"/>
      <c r="AF515" s="92"/>
      <c r="AG515" s="92"/>
      <c r="AH515" s="92"/>
      <c r="AI515" s="92"/>
      <c r="AJ515" s="92"/>
      <c r="AK515" s="92"/>
      <c r="AL515" s="92"/>
      <c r="AM515" s="92"/>
      <c r="AN515" s="92"/>
      <c r="AO515" s="84"/>
      <c r="AP515" s="89"/>
      <c r="AQ515" s="90"/>
      <c r="AR515" s="84"/>
      <c r="AS515" s="86"/>
    </row>
    <row r="516" spans="1:45" x14ac:dyDescent="0.35">
      <c r="A516" s="97"/>
      <c r="B516" s="92"/>
      <c r="C516" s="92"/>
      <c r="D516" s="92"/>
      <c r="E516" s="92"/>
      <c r="F516" s="92"/>
      <c r="G516" s="92"/>
      <c r="H516" s="92"/>
      <c r="I516" s="92"/>
      <c r="J516" s="92"/>
      <c r="K516" s="97"/>
      <c r="L516" s="92"/>
      <c r="M516" s="98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  <c r="AA516" s="92"/>
      <c r="AB516" s="92"/>
      <c r="AC516" s="92"/>
      <c r="AD516" s="92"/>
      <c r="AE516" s="92"/>
      <c r="AF516" s="92"/>
      <c r="AG516" s="92"/>
      <c r="AH516" s="92"/>
      <c r="AI516" s="92"/>
      <c r="AJ516" s="92"/>
      <c r="AK516" s="92"/>
      <c r="AL516" s="92"/>
      <c r="AM516" s="92"/>
      <c r="AN516" s="92"/>
      <c r="AO516" s="84"/>
      <c r="AP516" s="89"/>
      <c r="AQ516" s="90"/>
      <c r="AR516" s="84"/>
      <c r="AS516" s="86"/>
    </row>
    <row r="517" spans="1:45" x14ac:dyDescent="0.35">
      <c r="A517" s="97"/>
      <c r="B517" s="92"/>
      <c r="C517" s="92"/>
      <c r="D517" s="92"/>
      <c r="E517" s="92"/>
      <c r="F517" s="92"/>
      <c r="G517" s="92"/>
      <c r="H517" s="92"/>
      <c r="I517" s="92"/>
      <c r="J517" s="92"/>
      <c r="K517" s="97"/>
      <c r="L517" s="92"/>
      <c r="M517" s="98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  <c r="AA517" s="92"/>
      <c r="AB517" s="92"/>
      <c r="AC517" s="92"/>
      <c r="AD517" s="92"/>
      <c r="AE517" s="92"/>
      <c r="AF517" s="92"/>
      <c r="AG517" s="92"/>
      <c r="AH517" s="92"/>
      <c r="AI517" s="92"/>
      <c r="AJ517" s="92"/>
      <c r="AK517" s="92"/>
      <c r="AL517" s="92"/>
      <c r="AM517" s="92"/>
      <c r="AN517" s="92"/>
      <c r="AO517" s="84"/>
      <c r="AP517" s="89"/>
      <c r="AQ517" s="90"/>
      <c r="AR517" s="84"/>
      <c r="AS517" s="86"/>
    </row>
    <row r="518" spans="1:45" x14ac:dyDescent="0.35">
      <c r="A518" s="97"/>
      <c r="B518" s="92"/>
      <c r="C518" s="92"/>
      <c r="D518" s="92"/>
      <c r="E518" s="92"/>
      <c r="F518" s="92"/>
      <c r="G518" s="92"/>
      <c r="H518" s="92"/>
      <c r="I518" s="92"/>
      <c r="J518" s="92"/>
      <c r="K518" s="97"/>
      <c r="L518" s="92"/>
      <c r="M518" s="98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  <c r="AA518" s="92"/>
      <c r="AB518" s="92"/>
      <c r="AC518" s="92"/>
      <c r="AD518" s="92"/>
      <c r="AE518" s="92"/>
      <c r="AF518" s="92"/>
      <c r="AG518" s="92"/>
      <c r="AH518" s="92"/>
      <c r="AI518" s="92"/>
      <c r="AJ518" s="92"/>
      <c r="AK518" s="92"/>
      <c r="AL518" s="92"/>
      <c r="AM518" s="92"/>
      <c r="AN518" s="92"/>
      <c r="AO518" s="84"/>
      <c r="AP518" s="89"/>
      <c r="AQ518" s="90"/>
      <c r="AR518" s="84"/>
      <c r="AS518" s="86"/>
    </row>
    <row r="519" spans="1:45" x14ac:dyDescent="0.35">
      <c r="A519" s="97"/>
      <c r="B519" s="92"/>
      <c r="C519" s="92"/>
      <c r="D519" s="92"/>
      <c r="E519" s="92"/>
      <c r="F519" s="92"/>
      <c r="G519" s="92"/>
      <c r="H519" s="92"/>
      <c r="I519" s="92"/>
      <c r="J519" s="92"/>
      <c r="K519" s="97"/>
      <c r="L519" s="92"/>
      <c r="M519" s="98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  <c r="AA519" s="92"/>
      <c r="AB519" s="92"/>
      <c r="AC519" s="92"/>
      <c r="AD519" s="92"/>
      <c r="AE519" s="92"/>
      <c r="AF519" s="92"/>
      <c r="AG519" s="92"/>
      <c r="AH519" s="92"/>
      <c r="AI519" s="92"/>
      <c r="AJ519" s="92"/>
      <c r="AK519" s="92"/>
      <c r="AL519" s="92"/>
      <c r="AM519" s="92"/>
      <c r="AN519" s="92"/>
      <c r="AO519" s="84"/>
      <c r="AP519" s="89"/>
      <c r="AQ519" s="90"/>
      <c r="AR519" s="84"/>
      <c r="AS519" s="86"/>
    </row>
    <row r="520" spans="1:45" x14ac:dyDescent="0.35">
      <c r="A520" s="97"/>
      <c r="B520" s="92"/>
      <c r="C520" s="92"/>
      <c r="D520" s="92"/>
      <c r="E520" s="92"/>
      <c r="F520" s="92"/>
      <c r="G520" s="92"/>
      <c r="H520" s="92"/>
      <c r="I520" s="92"/>
      <c r="J520" s="92"/>
      <c r="K520" s="97"/>
      <c r="L520" s="92"/>
      <c r="M520" s="98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  <c r="AA520" s="92"/>
      <c r="AB520" s="92"/>
      <c r="AC520" s="92"/>
      <c r="AD520" s="92"/>
      <c r="AE520" s="92"/>
      <c r="AF520" s="92"/>
      <c r="AG520" s="92"/>
      <c r="AH520" s="92"/>
      <c r="AI520" s="92"/>
      <c r="AJ520" s="92"/>
      <c r="AK520" s="92"/>
      <c r="AL520" s="92"/>
      <c r="AM520" s="92"/>
      <c r="AN520" s="92"/>
      <c r="AO520" s="84"/>
      <c r="AP520" s="89"/>
      <c r="AQ520" s="90"/>
      <c r="AR520" s="84"/>
      <c r="AS520" s="86"/>
    </row>
    <row r="521" spans="1:45" x14ac:dyDescent="0.35">
      <c r="A521" s="88"/>
      <c r="B521" s="84"/>
      <c r="C521" s="84"/>
      <c r="D521" s="84"/>
      <c r="E521" s="84"/>
      <c r="F521" s="84"/>
      <c r="G521" s="84"/>
      <c r="H521" s="84"/>
      <c r="I521" s="84"/>
      <c r="J521" s="84"/>
      <c r="K521" s="88"/>
      <c r="L521" s="84"/>
      <c r="M521" s="96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9"/>
      <c r="AQ521" s="90"/>
      <c r="AR521" s="84"/>
      <c r="AS521" s="86"/>
    </row>
    <row r="522" spans="1:45" x14ac:dyDescent="0.35">
      <c r="A522" s="88"/>
      <c r="B522" s="84"/>
      <c r="C522" s="84"/>
      <c r="D522" s="84"/>
      <c r="E522" s="84"/>
      <c r="F522" s="84"/>
      <c r="G522" s="84"/>
      <c r="H522" s="84"/>
      <c r="I522" s="84"/>
      <c r="J522" s="84"/>
      <c r="K522" s="88"/>
      <c r="L522" s="84"/>
      <c r="M522" s="96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9"/>
      <c r="AQ522" s="90"/>
      <c r="AR522" s="84"/>
      <c r="AS522" s="86"/>
    </row>
    <row r="523" spans="1:45" x14ac:dyDescent="0.35">
      <c r="A523" s="88"/>
      <c r="B523" s="84"/>
      <c r="C523" s="84"/>
      <c r="D523" s="84"/>
      <c r="E523" s="84"/>
      <c r="F523" s="84"/>
      <c r="G523" s="84"/>
      <c r="H523" s="84"/>
      <c r="I523" s="84"/>
      <c r="J523" s="84"/>
      <c r="K523" s="88"/>
      <c r="L523" s="84"/>
      <c r="M523" s="96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9"/>
      <c r="AQ523" s="90"/>
      <c r="AR523" s="84"/>
      <c r="AS523" s="86"/>
    </row>
    <row r="524" spans="1:45" x14ac:dyDescent="0.35">
      <c r="A524" s="88"/>
      <c r="B524" s="84"/>
      <c r="C524" s="84"/>
      <c r="D524" s="84"/>
      <c r="E524" s="84"/>
      <c r="F524" s="84"/>
      <c r="G524" s="84"/>
      <c r="H524" s="84"/>
      <c r="I524" s="84"/>
      <c r="J524" s="84"/>
      <c r="K524" s="88"/>
      <c r="L524" s="84"/>
      <c r="M524" s="96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9"/>
      <c r="AQ524" s="90"/>
      <c r="AR524" s="84"/>
      <c r="AS524" s="86"/>
    </row>
    <row r="525" spans="1:45" x14ac:dyDescent="0.35">
      <c r="A525" s="88"/>
      <c r="B525" s="84"/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96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9"/>
      <c r="AQ525" s="90"/>
      <c r="AR525" s="84"/>
      <c r="AS525" s="86"/>
    </row>
    <row r="526" spans="1:45" x14ac:dyDescent="0.35">
      <c r="A526" s="88"/>
      <c r="B526" s="84"/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96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9"/>
      <c r="AQ526" s="90"/>
      <c r="AR526" s="84"/>
      <c r="AS526" s="86"/>
    </row>
    <row r="527" spans="1:45" x14ac:dyDescent="0.35">
      <c r="A527" s="88"/>
      <c r="B527" s="84"/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96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9"/>
      <c r="AQ527" s="90"/>
      <c r="AR527" s="84"/>
      <c r="AS527" s="86"/>
    </row>
    <row r="528" spans="1:45" x14ac:dyDescent="0.35">
      <c r="A528" s="94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95"/>
      <c r="M528" s="99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  <c r="AC528" s="95"/>
      <c r="AD528" s="95"/>
      <c r="AE528" s="95"/>
      <c r="AF528" s="95"/>
      <c r="AG528" s="95"/>
      <c r="AH528" s="95"/>
      <c r="AI528" s="95"/>
      <c r="AJ528" s="95"/>
      <c r="AK528" s="95"/>
      <c r="AL528" s="95"/>
      <c r="AM528" s="95"/>
      <c r="AN528" s="95"/>
      <c r="AO528" s="84"/>
      <c r="AP528" s="89"/>
      <c r="AQ528" s="90"/>
      <c r="AR528" s="84"/>
      <c r="AS528" s="86"/>
    </row>
    <row r="529" spans="1:45" x14ac:dyDescent="0.35">
      <c r="A529" s="88"/>
      <c r="B529" s="84"/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96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9"/>
      <c r="AQ529" s="90"/>
      <c r="AR529" s="84"/>
      <c r="AS529" s="86"/>
    </row>
    <row r="530" spans="1:45" x14ac:dyDescent="0.35">
      <c r="A530" s="88"/>
      <c r="B530" s="84"/>
      <c r="C530" s="84"/>
      <c r="D530" s="84"/>
      <c r="E530" s="84"/>
      <c r="F530" s="84"/>
      <c r="G530" s="84"/>
      <c r="H530" s="84"/>
      <c r="I530" s="84"/>
      <c r="J530" s="84"/>
      <c r="K530" s="88"/>
      <c r="L530" s="84"/>
      <c r="M530" s="96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  <c r="AA530" s="84"/>
      <c r="AB530" s="84"/>
      <c r="AC530" s="84"/>
      <c r="AD530" s="84"/>
      <c r="AE530" s="84"/>
      <c r="AF530" s="84"/>
      <c r="AG530" s="84"/>
      <c r="AH530" s="84"/>
      <c r="AI530" s="84"/>
      <c r="AJ530" s="84"/>
      <c r="AK530" s="84"/>
      <c r="AL530" s="84"/>
      <c r="AM530" s="84"/>
      <c r="AN530" s="84"/>
      <c r="AO530" s="84"/>
      <c r="AP530" s="89"/>
      <c r="AQ530" s="90"/>
      <c r="AR530" s="84"/>
      <c r="AS530" s="86"/>
    </row>
    <row r="531" spans="1:45" x14ac:dyDescent="0.35">
      <c r="A531" s="88"/>
      <c r="B531" s="84"/>
      <c r="C531" s="84"/>
      <c r="D531" s="84"/>
      <c r="E531" s="84"/>
      <c r="F531" s="84"/>
      <c r="G531" s="84"/>
      <c r="H531" s="84"/>
      <c r="I531" s="84"/>
      <c r="J531" s="84"/>
      <c r="K531" s="88"/>
      <c r="L531" s="84"/>
      <c r="M531" s="96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9"/>
      <c r="AQ531" s="90"/>
      <c r="AR531" s="84"/>
      <c r="AS531" s="86"/>
    </row>
    <row r="532" spans="1:45" x14ac:dyDescent="0.35">
      <c r="A532" s="88"/>
      <c r="B532" s="84"/>
      <c r="C532" s="84"/>
      <c r="D532" s="84"/>
      <c r="E532" s="84"/>
      <c r="F532" s="84"/>
      <c r="G532" s="84"/>
      <c r="H532" s="84"/>
      <c r="I532" s="84"/>
      <c r="J532" s="84"/>
      <c r="K532" s="88"/>
      <c r="L532" s="84"/>
      <c r="M532" s="96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9"/>
      <c r="AQ532" s="90"/>
      <c r="AR532" s="84"/>
      <c r="AS532" s="86"/>
    </row>
    <row r="533" spans="1:45" x14ac:dyDescent="0.35">
      <c r="A533" s="88"/>
      <c r="B533" s="84"/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96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9"/>
      <c r="AQ533" s="90"/>
      <c r="AR533" s="84"/>
      <c r="AS533" s="86"/>
    </row>
    <row r="534" spans="1:45" x14ac:dyDescent="0.35">
      <c r="A534" s="97"/>
      <c r="B534" s="92"/>
      <c r="C534" s="92"/>
      <c r="D534" s="92"/>
      <c r="E534" s="92"/>
      <c r="F534" s="92"/>
      <c r="G534" s="92"/>
      <c r="H534" s="92"/>
      <c r="I534" s="92"/>
      <c r="J534" s="92"/>
      <c r="K534" s="92"/>
      <c r="L534" s="92"/>
      <c r="M534" s="98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  <c r="AA534" s="92"/>
      <c r="AB534" s="92"/>
      <c r="AC534" s="92"/>
      <c r="AD534" s="92"/>
      <c r="AE534" s="92"/>
      <c r="AF534" s="92"/>
      <c r="AG534" s="92"/>
      <c r="AH534" s="92"/>
      <c r="AI534" s="92"/>
      <c r="AJ534" s="92"/>
      <c r="AK534" s="92"/>
      <c r="AL534" s="92"/>
      <c r="AM534" s="92"/>
      <c r="AN534" s="92"/>
      <c r="AO534" s="84"/>
      <c r="AP534" s="89"/>
      <c r="AQ534" s="90"/>
      <c r="AR534" s="84"/>
      <c r="AS534" s="86"/>
    </row>
    <row r="535" spans="1:45" x14ac:dyDescent="0.35">
      <c r="A535" s="88"/>
      <c r="B535" s="84"/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96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9"/>
      <c r="AQ535" s="90"/>
      <c r="AR535" s="84"/>
      <c r="AS535" s="86"/>
    </row>
    <row r="536" spans="1:45" x14ac:dyDescent="0.35">
      <c r="A536" s="88"/>
      <c r="B536" s="84"/>
      <c r="C536" s="84"/>
      <c r="D536" s="84"/>
      <c r="E536" s="84"/>
      <c r="F536" s="84"/>
      <c r="G536" s="84"/>
      <c r="H536" s="84"/>
      <c r="I536" s="84"/>
      <c r="J536" s="84"/>
      <c r="K536" s="88"/>
      <c r="L536" s="84"/>
      <c r="M536" s="96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9"/>
      <c r="AQ536" s="90"/>
      <c r="AR536" s="84"/>
      <c r="AS536" s="86"/>
    </row>
    <row r="537" spans="1:45" x14ac:dyDescent="0.35">
      <c r="A537" s="88"/>
      <c r="B537" s="84"/>
      <c r="C537" s="84"/>
      <c r="D537" s="84"/>
      <c r="E537" s="84"/>
      <c r="F537" s="84"/>
      <c r="G537" s="84"/>
      <c r="H537" s="84"/>
      <c r="I537" s="84"/>
      <c r="J537" s="84"/>
      <c r="K537" s="88"/>
      <c r="L537" s="84"/>
      <c r="M537" s="96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9"/>
      <c r="AQ537" s="90"/>
      <c r="AR537" s="84"/>
      <c r="AS537" s="86"/>
    </row>
    <row r="538" spans="1:45" x14ac:dyDescent="0.35">
      <c r="A538" s="88"/>
      <c r="B538" s="84"/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96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  <c r="Y538" s="84"/>
      <c r="Z538" s="84"/>
      <c r="AA538" s="84"/>
      <c r="AB538" s="84"/>
      <c r="AC538" s="84"/>
      <c r="AD538" s="84"/>
      <c r="AE538" s="84"/>
      <c r="AF538" s="84"/>
      <c r="AG538" s="84"/>
      <c r="AH538" s="84"/>
      <c r="AI538" s="84"/>
      <c r="AJ538" s="84"/>
      <c r="AK538" s="84"/>
      <c r="AL538" s="84"/>
      <c r="AM538" s="84"/>
      <c r="AN538" s="84"/>
      <c r="AO538" s="84"/>
      <c r="AP538" s="89"/>
      <c r="AQ538" s="90"/>
      <c r="AR538" s="84"/>
      <c r="AS538" s="86"/>
    </row>
    <row r="539" spans="1:45" x14ac:dyDescent="0.35">
      <c r="A539" s="88"/>
      <c r="B539" s="84"/>
      <c r="C539" s="84"/>
      <c r="D539" s="84"/>
      <c r="E539" s="84"/>
      <c r="F539" s="84"/>
      <c r="G539" s="84"/>
      <c r="H539" s="84"/>
      <c r="I539" s="84"/>
      <c r="J539" s="84"/>
      <c r="K539" s="88"/>
      <c r="L539" s="84"/>
      <c r="M539" s="96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  <c r="AA539" s="84"/>
      <c r="AB539" s="84"/>
      <c r="AC539" s="84"/>
      <c r="AD539" s="84"/>
      <c r="AE539" s="84"/>
      <c r="AF539" s="84"/>
      <c r="AG539" s="84"/>
      <c r="AH539" s="84"/>
      <c r="AI539" s="84"/>
      <c r="AJ539" s="84"/>
      <c r="AK539" s="84"/>
      <c r="AL539" s="84"/>
      <c r="AM539" s="84"/>
      <c r="AN539" s="84"/>
      <c r="AO539" s="84"/>
      <c r="AP539" s="89"/>
      <c r="AQ539" s="90"/>
      <c r="AR539" s="84"/>
      <c r="AS539" s="86"/>
    </row>
    <row r="540" spans="1:45" x14ac:dyDescent="0.35">
      <c r="A540" s="97"/>
      <c r="B540" s="92"/>
      <c r="C540" s="92"/>
      <c r="D540" s="92"/>
      <c r="E540" s="92"/>
      <c r="F540" s="92"/>
      <c r="G540" s="92"/>
      <c r="H540" s="92"/>
      <c r="I540" s="92"/>
      <c r="J540" s="92"/>
      <c r="K540" s="97"/>
      <c r="L540" s="92"/>
      <c r="M540" s="98"/>
      <c r="N540" s="92"/>
      <c r="O540" s="92"/>
      <c r="P540" s="92"/>
      <c r="Q540" s="92"/>
      <c r="R540" s="92"/>
      <c r="S540" s="92"/>
      <c r="T540" s="92"/>
      <c r="U540" s="92"/>
      <c r="V540" s="92"/>
      <c r="W540" s="92"/>
      <c r="X540" s="92"/>
      <c r="Y540" s="92"/>
      <c r="Z540" s="92"/>
      <c r="AA540" s="92"/>
      <c r="AB540" s="92"/>
      <c r="AC540" s="92"/>
      <c r="AD540" s="92"/>
      <c r="AE540" s="92"/>
      <c r="AF540" s="92"/>
      <c r="AG540" s="92"/>
      <c r="AH540" s="92"/>
      <c r="AI540" s="92"/>
      <c r="AJ540" s="92"/>
      <c r="AK540" s="92"/>
      <c r="AL540" s="92"/>
      <c r="AM540" s="92"/>
      <c r="AN540" s="92"/>
      <c r="AO540" s="84"/>
      <c r="AP540" s="89"/>
      <c r="AQ540" s="90"/>
      <c r="AR540" s="84"/>
      <c r="AS540" s="86"/>
    </row>
    <row r="541" spans="1:45" x14ac:dyDescent="0.35">
      <c r="A541" s="88"/>
      <c r="B541" s="84"/>
      <c r="C541" s="84"/>
      <c r="D541" s="84"/>
      <c r="E541" s="84"/>
      <c r="F541" s="84"/>
      <c r="G541" s="84"/>
      <c r="H541" s="84"/>
      <c r="I541" s="84"/>
      <c r="J541" s="84"/>
      <c r="K541" s="88"/>
      <c r="L541" s="84"/>
      <c r="M541" s="96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  <c r="Y541" s="84"/>
      <c r="Z541" s="84"/>
      <c r="AA541" s="84"/>
      <c r="AB541" s="84"/>
      <c r="AC541" s="84"/>
      <c r="AD541" s="84"/>
      <c r="AE541" s="84"/>
      <c r="AF541" s="84"/>
      <c r="AG541" s="84"/>
      <c r="AH541" s="84"/>
      <c r="AI541" s="84"/>
      <c r="AJ541" s="84"/>
      <c r="AK541" s="84"/>
      <c r="AL541" s="84"/>
      <c r="AM541" s="84"/>
      <c r="AN541" s="84"/>
      <c r="AO541" s="84"/>
      <c r="AP541" s="89"/>
      <c r="AQ541" s="90"/>
      <c r="AR541" s="84"/>
      <c r="AS541" s="86"/>
    </row>
    <row r="542" spans="1:45" x14ac:dyDescent="0.35">
      <c r="A542" s="88"/>
      <c r="B542" s="84"/>
      <c r="C542" s="84"/>
      <c r="D542" s="84"/>
      <c r="E542" s="84"/>
      <c r="F542" s="84"/>
      <c r="G542" s="84"/>
      <c r="H542" s="84"/>
      <c r="I542" s="84"/>
      <c r="J542" s="84"/>
      <c r="K542" s="88"/>
      <c r="L542" s="84"/>
      <c r="M542" s="96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  <c r="Y542" s="84"/>
      <c r="Z542" s="84"/>
      <c r="AA542" s="84"/>
      <c r="AB542" s="84"/>
      <c r="AC542" s="84"/>
      <c r="AD542" s="84"/>
      <c r="AE542" s="84"/>
      <c r="AF542" s="84"/>
      <c r="AG542" s="84"/>
      <c r="AH542" s="84"/>
      <c r="AI542" s="84"/>
      <c r="AJ542" s="84"/>
      <c r="AK542" s="84"/>
      <c r="AL542" s="84"/>
      <c r="AM542" s="84"/>
      <c r="AN542" s="84"/>
      <c r="AO542" s="84"/>
      <c r="AP542" s="89"/>
      <c r="AQ542" s="90"/>
      <c r="AR542" s="84"/>
      <c r="AS542" s="86"/>
    </row>
    <row r="543" spans="1:45" x14ac:dyDescent="0.35">
      <c r="A543" s="88"/>
      <c r="B543" s="84"/>
      <c r="C543" s="84"/>
      <c r="D543" s="84"/>
      <c r="E543" s="84"/>
      <c r="F543" s="84"/>
      <c r="G543" s="84"/>
      <c r="H543" s="84"/>
      <c r="I543" s="84"/>
      <c r="J543" s="84"/>
      <c r="K543" s="88"/>
      <c r="L543" s="84"/>
      <c r="M543" s="96"/>
      <c r="N543" s="84"/>
      <c r="O543" s="84"/>
      <c r="P543" s="84"/>
      <c r="Q543" s="84"/>
      <c r="R543" s="84"/>
      <c r="S543" s="84"/>
      <c r="T543" s="84"/>
      <c r="U543" s="84"/>
      <c r="V543" s="84"/>
      <c r="W543" s="84"/>
      <c r="X543" s="84"/>
      <c r="Y543" s="84"/>
      <c r="Z543" s="84"/>
      <c r="AA543" s="84"/>
      <c r="AB543" s="84"/>
      <c r="AC543" s="84"/>
      <c r="AD543" s="84"/>
      <c r="AE543" s="84"/>
      <c r="AF543" s="84"/>
      <c r="AG543" s="84"/>
      <c r="AH543" s="84"/>
      <c r="AI543" s="84"/>
      <c r="AJ543" s="84"/>
      <c r="AK543" s="84"/>
      <c r="AL543" s="84"/>
      <c r="AM543" s="84"/>
      <c r="AN543" s="84"/>
      <c r="AO543" s="84"/>
      <c r="AP543" s="89"/>
      <c r="AQ543" s="90"/>
      <c r="AR543" s="84"/>
      <c r="AS543" s="86"/>
    </row>
    <row r="544" spans="1:45" x14ac:dyDescent="0.35">
      <c r="A544" s="88"/>
      <c r="B544" s="84"/>
      <c r="C544" s="84"/>
      <c r="D544" s="84"/>
      <c r="E544" s="84"/>
      <c r="F544" s="84"/>
      <c r="G544" s="84"/>
      <c r="H544" s="84"/>
      <c r="I544" s="84"/>
      <c r="J544" s="84"/>
      <c r="K544" s="88"/>
      <c r="L544" s="84"/>
      <c r="M544" s="96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  <c r="Y544" s="84"/>
      <c r="Z544" s="84"/>
      <c r="AA544" s="84"/>
      <c r="AB544" s="84"/>
      <c r="AC544" s="84"/>
      <c r="AD544" s="84"/>
      <c r="AE544" s="84"/>
      <c r="AF544" s="84"/>
      <c r="AG544" s="84"/>
      <c r="AH544" s="84"/>
      <c r="AI544" s="84"/>
      <c r="AJ544" s="84"/>
      <c r="AK544" s="84"/>
      <c r="AL544" s="84"/>
      <c r="AM544" s="84"/>
      <c r="AN544" s="84"/>
      <c r="AO544" s="84"/>
      <c r="AP544" s="89"/>
      <c r="AQ544" s="90"/>
      <c r="AR544" s="84"/>
      <c r="AS544" s="86"/>
    </row>
    <row r="545" spans="1:45" x14ac:dyDescent="0.35">
      <c r="A545" s="88"/>
      <c r="B545" s="84"/>
      <c r="C545" s="84"/>
      <c r="D545" s="84"/>
      <c r="E545" s="84"/>
      <c r="F545" s="84"/>
      <c r="G545" s="84"/>
      <c r="H545" s="84"/>
      <c r="I545" s="84"/>
      <c r="J545" s="84"/>
      <c r="K545" s="88"/>
      <c r="L545" s="84"/>
      <c r="M545" s="96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  <c r="Y545" s="84"/>
      <c r="Z545" s="84"/>
      <c r="AA545" s="84"/>
      <c r="AB545" s="84"/>
      <c r="AC545" s="84"/>
      <c r="AD545" s="84"/>
      <c r="AE545" s="84"/>
      <c r="AF545" s="84"/>
      <c r="AG545" s="84"/>
      <c r="AH545" s="84"/>
      <c r="AI545" s="84"/>
      <c r="AJ545" s="84"/>
      <c r="AK545" s="84"/>
      <c r="AL545" s="84"/>
      <c r="AM545" s="84"/>
      <c r="AN545" s="84"/>
      <c r="AO545" s="84"/>
      <c r="AP545" s="89"/>
      <c r="AQ545" s="90"/>
      <c r="AR545" s="84"/>
      <c r="AS545" s="86"/>
    </row>
    <row r="546" spans="1:45" x14ac:dyDescent="0.35">
      <c r="A546" s="97"/>
      <c r="B546" s="92"/>
      <c r="C546" s="92"/>
      <c r="D546" s="92"/>
      <c r="E546" s="92"/>
      <c r="F546" s="92"/>
      <c r="G546" s="92"/>
      <c r="H546" s="92"/>
      <c r="I546" s="92"/>
      <c r="J546" s="92"/>
      <c r="K546" s="92"/>
      <c r="L546" s="92"/>
      <c r="M546" s="98"/>
      <c r="N546" s="92"/>
      <c r="O546" s="92"/>
      <c r="P546" s="92"/>
      <c r="Q546" s="92"/>
      <c r="R546" s="92"/>
      <c r="S546" s="92"/>
      <c r="T546" s="92"/>
      <c r="U546" s="92"/>
      <c r="V546" s="92"/>
      <c r="W546" s="92"/>
      <c r="X546" s="92"/>
      <c r="Y546" s="92"/>
      <c r="Z546" s="92"/>
      <c r="AA546" s="92"/>
      <c r="AB546" s="92"/>
      <c r="AC546" s="92"/>
      <c r="AD546" s="92"/>
      <c r="AE546" s="92"/>
      <c r="AF546" s="92"/>
      <c r="AG546" s="92"/>
      <c r="AH546" s="92"/>
      <c r="AI546" s="92"/>
      <c r="AJ546" s="92"/>
      <c r="AK546" s="92"/>
      <c r="AL546" s="92"/>
      <c r="AM546" s="92"/>
      <c r="AN546" s="92"/>
      <c r="AO546" s="84"/>
      <c r="AP546" s="89"/>
      <c r="AQ546" s="90"/>
      <c r="AR546" s="84"/>
      <c r="AS546" s="86"/>
    </row>
    <row r="547" spans="1:45" x14ac:dyDescent="0.35">
      <c r="A547" s="88"/>
      <c r="B547" s="84"/>
      <c r="C547" s="84"/>
      <c r="D547" s="84"/>
      <c r="E547" s="84"/>
      <c r="F547" s="84"/>
      <c r="G547" s="84"/>
      <c r="H547" s="84"/>
      <c r="I547" s="84"/>
      <c r="J547" s="84"/>
      <c r="K547" s="84"/>
      <c r="L547" s="84"/>
      <c r="M547" s="96"/>
      <c r="N547" s="84"/>
      <c r="O547" s="84"/>
      <c r="P547" s="84"/>
      <c r="Q547" s="84"/>
      <c r="R547" s="84"/>
      <c r="S547" s="84"/>
      <c r="T547" s="84"/>
      <c r="U547" s="84"/>
      <c r="V547" s="84"/>
      <c r="W547" s="84"/>
      <c r="X547" s="84"/>
      <c r="Y547" s="84"/>
      <c r="Z547" s="84"/>
      <c r="AA547" s="84"/>
      <c r="AB547" s="84"/>
      <c r="AC547" s="84"/>
      <c r="AD547" s="84"/>
      <c r="AE547" s="84"/>
      <c r="AF547" s="84"/>
      <c r="AG547" s="84"/>
      <c r="AH547" s="84"/>
      <c r="AI547" s="84"/>
      <c r="AJ547" s="84"/>
      <c r="AK547" s="84"/>
      <c r="AL547" s="84"/>
      <c r="AM547" s="84"/>
      <c r="AN547" s="84"/>
      <c r="AO547" s="84"/>
      <c r="AP547" s="89"/>
      <c r="AQ547" s="90"/>
      <c r="AR547" s="84"/>
      <c r="AS547" s="86"/>
    </row>
    <row r="548" spans="1:45" x14ac:dyDescent="0.35">
      <c r="A548" s="88"/>
      <c r="B548" s="84"/>
      <c r="C548" s="84"/>
      <c r="D548" s="84"/>
      <c r="E548" s="84"/>
      <c r="F548" s="84"/>
      <c r="G548" s="84"/>
      <c r="H548" s="84"/>
      <c r="I548" s="84"/>
      <c r="J548" s="84"/>
      <c r="K548" s="88"/>
      <c r="L548" s="84"/>
      <c r="M548" s="96"/>
      <c r="N548" s="84"/>
      <c r="O548" s="84"/>
      <c r="P548" s="84"/>
      <c r="Q548" s="84"/>
      <c r="R548" s="84"/>
      <c r="S548" s="84"/>
      <c r="T548" s="84"/>
      <c r="U548" s="84"/>
      <c r="V548" s="84"/>
      <c r="W548" s="84"/>
      <c r="X548" s="84"/>
      <c r="Y548" s="84"/>
      <c r="Z548" s="84"/>
      <c r="AA548" s="84"/>
      <c r="AB548" s="84"/>
      <c r="AC548" s="84"/>
      <c r="AD548" s="84"/>
      <c r="AE548" s="84"/>
      <c r="AF548" s="84"/>
      <c r="AG548" s="84"/>
      <c r="AH548" s="84"/>
      <c r="AI548" s="84"/>
      <c r="AJ548" s="84"/>
      <c r="AK548" s="84"/>
      <c r="AL548" s="84"/>
      <c r="AM548" s="84"/>
      <c r="AN548" s="84"/>
      <c r="AO548" s="84"/>
      <c r="AP548" s="89"/>
      <c r="AQ548" s="90"/>
      <c r="AR548" s="84"/>
      <c r="AS548" s="86"/>
    </row>
    <row r="549" spans="1:45" x14ac:dyDescent="0.35">
      <c r="A549" s="88"/>
      <c r="B549" s="84"/>
      <c r="C549" s="84"/>
      <c r="D549" s="84"/>
      <c r="E549" s="84"/>
      <c r="F549" s="84"/>
      <c r="G549" s="84"/>
      <c r="H549" s="84"/>
      <c r="I549" s="84"/>
      <c r="J549" s="84"/>
      <c r="K549" s="88"/>
      <c r="L549" s="84"/>
      <c r="M549" s="96"/>
      <c r="N549" s="84"/>
      <c r="O549" s="84"/>
      <c r="P549" s="84"/>
      <c r="Q549" s="84"/>
      <c r="R549" s="84"/>
      <c r="S549" s="84"/>
      <c r="T549" s="84"/>
      <c r="U549" s="84"/>
      <c r="V549" s="84"/>
      <c r="W549" s="84"/>
      <c r="X549" s="84"/>
      <c r="Y549" s="84"/>
      <c r="Z549" s="84"/>
      <c r="AA549" s="84"/>
      <c r="AB549" s="84"/>
      <c r="AC549" s="84"/>
      <c r="AD549" s="84"/>
      <c r="AE549" s="84"/>
      <c r="AF549" s="84"/>
      <c r="AG549" s="84"/>
      <c r="AH549" s="84"/>
      <c r="AI549" s="84"/>
      <c r="AJ549" s="84"/>
      <c r="AK549" s="84"/>
      <c r="AL549" s="84"/>
      <c r="AM549" s="84"/>
      <c r="AN549" s="84"/>
      <c r="AO549" s="84"/>
      <c r="AP549" s="89"/>
      <c r="AQ549" s="90"/>
      <c r="AR549" s="84"/>
      <c r="AS549" s="86"/>
    </row>
    <row r="550" spans="1:45" x14ac:dyDescent="0.35">
      <c r="A550" s="88"/>
      <c r="B550" s="84"/>
      <c r="C550" s="84"/>
      <c r="D550" s="84"/>
      <c r="E550" s="84"/>
      <c r="F550" s="84"/>
      <c r="G550" s="84"/>
      <c r="H550" s="84"/>
      <c r="I550" s="84"/>
      <c r="J550" s="84"/>
      <c r="K550" s="88"/>
      <c r="L550" s="84"/>
      <c r="M550" s="96"/>
      <c r="N550" s="84"/>
      <c r="O550" s="84"/>
      <c r="P550" s="84"/>
      <c r="Q550" s="84"/>
      <c r="R550" s="84"/>
      <c r="S550" s="84"/>
      <c r="T550" s="84"/>
      <c r="U550" s="84"/>
      <c r="V550" s="84"/>
      <c r="W550" s="84"/>
      <c r="X550" s="84"/>
      <c r="Y550" s="84"/>
      <c r="Z550" s="84"/>
      <c r="AA550" s="84"/>
      <c r="AB550" s="84"/>
      <c r="AC550" s="84"/>
      <c r="AD550" s="84"/>
      <c r="AE550" s="84"/>
      <c r="AF550" s="84"/>
      <c r="AG550" s="84"/>
      <c r="AH550" s="84"/>
      <c r="AI550" s="84"/>
      <c r="AJ550" s="84"/>
      <c r="AK550" s="84"/>
      <c r="AL550" s="84"/>
      <c r="AM550" s="84"/>
      <c r="AN550" s="84"/>
      <c r="AO550" s="84"/>
      <c r="AP550" s="89"/>
      <c r="AQ550" s="90"/>
      <c r="AR550" s="84"/>
      <c r="AS550" s="86"/>
    </row>
    <row r="551" spans="1:45" x14ac:dyDescent="0.35">
      <c r="A551" s="94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95"/>
      <c r="M551" s="99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  <c r="AC551" s="95"/>
      <c r="AD551" s="95"/>
      <c r="AE551" s="95"/>
      <c r="AF551" s="95"/>
      <c r="AG551" s="95"/>
      <c r="AH551" s="95"/>
      <c r="AI551" s="95"/>
      <c r="AJ551" s="95"/>
      <c r="AK551" s="95"/>
      <c r="AL551" s="95"/>
      <c r="AM551" s="95"/>
      <c r="AN551" s="95"/>
      <c r="AO551" s="84"/>
      <c r="AP551" s="89"/>
      <c r="AQ551" s="90"/>
      <c r="AR551" s="84"/>
      <c r="AS551" s="86"/>
    </row>
    <row r="552" spans="1:45" x14ac:dyDescent="0.35">
      <c r="A552" s="94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95"/>
      <c r="M552" s="99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  <c r="AC552" s="95"/>
      <c r="AD552" s="95"/>
      <c r="AE552" s="95"/>
      <c r="AF552" s="95"/>
      <c r="AG552" s="95"/>
      <c r="AH552" s="95"/>
      <c r="AI552" s="95"/>
      <c r="AJ552" s="95"/>
      <c r="AK552" s="95"/>
      <c r="AL552" s="95"/>
      <c r="AM552" s="95"/>
      <c r="AN552" s="95"/>
      <c r="AO552" s="84"/>
      <c r="AP552" s="89"/>
      <c r="AQ552" s="90"/>
      <c r="AR552" s="84"/>
      <c r="AS552" s="86"/>
    </row>
    <row r="553" spans="1:45" x14ac:dyDescent="0.35">
      <c r="A553" s="88"/>
      <c r="B553" s="84"/>
      <c r="C553" s="84"/>
      <c r="D553" s="84"/>
      <c r="E553" s="84"/>
      <c r="F553" s="84"/>
      <c r="G553" s="84"/>
      <c r="H553" s="84"/>
      <c r="I553" s="84"/>
      <c r="J553" s="84"/>
      <c r="K553" s="88"/>
      <c r="L553" s="84"/>
      <c r="M553" s="96"/>
      <c r="N553" s="84"/>
      <c r="O553" s="84"/>
      <c r="P553" s="84"/>
      <c r="Q553" s="84"/>
      <c r="R553" s="84"/>
      <c r="S553" s="84"/>
      <c r="T553" s="84"/>
      <c r="U553" s="84"/>
      <c r="V553" s="84"/>
      <c r="W553" s="84"/>
      <c r="X553" s="84"/>
      <c r="Y553" s="84"/>
      <c r="Z553" s="84"/>
      <c r="AA553" s="84"/>
      <c r="AB553" s="84"/>
      <c r="AC553" s="84"/>
      <c r="AD553" s="84"/>
      <c r="AE553" s="84"/>
      <c r="AF553" s="84"/>
      <c r="AG553" s="84"/>
      <c r="AH553" s="84"/>
      <c r="AI553" s="84"/>
      <c r="AJ553" s="84"/>
      <c r="AK553" s="84"/>
      <c r="AL553" s="84"/>
      <c r="AM553" s="84"/>
      <c r="AN553" s="84"/>
      <c r="AO553" s="84"/>
      <c r="AP553" s="89"/>
      <c r="AQ553" s="90"/>
      <c r="AR553" s="84"/>
      <c r="AS553" s="86"/>
    </row>
    <row r="554" spans="1:45" x14ac:dyDescent="0.35">
      <c r="A554" s="88"/>
      <c r="B554" s="84"/>
      <c r="C554" s="84"/>
      <c r="D554" s="84"/>
      <c r="E554" s="84"/>
      <c r="F554" s="84"/>
      <c r="G554" s="84"/>
      <c r="H554" s="84"/>
      <c r="I554" s="84"/>
      <c r="J554" s="84"/>
      <c r="K554" s="88"/>
      <c r="L554" s="84"/>
      <c r="M554" s="96"/>
      <c r="N554" s="84"/>
      <c r="O554" s="84"/>
      <c r="P554" s="84"/>
      <c r="Q554" s="84"/>
      <c r="R554" s="84"/>
      <c r="S554" s="84"/>
      <c r="T554" s="84"/>
      <c r="U554" s="84"/>
      <c r="V554" s="84"/>
      <c r="W554" s="84"/>
      <c r="X554" s="84"/>
      <c r="Y554" s="84"/>
      <c r="Z554" s="84"/>
      <c r="AA554" s="84"/>
      <c r="AB554" s="84"/>
      <c r="AC554" s="84"/>
      <c r="AD554" s="84"/>
      <c r="AE554" s="84"/>
      <c r="AF554" s="84"/>
      <c r="AG554" s="84"/>
      <c r="AH554" s="84"/>
      <c r="AI554" s="84"/>
      <c r="AJ554" s="84"/>
      <c r="AK554" s="84"/>
      <c r="AL554" s="84"/>
      <c r="AM554" s="84"/>
      <c r="AN554" s="84"/>
      <c r="AO554" s="84"/>
      <c r="AP554" s="89"/>
      <c r="AQ554" s="90"/>
      <c r="AR554" s="84"/>
      <c r="AS554" s="86"/>
    </row>
    <row r="555" spans="1:45" x14ac:dyDescent="0.35">
      <c r="A555" s="88"/>
      <c r="B555" s="84"/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96"/>
      <c r="N555" s="84"/>
      <c r="O555" s="84"/>
      <c r="P555" s="84"/>
      <c r="Q555" s="84"/>
      <c r="R555" s="84"/>
      <c r="S555" s="84"/>
      <c r="T555" s="84"/>
      <c r="U555" s="84"/>
      <c r="V555" s="84"/>
      <c r="W555" s="84"/>
      <c r="X555" s="84"/>
      <c r="Y555" s="84"/>
      <c r="Z555" s="84"/>
      <c r="AA555" s="84"/>
      <c r="AB555" s="84"/>
      <c r="AC555" s="84"/>
      <c r="AD555" s="84"/>
      <c r="AE555" s="84"/>
      <c r="AF555" s="84"/>
      <c r="AG555" s="84"/>
      <c r="AH555" s="84"/>
      <c r="AI555" s="84"/>
      <c r="AJ555" s="84"/>
      <c r="AK555" s="84"/>
      <c r="AL555" s="84"/>
      <c r="AM555" s="84"/>
      <c r="AN555" s="84"/>
      <c r="AO555" s="84"/>
      <c r="AP555" s="89"/>
      <c r="AQ555" s="90"/>
      <c r="AR555" s="84"/>
      <c r="AS555" s="86"/>
    </row>
    <row r="556" spans="1:45" x14ac:dyDescent="0.35">
      <c r="A556" s="88"/>
      <c r="B556" s="84"/>
      <c r="C556" s="84"/>
      <c r="D556" s="84"/>
      <c r="E556" s="84"/>
      <c r="F556" s="84"/>
      <c r="G556" s="84"/>
      <c r="H556" s="84"/>
      <c r="I556" s="84"/>
      <c r="J556" s="84"/>
      <c r="K556" s="88"/>
      <c r="L556" s="84"/>
      <c r="M556" s="96"/>
      <c r="N556" s="84"/>
      <c r="O556" s="84"/>
      <c r="P556" s="84"/>
      <c r="Q556" s="84"/>
      <c r="R556" s="84"/>
      <c r="S556" s="84"/>
      <c r="T556" s="84"/>
      <c r="U556" s="84"/>
      <c r="V556" s="84"/>
      <c r="W556" s="84"/>
      <c r="X556" s="84"/>
      <c r="Y556" s="84"/>
      <c r="Z556" s="84"/>
      <c r="AA556" s="84"/>
      <c r="AB556" s="84"/>
      <c r="AC556" s="84"/>
      <c r="AD556" s="84"/>
      <c r="AE556" s="84"/>
      <c r="AF556" s="84"/>
      <c r="AG556" s="84"/>
      <c r="AH556" s="84"/>
      <c r="AI556" s="84"/>
      <c r="AJ556" s="84"/>
      <c r="AK556" s="84"/>
      <c r="AL556" s="84"/>
      <c r="AM556" s="84"/>
      <c r="AN556" s="84"/>
      <c r="AO556" s="84"/>
      <c r="AP556" s="89"/>
      <c r="AQ556" s="90"/>
      <c r="AR556" s="84"/>
      <c r="AS556" s="86"/>
    </row>
    <row r="557" spans="1:45" x14ac:dyDescent="0.35">
      <c r="A557" s="88"/>
      <c r="B557" s="84"/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96"/>
      <c r="N557" s="84"/>
      <c r="O557" s="84"/>
      <c r="P557" s="84"/>
      <c r="Q557" s="84"/>
      <c r="R557" s="84"/>
      <c r="S557" s="84"/>
      <c r="T557" s="84"/>
      <c r="U557" s="84"/>
      <c r="V557" s="84"/>
      <c r="W557" s="84"/>
      <c r="X557" s="84"/>
      <c r="Y557" s="84"/>
      <c r="Z557" s="84"/>
      <c r="AA557" s="84"/>
      <c r="AB557" s="84"/>
      <c r="AC557" s="84"/>
      <c r="AD557" s="84"/>
      <c r="AE557" s="84"/>
      <c r="AF557" s="84"/>
      <c r="AG557" s="84"/>
      <c r="AH557" s="84"/>
      <c r="AI557" s="84"/>
      <c r="AJ557" s="84"/>
      <c r="AK557" s="84"/>
      <c r="AL557" s="84"/>
      <c r="AM557" s="84"/>
      <c r="AN557" s="84"/>
      <c r="AO557" s="84"/>
      <c r="AP557" s="89"/>
      <c r="AQ557" s="90"/>
      <c r="AR557" s="84"/>
      <c r="AS557" s="86"/>
    </row>
    <row r="558" spans="1:45" x14ac:dyDescent="0.35">
      <c r="A558" s="88"/>
      <c r="B558" s="84"/>
      <c r="C558" s="84"/>
      <c r="D558" s="84"/>
      <c r="E558" s="84"/>
      <c r="F558" s="84"/>
      <c r="G558" s="84"/>
      <c r="H558" s="84"/>
      <c r="I558" s="84"/>
      <c r="J558" s="84"/>
      <c r="K558" s="88"/>
      <c r="L558" s="84"/>
      <c r="M558" s="96"/>
      <c r="N558" s="84"/>
      <c r="O558" s="84"/>
      <c r="P558" s="84"/>
      <c r="Q558" s="84"/>
      <c r="R558" s="84"/>
      <c r="S558" s="84"/>
      <c r="T558" s="84"/>
      <c r="U558" s="84"/>
      <c r="V558" s="84"/>
      <c r="W558" s="84"/>
      <c r="X558" s="84"/>
      <c r="Y558" s="84"/>
      <c r="Z558" s="84"/>
      <c r="AA558" s="84"/>
      <c r="AB558" s="84"/>
      <c r="AC558" s="84"/>
      <c r="AD558" s="84"/>
      <c r="AE558" s="84"/>
      <c r="AF558" s="84"/>
      <c r="AG558" s="84"/>
      <c r="AH558" s="84"/>
      <c r="AI558" s="84"/>
      <c r="AJ558" s="84"/>
      <c r="AK558" s="84"/>
      <c r="AL558" s="84"/>
      <c r="AM558" s="84"/>
      <c r="AN558" s="84"/>
      <c r="AO558" s="84"/>
      <c r="AP558" s="89"/>
      <c r="AQ558" s="90"/>
      <c r="AR558" s="84"/>
      <c r="AS558" s="86"/>
    </row>
    <row r="559" spans="1:45" x14ac:dyDescent="0.35">
      <c r="A559" s="97"/>
      <c r="B559" s="92"/>
      <c r="C559" s="92"/>
      <c r="D559" s="92"/>
      <c r="E559" s="92"/>
      <c r="F559" s="92"/>
      <c r="G559" s="92"/>
      <c r="H559" s="92"/>
      <c r="I559" s="92"/>
      <c r="J559" s="92"/>
      <c r="K559" s="97"/>
      <c r="L559" s="92"/>
      <c r="M559" s="98"/>
      <c r="N559" s="92"/>
      <c r="O559" s="92"/>
      <c r="P559" s="92"/>
      <c r="Q559" s="92"/>
      <c r="R559" s="92"/>
      <c r="S559" s="92"/>
      <c r="T559" s="92"/>
      <c r="U559" s="92"/>
      <c r="V559" s="92"/>
      <c r="W559" s="92"/>
      <c r="X559" s="92"/>
      <c r="Y559" s="92"/>
      <c r="Z559" s="92"/>
      <c r="AA559" s="92"/>
      <c r="AB559" s="92"/>
      <c r="AC559" s="92"/>
      <c r="AD559" s="92"/>
      <c r="AE559" s="92"/>
      <c r="AF559" s="92"/>
      <c r="AG559" s="92"/>
      <c r="AH559" s="92"/>
      <c r="AI559" s="92"/>
      <c r="AJ559" s="92"/>
      <c r="AK559" s="92"/>
      <c r="AL559" s="92"/>
      <c r="AM559" s="92"/>
      <c r="AN559" s="92"/>
      <c r="AO559" s="84"/>
      <c r="AP559" s="89"/>
      <c r="AQ559" s="90"/>
      <c r="AR559" s="84"/>
      <c r="AS559" s="86"/>
    </row>
    <row r="560" spans="1:45" x14ac:dyDescent="0.35">
      <c r="A560" s="88"/>
      <c r="B560" s="84"/>
      <c r="C560" s="84"/>
      <c r="D560" s="84"/>
      <c r="E560" s="84"/>
      <c r="F560" s="84"/>
      <c r="G560" s="84"/>
      <c r="H560" s="84"/>
      <c r="I560" s="84"/>
      <c r="J560" s="84"/>
      <c r="K560" s="88"/>
      <c r="L560" s="84"/>
      <c r="M560" s="96"/>
      <c r="N560" s="84"/>
      <c r="O560" s="84"/>
      <c r="P560" s="84"/>
      <c r="Q560" s="84"/>
      <c r="R560" s="84"/>
      <c r="S560" s="84"/>
      <c r="T560" s="84"/>
      <c r="U560" s="84"/>
      <c r="V560" s="84"/>
      <c r="W560" s="84"/>
      <c r="X560" s="84"/>
      <c r="Y560" s="84"/>
      <c r="Z560" s="84"/>
      <c r="AA560" s="84"/>
      <c r="AB560" s="84"/>
      <c r="AC560" s="84"/>
      <c r="AD560" s="84"/>
      <c r="AE560" s="84"/>
      <c r="AF560" s="84"/>
      <c r="AG560" s="84"/>
      <c r="AH560" s="84"/>
      <c r="AI560" s="84"/>
      <c r="AJ560" s="84"/>
      <c r="AK560" s="84"/>
      <c r="AL560" s="84"/>
      <c r="AM560" s="84"/>
      <c r="AN560" s="84"/>
      <c r="AO560" s="84"/>
      <c r="AP560" s="89"/>
      <c r="AQ560" s="90"/>
      <c r="AR560" s="84"/>
      <c r="AS560" s="86"/>
    </row>
    <row r="561" spans="1:45" x14ac:dyDescent="0.35">
      <c r="A561" s="97"/>
      <c r="B561" s="92"/>
      <c r="C561" s="92"/>
      <c r="D561" s="92"/>
      <c r="E561" s="92"/>
      <c r="F561" s="92"/>
      <c r="G561" s="92"/>
      <c r="H561" s="92"/>
      <c r="I561" s="92"/>
      <c r="J561" s="92"/>
      <c r="K561" s="97"/>
      <c r="L561" s="92"/>
      <c r="M561" s="98"/>
      <c r="N561" s="92"/>
      <c r="O561" s="92"/>
      <c r="P561" s="92"/>
      <c r="Q561" s="92"/>
      <c r="R561" s="92"/>
      <c r="S561" s="92"/>
      <c r="T561" s="92"/>
      <c r="U561" s="92"/>
      <c r="V561" s="92"/>
      <c r="W561" s="92"/>
      <c r="X561" s="92"/>
      <c r="Y561" s="92"/>
      <c r="Z561" s="92"/>
      <c r="AA561" s="92"/>
      <c r="AB561" s="92"/>
      <c r="AC561" s="92"/>
      <c r="AD561" s="92"/>
      <c r="AE561" s="92"/>
      <c r="AF561" s="92"/>
      <c r="AG561" s="92"/>
      <c r="AH561" s="92"/>
      <c r="AI561" s="92"/>
      <c r="AJ561" s="92"/>
      <c r="AK561" s="92"/>
      <c r="AL561" s="92"/>
      <c r="AM561" s="92"/>
      <c r="AN561" s="92"/>
      <c r="AO561" s="84"/>
      <c r="AP561" s="89"/>
      <c r="AQ561" s="90"/>
      <c r="AR561" s="84"/>
      <c r="AS561" s="86"/>
    </row>
    <row r="562" spans="1:45" x14ac:dyDescent="0.35">
      <c r="A562" s="88"/>
      <c r="B562" s="84"/>
      <c r="C562" s="84"/>
      <c r="D562" s="84"/>
      <c r="E562" s="84"/>
      <c r="F562" s="84"/>
      <c r="G562" s="84"/>
      <c r="H562" s="84"/>
      <c r="I562" s="84"/>
      <c r="J562" s="84"/>
      <c r="K562" s="88"/>
      <c r="L562" s="84"/>
      <c r="M562" s="96"/>
      <c r="N562" s="84"/>
      <c r="O562" s="84"/>
      <c r="P562" s="84"/>
      <c r="Q562" s="84"/>
      <c r="R562" s="84"/>
      <c r="S562" s="84"/>
      <c r="T562" s="84"/>
      <c r="U562" s="84"/>
      <c r="V562" s="84"/>
      <c r="W562" s="84"/>
      <c r="X562" s="84"/>
      <c r="Y562" s="84"/>
      <c r="Z562" s="84"/>
      <c r="AA562" s="84"/>
      <c r="AB562" s="84"/>
      <c r="AC562" s="84"/>
      <c r="AD562" s="84"/>
      <c r="AE562" s="84"/>
      <c r="AF562" s="84"/>
      <c r="AG562" s="84"/>
      <c r="AH562" s="84"/>
      <c r="AI562" s="84"/>
      <c r="AJ562" s="84"/>
      <c r="AK562" s="84"/>
      <c r="AL562" s="84"/>
      <c r="AM562" s="84"/>
      <c r="AN562" s="84"/>
      <c r="AO562" s="84"/>
      <c r="AP562" s="89"/>
      <c r="AQ562" s="90"/>
      <c r="AR562" s="84"/>
      <c r="AS562" s="86"/>
    </row>
    <row r="563" spans="1:45" x14ac:dyDescent="0.35">
      <c r="A563" s="88"/>
      <c r="B563" s="84"/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96"/>
      <c r="N563" s="84"/>
      <c r="O563" s="84"/>
      <c r="P563" s="84"/>
      <c r="Q563" s="84"/>
      <c r="R563" s="84"/>
      <c r="S563" s="84"/>
      <c r="T563" s="84"/>
      <c r="U563" s="84"/>
      <c r="V563" s="84"/>
      <c r="W563" s="84"/>
      <c r="X563" s="84"/>
      <c r="Y563" s="84"/>
      <c r="Z563" s="84"/>
      <c r="AA563" s="84"/>
      <c r="AB563" s="84"/>
      <c r="AC563" s="84"/>
      <c r="AD563" s="84"/>
      <c r="AE563" s="84"/>
      <c r="AF563" s="84"/>
      <c r="AG563" s="84"/>
      <c r="AH563" s="84"/>
      <c r="AI563" s="84"/>
      <c r="AJ563" s="84"/>
      <c r="AK563" s="84"/>
      <c r="AL563" s="84"/>
      <c r="AM563" s="84"/>
      <c r="AN563" s="84"/>
      <c r="AO563" s="84"/>
      <c r="AP563" s="89"/>
      <c r="AQ563" s="90"/>
      <c r="AR563" s="84"/>
      <c r="AS563" s="86"/>
    </row>
    <row r="564" spans="1:45" x14ac:dyDescent="0.35">
      <c r="A564" s="88"/>
      <c r="B564" s="84"/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96"/>
      <c r="N564" s="84"/>
      <c r="O564" s="84"/>
      <c r="P564" s="84"/>
      <c r="Q564" s="84"/>
      <c r="R564" s="84"/>
      <c r="S564" s="84"/>
      <c r="T564" s="84"/>
      <c r="U564" s="84"/>
      <c r="V564" s="84"/>
      <c r="W564" s="84"/>
      <c r="X564" s="84"/>
      <c r="Y564" s="84"/>
      <c r="Z564" s="84"/>
      <c r="AA564" s="84"/>
      <c r="AB564" s="84"/>
      <c r="AC564" s="84"/>
      <c r="AD564" s="84"/>
      <c r="AE564" s="84"/>
      <c r="AF564" s="84"/>
      <c r="AG564" s="84"/>
      <c r="AH564" s="84"/>
      <c r="AI564" s="84"/>
      <c r="AJ564" s="84"/>
      <c r="AK564" s="84"/>
      <c r="AL564" s="84"/>
      <c r="AM564" s="84"/>
      <c r="AN564" s="84"/>
      <c r="AO564" s="84"/>
      <c r="AP564" s="89"/>
      <c r="AQ564" s="90"/>
      <c r="AR564" s="84"/>
      <c r="AS564" s="86"/>
    </row>
    <row r="565" spans="1:45" x14ac:dyDescent="0.35">
      <c r="A565" s="88"/>
      <c r="B565" s="84"/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96"/>
      <c r="N565" s="84"/>
      <c r="O565" s="84"/>
      <c r="P565" s="84"/>
      <c r="Q565" s="84"/>
      <c r="R565" s="84"/>
      <c r="S565" s="84"/>
      <c r="T565" s="84"/>
      <c r="U565" s="84"/>
      <c r="V565" s="84"/>
      <c r="W565" s="84"/>
      <c r="X565" s="84"/>
      <c r="Y565" s="84"/>
      <c r="Z565" s="84"/>
      <c r="AA565" s="84"/>
      <c r="AB565" s="84"/>
      <c r="AC565" s="84"/>
      <c r="AD565" s="84"/>
      <c r="AE565" s="84"/>
      <c r="AF565" s="84"/>
      <c r="AG565" s="84"/>
      <c r="AH565" s="84"/>
      <c r="AI565" s="84"/>
      <c r="AJ565" s="84"/>
      <c r="AK565" s="84"/>
      <c r="AL565" s="84"/>
      <c r="AM565" s="84"/>
      <c r="AN565" s="84"/>
      <c r="AO565" s="84"/>
      <c r="AP565" s="89"/>
      <c r="AQ565" s="90"/>
      <c r="AR565" s="84"/>
      <c r="AS565" s="86"/>
    </row>
    <row r="566" spans="1:45" x14ac:dyDescent="0.35">
      <c r="A566" s="88"/>
      <c r="B566" s="84"/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96"/>
      <c r="N566" s="84"/>
      <c r="O566" s="84"/>
      <c r="P566" s="84"/>
      <c r="Q566" s="84"/>
      <c r="R566" s="84"/>
      <c r="S566" s="84"/>
      <c r="T566" s="84"/>
      <c r="U566" s="84"/>
      <c r="V566" s="84"/>
      <c r="W566" s="84"/>
      <c r="X566" s="84"/>
      <c r="Y566" s="84"/>
      <c r="Z566" s="84"/>
      <c r="AA566" s="84"/>
      <c r="AB566" s="84"/>
      <c r="AC566" s="84"/>
      <c r="AD566" s="84"/>
      <c r="AE566" s="84"/>
      <c r="AF566" s="84"/>
      <c r="AG566" s="84"/>
      <c r="AH566" s="84"/>
      <c r="AI566" s="84"/>
      <c r="AJ566" s="84"/>
      <c r="AK566" s="84"/>
      <c r="AL566" s="84"/>
      <c r="AM566" s="84"/>
      <c r="AN566" s="84"/>
      <c r="AO566" s="84"/>
      <c r="AP566" s="89"/>
      <c r="AQ566" s="90"/>
      <c r="AR566" s="84"/>
      <c r="AS566" s="86"/>
    </row>
    <row r="567" spans="1:45" x14ac:dyDescent="0.35">
      <c r="A567" s="88"/>
      <c r="B567" s="84"/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96"/>
      <c r="N567" s="84"/>
      <c r="O567" s="84"/>
      <c r="P567" s="84"/>
      <c r="Q567" s="84"/>
      <c r="R567" s="84"/>
      <c r="S567" s="84"/>
      <c r="T567" s="84"/>
      <c r="U567" s="84"/>
      <c r="V567" s="84"/>
      <c r="W567" s="84"/>
      <c r="X567" s="84"/>
      <c r="Y567" s="84"/>
      <c r="Z567" s="84"/>
      <c r="AA567" s="84"/>
      <c r="AB567" s="84"/>
      <c r="AC567" s="84"/>
      <c r="AD567" s="84"/>
      <c r="AE567" s="84"/>
      <c r="AF567" s="84"/>
      <c r="AG567" s="84"/>
      <c r="AH567" s="84"/>
      <c r="AI567" s="84"/>
      <c r="AJ567" s="84"/>
      <c r="AK567" s="84"/>
      <c r="AL567" s="84"/>
      <c r="AM567" s="84"/>
      <c r="AN567" s="84"/>
      <c r="AO567" s="84"/>
      <c r="AP567" s="89"/>
      <c r="AQ567" s="90"/>
      <c r="AR567" s="84"/>
      <c r="AS567" s="86"/>
    </row>
  </sheetData>
  <sortState xmlns:xlrd2="http://schemas.microsoft.com/office/spreadsheetml/2017/richdata2" ref="A15:AT34">
    <sortCondition ref="H27:H179"/>
  </sortState>
  <conditionalFormatting sqref="B123:C128">
    <cfRule type="expression" dxfId="4" priority="1">
      <formula>$B$123=MIN($B$123,$C$123)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eleccionarMaterialesYAbrirProveedor">
                <anchor moveWithCells="1" sizeWithCells="1">
                  <from>
                    <xdr:col>1</xdr:col>
                    <xdr:colOff>565150</xdr:colOff>
                    <xdr:row>274</xdr:row>
                    <xdr:rowOff>107950</xdr:rowOff>
                  </from>
                  <to>
                    <xdr:col>4</xdr:col>
                    <xdr:colOff>514350</xdr:colOff>
                    <xdr:row>277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0E87-2D24-4772-9A7D-372DD9F7B5A7}">
  <sheetPr codeName="Solped4"/>
  <dimension ref="A1:XFD567"/>
  <sheetViews>
    <sheetView zoomScale="85" zoomScaleNormal="85" workbookViewId="0">
      <pane ySplit="1" topLeftCell="A10" activePane="bottomLeft" state="frozen"/>
      <selection activeCell="Y1" sqref="Y1"/>
      <selection pane="bottomLeft" activeCell="D56" sqref="D56"/>
    </sheetView>
  </sheetViews>
  <sheetFormatPr baseColWidth="10" defaultColWidth="8.7265625" defaultRowHeight="14.5" x14ac:dyDescent="0.35"/>
  <cols>
    <col min="1" max="1" width="15.81640625" style="20" bestFit="1" customWidth="1"/>
    <col min="2" max="2" width="11.36328125" style="20" customWidth="1"/>
    <col min="3" max="3" width="8.7265625" style="20"/>
    <col min="4" max="4" width="16.81640625" style="20" customWidth="1"/>
    <col min="5" max="5" width="45.08984375" style="20" bestFit="1" customWidth="1"/>
    <col min="6" max="6" width="8.90625" style="20" bestFit="1" customWidth="1"/>
    <col min="7" max="10" width="8.7265625" style="20"/>
    <col min="11" max="11" width="23.36328125" style="20" bestFit="1" customWidth="1"/>
    <col min="12" max="12" width="45" style="20" bestFit="1" customWidth="1"/>
    <col min="13" max="13" width="13.6328125" style="34" customWidth="1"/>
    <col min="14" max="14" width="8.7265625" style="20"/>
    <col min="15" max="15" width="8.90625" style="20" bestFit="1" customWidth="1"/>
    <col min="16" max="16" width="8.7265625" style="20"/>
    <col min="17" max="18" width="8.90625" style="20" bestFit="1" customWidth="1"/>
    <col min="19" max="19" width="11.54296875" style="20" bestFit="1" customWidth="1"/>
    <col min="20" max="24" width="8.7265625" style="20"/>
    <col min="25" max="25" width="8.90625" style="20" bestFit="1" customWidth="1"/>
    <col min="26" max="31" width="8.7265625" style="20"/>
    <col min="32" max="36" width="8.90625" style="20" bestFit="1" customWidth="1"/>
    <col min="37" max="37" width="8.7265625" style="20"/>
    <col min="38" max="38" width="8.90625" style="20" bestFit="1" customWidth="1"/>
    <col min="39" max="39" width="50.26953125" style="20" bestFit="1" customWidth="1"/>
    <col min="40" max="40" width="21.453125" style="20" bestFit="1" customWidth="1"/>
    <col min="41" max="41" width="10" style="20" bestFit="1" customWidth="1"/>
    <col min="42" max="42" width="12.36328125" style="20" bestFit="1" customWidth="1"/>
    <col min="43" max="43" width="8.81640625" style="20" bestFit="1" customWidth="1"/>
    <col min="44" max="44" width="10.1796875" style="20" bestFit="1" customWidth="1"/>
    <col min="45" max="45" width="10.36328125" style="20" bestFit="1" customWidth="1"/>
    <col min="46" max="46" width="11.6328125" style="28" bestFit="1" customWidth="1"/>
    <col min="47" max="47" width="14.1796875" style="21" bestFit="1" customWidth="1"/>
    <col min="48" max="48" width="16.26953125" style="21" bestFit="1" customWidth="1"/>
    <col min="49" max="49" width="92.36328125" style="21" bestFit="1" customWidth="1"/>
    <col min="50" max="16384" width="8.7265625" style="20"/>
  </cols>
  <sheetData>
    <row r="1" spans="1:49 16384:16384" x14ac:dyDescent="0.35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7</v>
      </c>
      <c r="R1" s="8" t="s">
        <v>16</v>
      </c>
      <c r="S1" s="8" t="s">
        <v>17</v>
      </c>
      <c r="T1" s="8" t="s">
        <v>18</v>
      </c>
      <c r="U1" s="8" t="s">
        <v>19</v>
      </c>
      <c r="V1" s="8" t="s">
        <v>20</v>
      </c>
      <c r="W1" s="8" t="s">
        <v>21</v>
      </c>
      <c r="X1" s="8" t="s">
        <v>22</v>
      </c>
      <c r="Y1" s="8" t="s">
        <v>23</v>
      </c>
      <c r="Z1" s="8" t="s">
        <v>24</v>
      </c>
      <c r="AA1" s="8" t="s">
        <v>25</v>
      </c>
      <c r="AB1" s="8" t="s">
        <v>26</v>
      </c>
      <c r="AC1" s="8" t="s">
        <v>27</v>
      </c>
      <c r="AD1" s="8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8" t="s">
        <v>33</v>
      </c>
      <c r="AJ1" s="8" t="s">
        <v>34</v>
      </c>
      <c r="AK1" s="8" t="s">
        <v>13</v>
      </c>
      <c r="AL1" s="8" t="s">
        <v>35</v>
      </c>
      <c r="AM1" s="8" t="s">
        <v>36</v>
      </c>
      <c r="AN1" s="8" t="s">
        <v>37</v>
      </c>
      <c r="AO1" s="8" t="s">
        <v>169</v>
      </c>
      <c r="AP1" s="9" t="s">
        <v>38</v>
      </c>
      <c r="AQ1" s="10" t="s">
        <v>39</v>
      </c>
      <c r="AR1" s="8" t="s">
        <v>40</v>
      </c>
      <c r="AS1" s="8" t="s">
        <v>41</v>
      </c>
      <c r="AT1" s="19"/>
      <c r="AU1" s="21" t="s">
        <v>648</v>
      </c>
      <c r="AV1" s="21" t="s">
        <v>649</v>
      </c>
      <c r="AW1" s="21" t="s">
        <v>650</v>
      </c>
      <c r="XFD1" s="20">
        <v>4</v>
      </c>
    </row>
    <row r="2" spans="1:49 16384:16384" x14ac:dyDescent="0.35">
      <c r="A2" s="66">
        <v>46127</v>
      </c>
      <c r="B2" s="67" t="s">
        <v>235</v>
      </c>
      <c r="C2" s="67" t="s">
        <v>42</v>
      </c>
      <c r="D2" s="67">
        <v>14906677</v>
      </c>
      <c r="E2" s="67" t="s">
        <v>236</v>
      </c>
      <c r="F2" s="67">
        <v>1</v>
      </c>
      <c r="G2" s="67" t="s">
        <v>43</v>
      </c>
      <c r="H2" s="67" t="s">
        <v>44</v>
      </c>
      <c r="I2" s="67" t="s">
        <v>45</v>
      </c>
      <c r="J2" s="67" t="s">
        <v>45</v>
      </c>
      <c r="K2" s="67"/>
      <c r="L2" s="67"/>
      <c r="M2" s="67"/>
      <c r="N2" s="67"/>
      <c r="O2" s="67"/>
      <c r="P2" s="67"/>
      <c r="Q2" s="67"/>
      <c r="R2" s="67"/>
      <c r="S2" s="67"/>
      <c r="T2" s="67" t="s">
        <v>225</v>
      </c>
      <c r="U2" s="67" t="s">
        <v>237</v>
      </c>
      <c r="V2" s="67" t="s">
        <v>70</v>
      </c>
      <c r="W2" s="67" t="s">
        <v>84</v>
      </c>
      <c r="X2" s="67" t="s">
        <v>49</v>
      </c>
      <c r="Y2" s="67">
        <v>0</v>
      </c>
      <c r="Z2" s="67" t="s">
        <v>131</v>
      </c>
      <c r="AA2" s="67" t="s">
        <v>85</v>
      </c>
      <c r="AB2" s="67" t="s">
        <v>61</v>
      </c>
      <c r="AC2" s="67" t="s">
        <v>271</v>
      </c>
      <c r="AD2" s="67" t="s">
        <v>42</v>
      </c>
      <c r="AE2" s="67">
        <v>46133</v>
      </c>
      <c r="AF2" s="67">
        <v>46127</v>
      </c>
      <c r="AG2" s="67">
        <v>46127</v>
      </c>
      <c r="AH2" s="67">
        <v>46128</v>
      </c>
      <c r="AI2" s="67">
        <v>0</v>
      </c>
      <c r="AJ2" s="67">
        <v>1162.04</v>
      </c>
      <c r="AK2" s="67" t="s">
        <v>46</v>
      </c>
      <c r="AL2" s="67">
        <v>1162.04</v>
      </c>
      <c r="AM2" s="67" t="s">
        <v>238</v>
      </c>
      <c r="AN2" s="67">
        <v>4214850</v>
      </c>
      <c r="AO2" s="67"/>
      <c r="AP2" s="68" t="s">
        <v>239</v>
      </c>
      <c r="AQ2" s="69">
        <v>-11</v>
      </c>
      <c r="AR2" s="67" t="s">
        <v>53</v>
      </c>
      <c r="AS2" s="67" t="s">
        <v>54</v>
      </c>
      <c r="AT2" s="70"/>
      <c r="AU2" s="71" t="s">
        <v>510</v>
      </c>
      <c r="AV2" s="72">
        <v>46141.588240740741</v>
      </c>
      <c r="AW2" s="71" t="s">
        <v>656</v>
      </c>
    </row>
    <row r="3" spans="1:49 16384:16384" s="56" customFormat="1" x14ac:dyDescent="0.35">
      <c r="A3" s="39">
        <v>46135</v>
      </c>
      <c r="B3" s="40" t="s">
        <v>321</v>
      </c>
      <c r="C3" s="40" t="s">
        <v>42</v>
      </c>
      <c r="D3" s="40">
        <v>14902733</v>
      </c>
      <c r="E3" s="40" t="s">
        <v>322</v>
      </c>
      <c r="F3" s="40">
        <v>1</v>
      </c>
      <c r="G3" s="40" t="s">
        <v>43</v>
      </c>
      <c r="H3" s="40" t="s">
        <v>44</v>
      </c>
      <c r="I3" s="40" t="s">
        <v>45</v>
      </c>
      <c r="J3" s="40" t="s">
        <v>45</v>
      </c>
      <c r="K3" s="39">
        <v>46122</v>
      </c>
      <c r="L3" s="40" t="s">
        <v>645</v>
      </c>
      <c r="M3" s="54">
        <v>1550</v>
      </c>
      <c r="N3" s="40" t="s">
        <v>46</v>
      </c>
      <c r="O3" s="40">
        <v>1</v>
      </c>
      <c r="P3" s="40" t="s">
        <v>43</v>
      </c>
      <c r="Q3" s="40">
        <v>1207</v>
      </c>
      <c r="R3" s="40">
        <v>1</v>
      </c>
      <c r="S3" s="40">
        <v>4500899918</v>
      </c>
      <c r="T3" s="40" t="s">
        <v>225</v>
      </c>
      <c r="U3" s="40" t="s">
        <v>518</v>
      </c>
      <c r="V3" s="40" t="s">
        <v>70</v>
      </c>
      <c r="W3" s="40" t="s">
        <v>84</v>
      </c>
      <c r="X3" s="40" t="s">
        <v>49</v>
      </c>
      <c r="Y3" s="40">
        <v>0</v>
      </c>
      <c r="Z3" s="40" t="s">
        <v>50</v>
      </c>
      <c r="AA3" s="40" t="s">
        <v>87</v>
      </c>
      <c r="AB3" s="40" t="s">
        <v>61</v>
      </c>
      <c r="AC3" s="40"/>
      <c r="AD3" s="40" t="s">
        <v>52</v>
      </c>
      <c r="AE3" s="40"/>
      <c r="AF3" s="40">
        <v>46135</v>
      </c>
      <c r="AG3" s="40">
        <v>46140</v>
      </c>
      <c r="AH3" s="40">
        <v>46136</v>
      </c>
      <c r="AI3" s="40">
        <v>0</v>
      </c>
      <c r="AJ3" s="40">
        <v>1332.05</v>
      </c>
      <c r="AK3" s="40" t="s">
        <v>46</v>
      </c>
      <c r="AL3" s="40">
        <v>1332.05</v>
      </c>
      <c r="AM3" s="40" t="s">
        <v>324</v>
      </c>
      <c r="AN3" s="40">
        <v>4215864</v>
      </c>
      <c r="AO3" s="40"/>
      <c r="AP3" s="41" t="s">
        <v>325</v>
      </c>
      <c r="AQ3" s="42">
        <v>-3</v>
      </c>
      <c r="AR3" s="40" t="s">
        <v>53</v>
      </c>
      <c r="AS3" s="40" t="s">
        <v>54</v>
      </c>
      <c r="AT3" s="63"/>
      <c r="AU3" s="55"/>
      <c r="AV3" s="55"/>
      <c r="AW3" s="55"/>
    </row>
    <row r="4" spans="1:49 16384:16384" s="56" customFormat="1" ht="14" customHeight="1" x14ac:dyDescent="0.35">
      <c r="A4" s="39">
        <v>46135</v>
      </c>
      <c r="B4" s="40" t="s">
        <v>326</v>
      </c>
      <c r="C4" s="40" t="s">
        <v>42</v>
      </c>
      <c r="D4" s="40">
        <v>14904175</v>
      </c>
      <c r="E4" s="40" t="s">
        <v>327</v>
      </c>
      <c r="F4" s="40">
        <v>1</v>
      </c>
      <c r="G4" s="40" t="s">
        <v>43</v>
      </c>
      <c r="H4" s="40" t="s">
        <v>44</v>
      </c>
      <c r="I4" s="40" t="s">
        <v>45</v>
      </c>
      <c r="J4" s="40" t="s">
        <v>45</v>
      </c>
      <c r="K4" s="39">
        <v>46017</v>
      </c>
      <c r="L4" s="40" t="s">
        <v>645</v>
      </c>
      <c r="M4" s="40">
        <v>900</v>
      </c>
      <c r="N4" s="40" t="s">
        <v>46</v>
      </c>
      <c r="O4" s="40">
        <v>1</v>
      </c>
      <c r="P4" s="40" t="s">
        <v>43</v>
      </c>
      <c r="Q4" s="40">
        <v>1207</v>
      </c>
      <c r="R4" s="40">
        <v>1</v>
      </c>
      <c r="S4" s="40">
        <v>4500882483</v>
      </c>
      <c r="T4" s="40" t="s">
        <v>225</v>
      </c>
      <c r="U4" s="40" t="s">
        <v>518</v>
      </c>
      <c r="V4" s="40" t="s">
        <v>70</v>
      </c>
      <c r="W4" s="40" t="s">
        <v>84</v>
      </c>
      <c r="X4" s="40" t="s">
        <v>49</v>
      </c>
      <c r="Y4" s="40">
        <v>0</v>
      </c>
      <c r="Z4" s="40" t="s">
        <v>50</v>
      </c>
      <c r="AA4" s="40" t="s">
        <v>87</v>
      </c>
      <c r="AB4" s="40" t="s">
        <v>61</v>
      </c>
      <c r="AC4" s="40"/>
      <c r="AD4" s="40" t="s">
        <v>52</v>
      </c>
      <c r="AE4" s="40"/>
      <c r="AF4" s="40">
        <v>46135</v>
      </c>
      <c r="AG4" s="40">
        <v>46140</v>
      </c>
      <c r="AH4" s="40">
        <v>46136</v>
      </c>
      <c r="AI4" s="40">
        <v>0</v>
      </c>
      <c r="AJ4" s="40">
        <v>690.93</v>
      </c>
      <c r="AK4" s="40" t="s">
        <v>46</v>
      </c>
      <c r="AL4" s="40">
        <v>690.93</v>
      </c>
      <c r="AM4" s="40" t="s">
        <v>328</v>
      </c>
      <c r="AN4" s="40">
        <v>4215865</v>
      </c>
      <c r="AO4" s="40"/>
      <c r="AP4" s="41" t="s">
        <v>329</v>
      </c>
      <c r="AQ4" s="42">
        <v>-3</v>
      </c>
      <c r="AR4" s="40" t="s">
        <v>53</v>
      </c>
      <c r="AS4" s="40" t="s">
        <v>54</v>
      </c>
      <c r="AT4" s="63"/>
      <c r="AU4" s="55"/>
      <c r="AV4" s="55"/>
      <c r="AW4" s="55"/>
    </row>
    <row r="5" spans="1:49 16384:16384" s="56" customFormat="1" x14ac:dyDescent="0.35">
      <c r="A5" s="39">
        <v>46140</v>
      </c>
      <c r="B5" s="40" t="s">
        <v>519</v>
      </c>
      <c r="C5" s="40" t="s">
        <v>42</v>
      </c>
      <c r="D5" s="40">
        <v>14902733</v>
      </c>
      <c r="E5" s="40" t="s">
        <v>322</v>
      </c>
      <c r="F5" s="40">
        <v>1</v>
      </c>
      <c r="G5" s="40" t="s">
        <v>43</v>
      </c>
      <c r="H5" s="40" t="s">
        <v>44</v>
      </c>
      <c r="I5" s="40" t="s">
        <v>45</v>
      </c>
      <c r="J5" s="40" t="s">
        <v>45</v>
      </c>
      <c r="K5" s="39">
        <v>46122</v>
      </c>
      <c r="L5" s="40" t="s">
        <v>645</v>
      </c>
      <c r="M5" s="54">
        <v>1550</v>
      </c>
      <c r="N5" s="40" t="s">
        <v>46</v>
      </c>
      <c r="O5" s="40">
        <v>1</v>
      </c>
      <c r="P5" s="40" t="s">
        <v>43</v>
      </c>
      <c r="Q5" s="40">
        <v>1207</v>
      </c>
      <c r="R5" s="40">
        <v>1</v>
      </c>
      <c r="S5" s="40">
        <v>4500899918</v>
      </c>
      <c r="T5" s="40" t="s">
        <v>225</v>
      </c>
      <c r="U5" s="40" t="s">
        <v>520</v>
      </c>
      <c r="V5" s="40" t="s">
        <v>70</v>
      </c>
      <c r="W5" s="40" t="s">
        <v>84</v>
      </c>
      <c r="X5" s="40" t="s">
        <v>49</v>
      </c>
      <c r="Y5" s="40">
        <v>0</v>
      </c>
      <c r="Z5" s="40" t="s">
        <v>50</v>
      </c>
      <c r="AA5" s="40" t="s">
        <v>87</v>
      </c>
      <c r="AB5" s="40" t="s">
        <v>61</v>
      </c>
      <c r="AC5" s="40"/>
      <c r="AD5" s="40" t="s">
        <v>52</v>
      </c>
      <c r="AE5" s="40"/>
      <c r="AF5" s="40">
        <v>46140</v>
      </c>
      <c r="AG5" s="40">
        <v>46140</v>
      </c>
      <c r="AH5" s="40">
        <v>46141</v>
      </c>
      <c r="AI5" s="40">
        <v>0</v>
      </c>
      <c r="AJ5" s="40">
        <v>1332.05</v>
      </c>
      <c r="AK5" s="40" t="s">
        <v>46</v>
      </c>
      <c r="AL5" s="40">
        <v>1332.05</v>
      </c>
      <c r="AM5" s="40" t="s">
        <v>521</v>
      </c>
      <c r="AN5" s="40">
        <v>4216127</v>
      </c>
      <c r="AO5" s="40"/>
      <c r="AP5" s="41" t="s">
        <v>522</v>
      </c>
      <c r="AQ5" s="42">
        <v>2</v>
      </c>
      <c r="AR5" s="40" t="s">
        <v>62</v>
      </c>
      <c r="AS5" s="40" t="s">
        <v>54</v>
      </c>
      <c r="AT5" s="63"/>
      <c r="AU5" s="55"/>
      <c r="AV5" s="55"/>
      <c r="AW5" s="55"/>
    </row>
    <row r="6" spans="1:49 16384:16384" s="56" customFormat="1" x14ac:dyDescent="0.35">
      <c r="A6" s="39">
        <v>46140</v>
      </c>
      <c r="B6" s="40" t="s">
        <v>523</v>
      </c>
      <c r="C6" s="40" t="s">
        <v>42</v>
      </c>
      <c r="D6" s="40">
        <v>14902733</v>
      </c>
      <c r="E6" s="40" t="s">
        <v>322</v>
      </c>
      <c r="F6" s="40">
        <v>1</v>
      </c>
      <c r="G6" s="40" t="s">
        <v>43</v>
      </c>
      <c r="H6" s="40" t="s">
        <v>44</v>
      </c>
      <c r="I6" s="40" t="s">
        <v>45</v>
      </c>
      <c r="J6" s="40" t="s">
        <v>45</v>
      </c>
      <c r="K6" s="39">
        <v>46122</v>
      </c>
      <c r="L6" s="40" t="s">
        <v>645</v>
      </c>
      <c r="M6" s="54">
        <v>1550</v>
      </c>
      <c r="N6" s="40" t="s">
        <v>46</v>
      </c>
      <c r="O6" s="40">
        <v>1</v>
      </c>
      <c r="P6" s="40" t="s">
        <v>43</v>
      </c>
      <c r="Q6" s="40">
        <v>1207</v>
      </c>
      <c r="R6" s="40">
        <v>1</v>
      </c>
      <c r="S6" s="40">
        <v>4500899918</v>
      </c>
      <c r="T6" s="40" t="s">
        <v>225</v>
      </c>
      <c r="U6" s="40" t="s">
        <v>524</v>
      </c>
      <c r="V6" s="40" t="s">
        <v>70</v>
      </c>
      <c r="W6" s="40" t="s">
        <v>84</v>
      </c>
      <c r="X6" s="40" t="s">
        <v>49</v>
      </c>
      <c r="Y6" s="40">
        <v>0</v>
      </c>
      <c r="Z6" s="40" t="s">
        <v>50</v>
      </c>
      <c r="AA6" s="40" t="s">
        <v>87</v>
      </c>
      <c r="AB6" s="40" t="s">
        <v>61</v>
      </c>
      <c r="AC6" s="40"/>
      <c r="AD6" s="40" t="s">
        <v>52</v>
      </c>
      <c r="AE6" s="40"/>
      <c r="AF6" s="40">
        <v>46140</v>
      </c>
      <c r="AG6" s="40">
        <v>46140</v>
      </c>
      <c r="AH6" s="40">
        <v>46141</v>
      </c>
      <c r="AI6" s="40">
        <v>0</v>
      </c>
      <c r="AJ6" s="40">
        <v>1332.05</v>
      </c>
      <c r="AK6" s="40" t="s">
        <v>46</v>
      </c>
      <c r="AL6" s="40">
        <v>1332.05</v>
      </c>
      <c r="AM6" s="40" t="s">
        <v>525</v>
      </c>
      <c r="AN6" s="40">
        <v>4216128</v>
      </c>
      <c r="AO6" s="40"/>
      <c r="AP6" s="41" t="s">
        <v>526</v>
      </c>
      <c r="AQ6" s="42">
        <v>2</v>
      </c>
      <c r="AR6" s="40" t="s">
        <v>62</v>
      </c>
      <c r="AS6" s="40" t="s">
        <v>54</v>
      </c>
      <c r="AT6" s="63"/>
      <c r="AU6" s="55"/>
      <c r="AV6" s="55"/>
      <c r="AW6" s="55"/>
    </row>
    <row r="7" spans="1:49 16384:16384" s="56" customFormat="1" x14ac:dyDescent="0.35">
      <c r="A7" s="39">
        <v>46140</v>
      </c>
      <c r="B7" s="40" t="s">
        <v>527</v>
      </c>
      <c r="C7" s="40" t="s">
        <v>42</v>
      </c>
      <c r="D7" s="40">
        <v>14904352</v>
      </c>
      <c r="E7" s="40" t="s">
        <v>528</v>
      </c>
      <c r="F7" s="40">
        <v>1</v>
      </c>
      <c r="G7" s="40" t="s">
        <v>43</v>
      </c>
      <c r="H7" s="40" t="s">
        <v>44</v>
      </c>
      <c r="I7" s="40" t="s">
        <v>45</v>
      </c>
      <c r="J7" s="40" t="s">
        <v>45</v>
      </c>
      <c r="K7" s="40"/>
      <c r="L7" s="40" t="s">
        <v>645</v>
      </c>
      <c r="M7" s="40">
        <v>1200</v>
      </c>
      <c r="N7" s="40" t="s">
        <v>46</v>
      </c>
      <c r="O7" s="40"/>
      <c r="P7" s="40"/>
      <c r="Q7" s="40"/>
      <c r="R7" s="40"/>
      <c r="S7" s="40"/>
      <c r="T7" s="40" t="s">
        <v>225</v>
      </c>
      <c r="U7" s="40" t="s">
        <v>529</v>
      </c>
      <c r="V7" s="40" t="s">
        <v>70</v>
      </c>
      <c r="W7" s="40" t="s">
        <v>84</v>
      </c>
      <c r="X7" s="40" t="s">
        <v>49</v>
      </c>
      <c r="Y7" s="40">
        <v>0</v>
      </c>
      <c r="Z7" s="40" t="s">
        <v>50</v>
      </c>
      <c r="AA7" s="40" t="s">
        <v>87</v>
      </c>
      <c r="AB7" s="40" t="s">
        <v>61</v>
      </c>
      <c r="AC7" s="40"/>
      <c r="AD7" s="40" t="s">
        <v>52</v>
      </c>
      <c r="AE7" s="40"/>
      <c r="AF7" s="40">
        <v>46140</v>
      </c>
      <c r="AG7" s="40">
        <v>46140</v>
      </c>
      <c r="AH7" s="40">
        <v>46141</v>
      </c>
      <c r="AI7" s="40">
        <v>0</v>
      </c>
      <c r="AJ7" s="40">
        <v>1428.9</v>
      </c>
      <c r="AK7" s="40" t="s">
        <v>46</v>
      </c>
      <c r="AL7" s="40">
        <v>1428.9</v>
      </c>
      <c r="AM7" s="40" t="s">
        <v>530</v>
      </c>
      <c r="AN7" s="40">
        <v>4216129</v>
      </c>
      <c r="AO7" s="40"/>
      <c r="AP7" s="41" t="s">
        <v>531</v>
      </c>
      <c r="AQ7" s="42">
        <v>2</v>
      </c>
      <c r="AR7" s="40" t="s">
        <v>62</v>
      </c>
      <c r="AS7" s="40" t="s">
        <v>54</v>
      </c>
      <c r="AT7" s="63"/>
      <c r="AU7" s="55"/>
      <c r="AV7" s="55"/>
      <c r="AW7" s="55"/>
    </row>
    <row r="8" spans="1:49 16384:16384" s="56" customFormat="1" x14ac:dyDescent="0.35">
      <c r="A8" s="39">
        <v>46140</v>
      </c>
      <c r="B8" s="40" t="s">
        <v>532</v>
      </c>
      <c r="C8" s="40" t="s">
        <v>42</v>
      </c>
      <c r="D8" s="40">
        <v>14904175</v>
      </c>
      <c r="E8" s="40" t="s">
        <v>327</v>
      </c>
      <c r="F8" s="40">
        <v>1</v>
      </c>
      <c r="G8" s="40" t="s">
        <v>43</v>
      </c>
      <c r="H8" s="40" t="s">
        <v>44</v>
      </c>
      <c r="I8" s="40" t="s">
        <v>45</v>
      </c>
      <c r="J8" s="40" t="s">
        <v>45</v>
      </c>
      <c r="K8" s="39">
        <v>46017</v>
      </c>
      <c r="L8" s="40" t="s">
        <v>645</v>
      </c>
      <c r="M8" s="40">
        <v>900</v>
      </c>
      <c r="N8" s="40" t="s">
        <v>46</v>
      </c>
      <c r="O8" s="40">
        <v>1</v>
      </c>
      <c r="P8" s="40" t="s">
        <v>43</v>
      </c>
      <c r="Q8" s="40">
        <v>1207</v>
      </c>
      <c r="R8" s="40">
        <v>1</v>
      </c>
      <c r="S8" s="40">
        <v>4500882483</v>
      </c>
      <c r="T8" s="40" t="s">
        <v>225</v>
      </c>
      <c r="U8" s="40" t="s">
        <v>533</v>
      </c>
      <c r="V8" s="40" t="s">
        <v>70</v>
      </c>
      <c r="W8" s="40" t="s">
        <v>84</v>
      </c>
      <c r="X8" s="40" t="s">
        <v>49</v>
      </c>
      <c r="Y8" s="40">
        <v>0</v>
      </c>
      <c r="Z8" s="40" t="s">
        <v>50</v>
      </c>
      <c r="AA8" s="40" t="s">
        <v>87</v>
      </c>
      <c r="AB8" s="40" t="s">
        <v>61</v>
      </c>
      <c r="AC8" s="40"/>
      <c r="AD8" s="40" t="s">
        <v>52</v>
      </c>
      <c r="AE8" s="40"/>
      <c r="AF8" s="40">
        <v>46140</v>
      </c>
      <c r="AG8" s="40">
        <v>46140</v>
      </c>
      <c r="AH8" s="40">
        <v>46141</v>
      </c>
      <c r="AI8" s="40">
        <v>0</v>
      </c>
      <c r="AJ8" s="40">
        <v>690.92</v>
      </c>
      <c r="AK8" s="40" t="s">
        <v>46</v>
      </c>
      <c r="AL8" s="40">
        <v>690.92</v>
      </c>
      <c r="AM8" s="40" t="s">
        <v>534</v>
      </c>
      <c r="AN8" s="40">
        <v>4216130</v>
      </c>
      <c r="AO8" s="40"/>
      <c r="AP8" s="41" t="s">
        <v>535</v>
      </c>
      <c r="AQ8" s="42">
        <v>2</v>
      </c>
      <c r="AR8" s="40" t="s">
        <v>62</v>
      </c>
      <c r="AS8" s="40" t="s">
        <v>54</v>
      </c>
      <c r="AT8" s="63"/>
      <c r="AU8" s="55"/>
      <c r="AV8" s="55"/>
      <c r="AW8" s="55"/>
    </row>
    <row r="9" spans="1:49 16384:16384" x14ac:dyDescent="0.35">
      <c r="A9" s="11">
        <v>46141</v>
      </c>
      <c r="B9" s="1" t="s">
        <v>536</v>
      </c>
      <c r="C9" s="1" t="s">
        <v>81</v>
      </c>
      <c r="D9" s="1">
        <v>14073735</v>
      </c>
      <c r="E9" s="1" t="s">
        <v>537</v>
      </c>
      <c r="F9" s="1">
        <v>48</v>
      </c>
      <c r="G9" s="1" t="s">
        <v>43</v>
      </c>
      <c r="H9" s="1" t="s">
        <v>44</v>
      </c>
      <c r="I9" s="1">
        <v>35.682203389830512</v>
      </c>
      <c r="J9" s="1">
        <v>152326</v>
      </c>
      <c r="K9" s="11">
        <v>46062</v>
      </c>
      <c r="L9" s="1" t="s">
        <v>538</v>
      </c>
      <c r="M9" s="1">
        <v>35.68</v>
      </c>
      <c r="N9" s="1" t="s">
        <v>46</v>
      </c>
      <c r="O9" s="1">
        <v>1</v>
      </c>
      <c r="P9" s="1" t="s">
        <v>43</v>
      </c>
      <c r="Q9" s="1">
        <v>1207</v>
      </c>
      <c r="R9" s="1">
        <v>48</v>
      </c>
      <c r="S9" s="1">
        <v>4500890081</v>
      </c>
      <c r="T9" s="1" t="s">
        <v>539</v>
      </c>
      <c r="U9" s="1" t="s">
        <v>84</v>
      </c>
      <c r="V9" s="1" t="s">
        <v>47</v>
      </c>
      <c r="W9" s="1" t="s">
        <v>84</v>
      </c>
      <c r="X9" s="1" t="s">
        <v>49</v>
      </c>
      <c r="Y9" s="1">
        <v>0</v>
      </c>
      <c r="Z9" s="1" t="s">
        <v>50</v>
      </c>
      <c r="AA9" s="1" t="s">
        <v>96</v>
      </c>
      <c r="AB9" s="1" t="s">
        <v>83</v>
      </c>
      <c r="AC9" s="1"/>
      <c r="AD9" s="1" t="s">
        <v>52</v>
      </c>
      <c r="AE9" s="1"/>
      <c r="AF9" s="1">
        <v>46141</v>
      </c>
      <c r="AG9" s="1">
        <v>46141</v>
      </c>
      <c r="AH9" s="1">
        <v>46170</v>
      </c>
      <c r="AI9" s="1">
        <v>29</v>
      </c>
      <c r="AJ9" s="1">
        <v>36.630000000000003</v>
      </c>
      <c r="AK9" s="1" t="s">
        <v>46</v>
      </c>
      <c r="AL9" s="1">
        <v>1758.24</v>
      </c>
      <c r="AM9" s="1"/>
      <c r="AN9" s="1"/>
      <c r="AO9" s="1"/>
      <c r="AP9" s="12" t="s">
        <v>540</v>
      </c>
      <c r="AQ9" s="13">
        <v>3</v>
      </c>
      <c r="AR9" s="1" t="s">
        <v>62</v>
      </c>
      <c r="AS9" s="1" t="s">
        <v>54</v>
      </c>
    </row>
    <row r="10" spans="1:49 16384:16384" ht="20.5" customHeight="1" x14ac:dyDescent="0.35">
      <c r="A10" s="11">
        <v>46112</v>
      </c>
      <c r="B10" s="1" t="s">
        <v>137</v>
      </c>
      <c r="C10" s="1" t="s">
        <v>42</v>
      </c>
      <c r="D10" s="61">
        <v>14092062</v>
      </c>
      <c r="E10" s="1" t="s">
        <v>138</v>
      </c>
      <c r="F10" s="1">
        <v>1</v>
      </c>
      <c r="G10" s="1" t="s">
        <v>43</v>
      </c>
      <c r="H10" s="1" t="s">
        <v>92</v>
      </c>
      <c r="I10" s="1" t="s">
        <v>45</v>
      </c>
      <c r="J10" s="1" t="s">
        <v>45</v>
      </c>
      <c r="K10" s="1"/>
      <c r="L10" s="1"/>
      <c r="M10" s="1"/>
      <c r="N10" s="1"/>
      <c r="O10" s="1"/>
      <c r="P10" s="1"/>
      <c r="Q10" s="1"/>
      <c r="R10" s="1"/>
      <c r="S10" s="1"/>
      <c r="T10" s="1" t="s">
        <v>139</v>
      </c>
      <c r="U10" s="1" t="s">
        <v>140</v>
      </c>
      <c r="V10" s="1" t="s">
        <v>135</v>
      </c>
      <c r="W10" s="1" t="s">
        <v>93</v>
      </c>
      <c r="X10" s="1" t="s">
        <v>59</v>
      </c>
      <c r="Y10" s="1">
        <v>0</v>
      </c>
      <c r="Z10" s="1" t="s">
        <v>50</v>
      </c>
      <c r="AA10" s="1" t="s">
        <v>94</v>
      </c>
      <c r="AB10" s="1" t="s">
        <v>61</v>
      </c>
      <c r="AC10" s="1"/>
      <c r="AD10" s="1" t="s">
        <v>52</v>
      </c>
      <c r="AE10" s="1"/>
      <c r="AF10" s="1">
        <v>46112</v>
      </c>
      <c r="AG10" s="1">
        <v>46112</v>
      </c>
      <c r="AH10" s="1">
        <v>46113</v>
      </c>
      <c r="AI10" s="1">
        <v>29</v>
      </c>
      <c r="AJ10" s="1">
        <v>108.75</v>
      </c>
      <c r="AK10" s="1" t="s">
        <v>46</v>
      </c>
      <c r="AL10" s="1">
        <v>108.75</v>
      </c>
      <c r="AM10" s="1" t="s">
        <v>141</v>
      </c>
      <c r="AN10" s="1">
        <v>2017463</v>
      </c>
      <c r="AO10" s="1"/>
      <c r="AP10" s="12" t="s">
        <v>142</v>
      </c>
      <c r="AQ10" s="13">
        <v>-26</v>
      </c>
      <c r="AR10" s="1" t="s">
        <v>53</v>
      </c>
      <c r="AS10" s="1" t="s">
        <v>54</v>
      </c>
    </row>
    <row r="11" spans="1:49 16384:16384" x14ac:dyDescent="0.35">
      <c r="A11" s="11">
        <v>46140</v>
      </c>
      <c r="B11" s="1" t="s">
        <v>541</v>
      </c>
      <c r="C11" s="1" t="s">
        <v>42</v>
      </c>
      <c r="D11" s="1">
        <v>14068341</v>
      </c>
      <c r="E11" s="1" t="s">
        <v>542</v>
      </c>
      <c r="F11" s="1">
        <v>16</v>
      </c>
      <c r="G11" s="1" t="s">
        <v>43</v>
      </c>
      <c r="H11" s="1" t="s">
        <v>75</v>
      </c>
      <c r="I11" s="1" t="s">
        <v>45</v>
      </c>
      <c r="J11" s="1" t="s">
        <v>45</v>
      </c>
      <c r="K11" s="11">
        <v>46007</v>
      </c>
      <c r="L11" s="1" t="s">
        <v>80</v>
      </c>
      <c r="M11" s="1">
        <v>469.37</v>
      </c>
      <c r="N11" s="1" t="s">
        <v>56</v>
      </c>
      <c r="O11" s="1">
        <v>100</v>
      </c>
      <c r="P11" s="1" t="s">
        <v>43</v>
      </c>
      <c r="Q11" s="1">
        <v>1601</v>
      </c>
      <c r="R11" s="1">
        <v>25</v>
      </c>
      <c r="S11" s="1">
        <v>4500880560</v>
      </c>
      <c r="T11" s="1" t="s">
        <v>543</v>
      </c>
      <c r="U11" s="1" t="s">
        <v>544</v>
      </c>
      <c r="V11" s="1" t="s">
        <v>57</v>
      </c>
      <c r="W11" s="1" t="s">
        <v>77</v>
      </c>
      <c r="X11" s="1" t="s">
        <v>59</v>
      </c>
      <c r="Y11" s="1">
        <v>0</v>
      </c>
      <c r="Z11" s="1" t="s">
        <v>50</v>
      </c>
      <c r="AA11" s="1" t="s">
        <v>78</v>
      </c>
      <c r="AB11" s="1" t="s">
        <v>61</v>
      </c>
      <c r="AC11" s="1"/>
      <c r="AD11" s="1" t="s">
        <v>52</v>
      </c>
      <c r="AE11" s="1"/>
      <c r="AF11" s="1">
        <v>46140</v>
      </c>
      <c r="AG11" s="1">
        <v>46140</v>
      </c>
      <c r="AH11" s="1">
        <v>46141</v>
      </c>
      <c r="AI11" s="1">
        <v>0</v>
      </c>
      <c r="AJ11" s="1">
        <v>15.83</v>
      </c>
      <c r="AK11" s="1" t="s">
        <v>46</v>
      </c>
      <c r="AL11" s="1">
        <v>253.28</v>
      </c>
      <c r="AM11" s="1" t="s">
        <v>545</v>
      </c>
      <c r="AN11" s="1">
        <v>6200000131</v>
      </c>
      <c r="AO11" s="1"/>
      <c r="AP11" s="12" t="s">
        <v>546</v>
      </c>
      <c r="AQ11" s="13">
        <v>2</v>
      </c>
      <c r="AR11" s="1" t="s">
        <v>62</v>
      </c>
      <c r="AS11" s="1" t="s">
        <v>54</v>
      </c>
      <c r="AV11" s="65"/>
    </row>
    <row r="12" spans="1:49 16384:16384" x14ac:dyDescent="0.35">
      <c r="A12" s="11">
        <v>46137</v>
      </c>
      <c r="B12" s="1" t="s">
        <v>374</v>
      </c>
      <c r="C12" s="1" t="s">
        <v>64</v>
      </c>
      <c r="D12" s="1">
        <v>14040824</v>
      </c>
      <c r="E12" s="1" t="s">
        <v>375</v>
      </c>
      <c r="F12" s="1">
        <v>5</v>
      </c>
      <c r="G12" s="1" t="s">
        <v>43</v>
      </c>
      <c r="H12" s="1" t="s">
        <v>71</v>
      </c>
      <c r="I12" s="1" t="s">
        <v>45</v>
      </c>
      <c r="J12" s="1" t="s">
        <v>45</v>
      </c>
      <c r="K12" s="11">
        <v>46048</v>
      </c>
      <c r="L12" s="1" t="s">
        <v>80</v>
      </c>
      <c r="M12" s="1">
        <v>440.65</v>
      </c>
      <c r="N12" s="1" t="s">
        <v>56</v>
      </c>
      <c r="O12" s="1">
        <v>1</v>
      </c>
      <c r="P12" s="1" t="s">
        <v>43</v>
      </c>
      <c r="Q12" s="1">
        <v>1102</v>
      </c>
      <c r="R12" s="1">
        <v>4</v>
      </c>
      <c r="S12" s="1">
        <v>4500887670</v>
      </c>
      <c r="T12" s="1" t="s">
        <v>376</v>
      </c>
      <c r="U12" s="1" t="s">
        <v>361</v>
      </c>
      <c r="V12" s="1" t="s">
        <v>70</v>
      </c>
      <c r="W12" s="1" t="s">
        <v>73</v>
      </c>
      <c r="X12" s="1" t="s">
        <v>59</v>
      </c>
      <c r="Y12" s="1">
        <v>0</v>
      </c>
      <c r="Z12" s="1" t="s">
        <v>50</v>
      </c>
      <c r="AA12" s="1" t="s">
        <v>74</v>
      </c>
      <c r="AB12" s="1" t="s">
        <v>61</v>
      </c>
      <c r="AC12" s="1"/>
      <c r="AD12" s="1" t="s">
        <v>52</v>
      </c>
      <c r="AE12" s="1"/>
      <c r="AF12" s="1">
        <v>46137</v>
      </c>
      <c r="AG12" s="1">
        <v>46137</v>
      </c>
      <c r="AH12" s="1">
        <v>46138</v>
      </c>
      <c r="AI12" s="1">
        <v>0</v>
      </c>
      <c r="AJ12" s="1">
        <v>1473.98</v>
      </c>
      <c r="AK12" s="1" t="s">
        <v>46</v>
      </c>
      <c r="AL12" s="1">
        <v>7369.9</v>
      </c>
      <c r="AM12" s="1" t="s">
        <v>377</v>
      </c>
      <c r="AN12" s="1">
        <v>4212177</v>
      </c>
      <c r="AO12" s="1"/>
      <c r="AP12" s="12" t="s">
        <v>378</v>
      </c>
      <c r="AQ12" s="13">
        <v>-1</v>
      </c>
      <c r="AR12" s="1" t="s">
        <v>53</v>
      </c>
      <c r="AS12" s="1" t="s">
        <v>54</v>
      </c>
    </row>
    <row r="13" spans="1:49 16384:16384" x14ac:dyDescent="0.35">
      <c r="A13" s="11">
        <v>46141</v>
      </c>
      <c r="B13" s="1" t="s">
        <v>547</v>
      </c>
      <c r="C13" s="1" t="s">
        <v>81</v>
      </c>
      <c r="D13" s="1">
        <v>14080157</v>
      </c>
      <c r="E13" s="1" t="s">
        <v>548</v>
      </c>
      <c r="F13" s="1">
        <v>13</v>
      </c>
      <c r="G13" s="1" t="s">
        <v>43</v>
      </c>
      <c r="H13" s="1" t="s">
        <v>44</v>
      </c>
      <c r="I13" s="1" t="s">
        <v>45</v>
      </c>
      <c r="J13" s="1" t="s">
        <v>45</v>
      </c>
      <c r="K13" s="11">
        <v>45961</v>
      </c>
      <c r="L13" s="1" t="s">
        <v>82</v>
      </c>
      <c r="M13" s="1">
        <v>15.51</v>
      </c>
      <c r="N13" s="1" t="s">
        <v>56</v>
      </c>
      <c r="O13" s="1">
        <v>1</v>
      </c>
      <c r="P13" s="1" t="s">
        <v>43</v>
      </c>
      <c r="Q13" s="1">
        <v>1207</v>
      </c>
      <c r="R13" s="1">
        <v>15</v>
      </c>
      <c r="S13" s="1">
        <v>4500871505</v>
      </c>
      <c r="T13" s="1" t="s">
        <v>549</v>
      </c>
      <c r="U13" s="1" t="s">
        <v>84</v>
      </c>
      <c r="V13" s="1" t="s">
        <v>47</v>
      </c>
      <c r="W13" s="1" t="s">
        <v>84</v>
      </c>
      <c r="X13" s="1" t="s">
        <v>49</v>
      </c>
      <c r="Y13" s="1">
        <v>0</v>
      </c>
      <c r="Z13" s="1" t="s">
        <v>50</v>
      </c>
      <c r="AA13" s="1" t="s">
        <v>96</v>
      </c>
      <c r="AB13" s="1" t="s">
        <v>83</v>
      </c>
      <c r="AC13" s="1"/>
      <c r="AD13" s="1" t="s">
        <v>52</v>
      </c>
      <c r="AE13" s="1"/>
      <c r="AF13" s="1">
        <v>46141</v>
      </c>
      <c r="AG13" s="1">
        <v>46141</v>
      </c>
      <c r="AH13" s="1">
        <v>46170</v>
      </c>
      <c r="AI13" s="1">
        <v>29</v>
      </c>
      <c r="AJ13" s="1">
        <v>54.24</v>
      </c>
      <c r="AK13" s="1" t="s">
        <v>46</v>
      </c>
      <c r="AL13" s="1">
        <v>705.12</v>
      </c>
      <c r="AM13" s="1"/>
      <c r="AN13" s="1"/>
      <c r="AO13" s="1"/>
      <c r="AP13" s="12" t="s">
        <v>550</v>
      </c>
      <c r="AQ13" s="13">
        <v>3</v>
      </c>
      <c r="AR13" s="1" t="s">
        <v>62</v>
      </c>
      <c r="AS13" s="1" t="s">
        <v>54</v>
      </c>
    </row>
    <row r="14" spans="1:49 16384:16384" x14ac:dyDescent="0.35">
      <c r="A14" s="11">
        <v>46136</v>
      </c>
      <c r="B14" s="1" t="s">
        <v>331</v>
      </c>
      <c r="C14" s="1" t="s">
        <v>81</v>
      </c>
      <c r="D14" s="1">
        <v>14076687</v>
      </c>
      <c r="E14" s="1" t="s">
        <v>332</v>
      </c>
      <c r="F14" s="1">
        <v>3</v>
      </c>
      <c r="G14" s="1" t="s">
        <v>43</v>
      </c>
      <c r="H14" s="1" t="s">
        <v>44</v>
      </c>
      <c r="I14" s="1" t="s">
        <v>45</v>
      </c>
      <c r="J14" s="1" t="s">
        <v>45</v>
      </c>
      <c r="K14" s="11">
        <v>46066</v>
      </c>
      <c r="L14" s="1" t="s">
        <v>82</v>
      </c>
      <c r="M14" s="1">
        <v>12.27</v>
      </c>
      <c r="N14" s="1" t="s">
        <v>56</v>
      </c>
      <c r="O14" s="1">
        <v>1</v>
      </c>
      <c r="P14" s="1" t="s">
        <v>43</v>
      </c>
      <c r="Q14" s="1">
        <v>1207</v>
      </c>
      <c r="R14" s="1">
        <v>2</v>
      </c>
      <c r="S14" s="1">
        <v>4500890771</v>
      </c>
      <c r="T14" s="1" t="s">
        <v>143</v>
      </c>
      <c r="U14" s="1" t="s">
        <v>84</v>
      </c>
      <c r="V14" s="1" t="s">
        <v>47</v>
      </c>
      <c r="W14" s="1" t="s">
        <v>84</v>
      </c>
      <c r="X14" s="1" t="s">
        <v>49</v>
      </c>
      <c r="Y14" s="1">
        <v>0</v>
      </c>
      <c r="Z14" s="1" t="s">
        <v>131</v>
      </c>
      <c r="AA14" s="1" t="s">
        <v>96</v>
      </c>
      <c r="AB14" s="1" t="s">
        <v>83</v>
      </c>
      <c r="AC14" s="1" t="s">
        <v>453</v>
      </c>
      <c r="AD14" s="1" t="s">
        <v>276</v>
      </c>
      <c r="AE14" s="1">
        <v>46139</v>
      </c>
      <c r="AF14" s="1">
        <v>46140</v>
      </c>
      <c r="AG14" s="1">
        <v>46136</v>
      </c>
      <c r="AH14" s="1">
        <v>46169</v>
      </c>
      <c r="AI14" s="1">
        <v>29</v>
      </c>
      <c r="AJ14" s="1">
        <v>41.49</v>
      </c>
      <c r="AK14" s="1" t="s">
        <v>46</v>
      </c>
      <c r="AL14" s="1">
        <v>124.47</v>
      </c>
      <c r="AM14" s="1"/>
      <c r="AN14" s="1"/>
      <c r="AO14" s="1"/>
      <c r="AP14" s="12" t="s">
        <v>333</v>
      </c>
      <c r="AQ14" s="13">
        <v>-2</v>
      </c>
      <c r="AR14" s="1" t="s">
        <v>53</v>
      </c>
      <c r="AS14" s="1" t="s">
        <v>54</v>
      </c>
    </row>
    <row r="15" spans="1:49 16384:16384" x14ac:dyDescent="0.35">
      <c r="A15" s="66">
        <v>46140</v>
      </c>
      <c r="B15" s="67" t="s">
        <v>551</v>
      </c>
      <c r="C15" s="67" t="s">
        <v>42</v>
      </c>
      <c r="D15" s="67">
        <v>14084009</v>
      </c>
      <c r="E15" s="67" t="s">
        <v>552</v>
      </c>
      <c r="F15" s="67">
        <v>1</v>
      </c>
      <c r="G15" s="67" t="s">
        <v>95</v>
      </c>
      <c r="H15" s="67" t="s">
        <v>44</v>
      </c>
      <c r="I15" s="67" t="s">
        <v>45</v>
      </c>
      <c r="J15" s="67" t="s">
        <v>45</v>
      </c>
      <c r="K15" s="66">
        <v>46125</v>
      </c>
      <c r="L15" s="67" t="s">
        <v>553</v>
      </c>
      <c r="M15" s="67">
        <v>110.9</v>
      </c>
      <c r="N15" s="67" t="s">
        <v>46</v>
      </c>
      <c r="O15" s="67">
        <v>1</v>
      </c>
      <c r="P15" s="67" t="s">
        <v>95</v>
      </c>
      <c r="Q15" s="67">
        <v>1207</v>
      </c>
      <c r="R15" s="67">
        <v>1</v>
      </c>
      <c r="S15" s="67">
        <v>4500900406</v>
      </c>
      <c r="T15" s="67" t="s">
        <v>554</v>
      </c>
      <c r="U15" s="67" t="s">
        <v>226</v>
      </c>
      <c r="V15" s="67" t="s">
        <v>70</v>
      </c>
      <c r="W15" s="67" t="s">
        <v>84</v>
      </c>
      <c r="X15" s="67" t="s">
        <v>49</v>
      </c>
      <c r="Y15" s="67">
        <v>0</v>
      </c>
      <c r="Z15" s="67" t="s">
        <v>50</v>
      </c>
      <c r="AA15" s="67" t="s">
        <v>87</v>
      </c>
      <c r="AB15" s="67" t="s">
        <v>61</v>
      </c>
      <c r="AC15" s="67"/>
      <c r="AD15" s="67" t="s">
        <v>52</v>
      </c>
      <c r="AE15" s="67"/>
      <c r="AF15" s="67">
        <v>46140</v>
      </c>
      <c r="AG15" s="67">
        <v>46140</v>
      </c>
      <c r="AH15" s="67">
        <v>46170</v>
      </c>
      <c r="AI15" s="67">
        <v>29</v>
      </c>
      <c r="AJ15" s="67">
        <v>110.9</v>
      </c>
      <c r="AK15" s="67" t="s">
        <v>46</v>
      </c>
      <c r="AL15" s="67">
        <v>110.9</v>
      </c>
      <c r="AM15" s="67" t="s">
        <v>555</v>
      </c>
      <c r="AN15" s="67">
        <v>2023984</v>
      </c>
      <c r="AO15" s="67"/>
      <c r="AP15" s="68" t="s">
        <v>556</v>
      </c>
      <c r="AQ15" s="69">
        <v>2</v>
      </c>
      <c r="AR15" s="67" t="s">
        <v>62</v>
      </c>
      <c r="AS15" s="67" t="s">
        <v>54</v>
      </c>
      <c r="AT15" s="70"/>
      <c r="AU15" s="71" t="s">
        <v>510</v>
      </c>
      <c r="AV15" s="72">
        <v>46141.585740740738</v>
      </c>
      <c r="AW15" s="71" t="s">
        <v>655</v>
      </c>
    </row>
    <row r="16" spans="1:49 16384:16384" x14ac:dyDescent="0.35">
      <c r="A16" s="11">
        <v>46137</v>
      </c>
      <c r="B16" s="1" t="s">
        <v>398</v>
      </c>
      <c r="C16" s="1" t="s">
        <v>42</v>
      </c>
      <c r="D16" s="1">
        <v>14077982</v>
      </c>
      <c r="E16" s="1" t="s">
        <v>399</v>
      </c>
      <c r="F16" s="1">
        <v>8</v>
      </c>
      <c r="G16" s="1" t="s">
        <v>43</v>
      </c>
      <c r="H16" s="1" t="s">
        <v>71</v>
      </c>
      <c r="I16" s="1" t="s">
        <v>45</v>
      </c>
      <c r="J16" s="1" t="s">
        <v>45</v>
      </c>
      <c r="K16" s="1"/>
      <c r="L16" s="1"/>
      <c r="M16" s="1"/>
      <c r="N16" s="1"/>
      <c r="O16" s="1"/>
      <c r="P16" s="1"/>
      <c r="Q16" s="1"/>
      <c r="R16" s="1"/>
      <c r="S16" s="1"/>
      <c r="T16" s="1" t="s">
        <v>400</v>
      </c>
      <c r="U16" s="1" t="s">
        <v>367</v>
      </c>
      <c r="V16" s="1" t="s">
        <v>70</v>
      </c>
      <c r="W16" s="1" t="s">
        <v>73</v>
      </c>
      <c r="X16" s="1" t="s">
        <v>59</v>
      </c>
      <c r="Y16" s="1">
        <v>0</v>
      </c>
      <c r="Z16" s="1" t="s">
        <v>50</v>
      </c>
      <c r="AA16" s="1" t="s">
        <v>74</v>
      </c>
      <c r="AB16" s="1" t="s">
        <v>61</v>
      </c>
      <c r="AC16" s="1"/>
      <c r="AD16" s="1" t="s">
        <v>52</v>
      </c>
      <c r="AE16" s="1"/>
      <c r="AF16" s="1">
        <v>46137</v>
      </c>
      <c r="AG16" s="1">
        <v>46137</v>
      </c>
      <c r="AH16" s="1">
        <v>46138</v>
      </c>
      <c r="AI16" s="1">
        <v>0</v>
      </c>
      <c r="AJ16" s="1">
        <v>26.29</v>
      </c>
      <c r="AK16" s="1" t="s">
        <v>46</v>
      </c>
      <c r="AL16" s="1">
        <v>210.32</v>
      </c>
      <c r="AM16" s="1" t="s">
        <v>401</v>
      </c>
      <c r="AN16" s="1">
        <v>2023337</v>
      </c>
      <c r="AO16" s="1"/>
      <c r="AP16" s="12" t="s">
        <v>402</v>
      </c>
      <c r="AQ16" s="13">
        <v>-1</v>
      </c>
      <c r="AR16" s="1" t="s">
        <v>53</v>
      </c>
      <c r="AS16" s="1" t="s">
        <v>54</v>
      </c>
    </row>
    <row r="17" spans="1:49" x14ac:dyDescent="0.35">
      <c r="A17" s="11">
        <v>46137</v>
      </c>
      <c r="B17" s="1" t="s">
        <v>398</v>
      </c>
      <c r="C17" s="1" t="s">
        <v>63</v>
      </c>
      <c r="D17" s="1">
        <v>14088444</v>
      </c>
      <c r="E17" s="1" t="s">
        <v>403</v>
      </c>
      <c r="F17" s="1">
        <v>1</v>
      </c>
      <c r="G17" s="1" t="s">
        <v>43</v>
      </c>
      <c r="H17" s="1" t="s">
        <v>71</v>
      </c>
      <c r="I17" s="1" t="s">
        <v>45</v>
      </c>
      <c r="J17" s="1" t="s">
        <v>45</v>
      </c>
      <c r="K17" s="1"/>
      <c r="L17" s="1"/>
      <c r="M17" s="1"/>
      <c r="N17" s="1"/>
      <c r="O17" s="1"/>
      <c r="P17" s="1"/>
      <c r="Q17" s="1"/>
      <c r="R17" s="1"/>
      <c r="S17" s="1"/>
      <c r="T17" s="1" t="s">
        <v>400</v>
      </c>
      <c r="U17" s="1" t="s">
        <v>367</v>
      </c>
      <c r="V17" s="1" t="s">
        <v>70</v>
      </c>
      <c r="W17" s="1" t="s">
        <v>73</v>
      </c>
      <c r="X17" s="1" t="s">
        <v>59</v>
      </c>
      <c r="Y17" s="1">
        <v>0</v>
      </c>
      <c r="Z17" s="1" t="s">
        <v>50</v>
      </c>
      <c r="AA17" s="1" t="s">
        <v>74</v>
      </c>
      <c r="AB17" s="1" t="s">
        <v>61</v>
      </c>
      <c r="AC17" s="1"/>
      <c r="AD17" s="1" t="s">
        <v>52</v>
      </c>
      <c r="AE17" s="1"/>
      <c r="AF17" s="1">
        <v>46137</v>
      </c>
      <c r="AG17" s="1">
        <v>46137</v>
      </c>
      <c r="AH17" s="1">
        <v>46138</v>
      </c>
      <c r="AI17" s="1">
        <v>0</v>
      </c>
      <c r="AJ17" s="1">
        <v>17.71</v>
      </c>
      <c r="AK17" s="1" t="s">
        <v>46</v>
      </c>
      <c r="AL17" s="1">
        <v>17.71</v>
      </c>
      <c r="AM17" s="1" t="s">
        <v>404</v>
      </c>
      <c r="AN17" s="1">
        <v>2023337</v>
      </c>
      <c r="AO17" s="1"/>
      <c r="AP17" s="12" t="s">
        <v>405</v>
      </c>
      <c r="AQ17" s="13">
        <v>-1</v>
      </c>
      <c r="AR17" s="1" t="s">
        <v>53</v>
      </c>
      <c r="AS17" s="1" t="s">
        <v>54</v>
      </c>
    </row>
    <row r="18" spans="1:49" x14ac:dyDescent="0.35">
      <c r="A18" s="11">
        <v>46137</v>
      </c>
      <c r="B18" s="1" t="s">
        <v>398</v>
      </c>
      <c r="C18" s="1" t="s">
        <v>64</v>
      </c>
      <c r="D18" s="1">
        <v>14080029</v>
      </c>
      <c r="E18" s="1" t="s">
        <v>406</v>
      </c>
      <c r="F18" s="1">
        <v>6</v>
      </c>
      <c r="G18" s="1" t="s">
        <v>43</v>
      </c>
      <c r="H18" s="1" t="s">
        <v>71</v>
      </c>
      <c r="I18" s="1" t="s">
        <v>45</v>
      </c>
      <c r="J18" s="1" t="s">
        <v>45</v>
      </c>
      <c r="K18" s="1"/>
      <c r="L18" s="1"/>
      <c r="M18" s="1"/>
      <c r="N18" s="1"/>
      <c r="O18" s="1"/>
      <c r="P18" s="1"/>
      <c r="Q18" s="1"/>
      <c r="R18" s="1"/>
      <c r="S18" s="1"/>
      <c r="T18" s="1" t="s">
        <v>400</v>
      </c>
      <c r="U18" s="1" t="s">
        <v>367</v>
      </c>
      <c r="V18" s="1" t="s">
        <v>397</v>
      </c>
      <c r="W18" s="1" t="s">
        <v>73</v>
      </c>
      <c r="X18" s="1" t="s">
        <v>59</v>
      </c>
      <c r="Y18" s="1">
        <v>0</v>
      </c>
      <c r="Z18" s="1" t="s">
        <v>50</v>
      </c>
      <c r="AA18" s="1" t="s">
        <v>74</v>
      </c>
      <c r="AB18" s="1" t="s">
        <v>61</v>
      </c>
      <c r="AC18" s="1"/>
      <c r="AD18" s="1" t="s">
        <v>52</v>
      </c>
      <c r="AE18" s="1"/>
      <c r="AF18" s="1">
        <v>46137</v>
      </c>
      <c r="AG18" s="1">
        <v>46137</v>
      </c>
      <c r="AH18" s="1">
        <v>46137</v>
      </c>
      <c r="AI18" s="1">
        <v>0</v>
      </c>
      <c r="AJ18" s="1">
        <v>47.62</v>
      </c>
      <c r="AK18" s="1" t="s">
        <v>46</v>
      </c>
      <c r="AL18" s="1">
        <v>285.72000000000003</v>
      </c>
      <c r="AM18" s="1" t="s">
        <v>407</v>
      </c>
      <c r="AN18" s="1">
        <v>2023337</v>
      </c>
      <c r="AO18" s="1"/>
      <c r="AP18" s="12" t="s">
        <v>408</v>
      </c>
      <c r="AQ18" s="13">
        <v>-1</v>
      </c>
      <c r="AR18" s="1" t="s">
        <v>53</v>
      </c>
      <c r="AS18" s="1" t="s">
        <v>54</v>
      </c>
    </row>
    <row r="19" spans="1:49" x14ac:dyDescent="0.35">
      <c r="A19" s="39">
        <v>46120</v>
      </c>
      <c r="B19" s="40" t="s">
        <v>557</v>
      </c>
      <c r="C19" s="40" t="s">
        <v>81</v>
      </c>
      <c r="D19" s="40">
        <v>14076033</v>
      </c>
      <c r="E19" s="40" t="s">
        <v>558</v>
      </c>
      <c r="F19" s="40">
        <v>4</v>
      </c>
      <c r="G19" s="40" t="s">
        <v>43</v>
      </c>
      <c r="H19" s="40" t="s">
        <v>44</v>
      </c>
      <c r="I19" s="40">
        <v>16.38</v>
      </c>
      <c r="J19" s="40">
        <v>107912</v>
      </c>
      <c r="K19" s="39">
        <v>46099</v>
      </c>
      <c r="L19" s="40" t="s">
        <v>330</v>
      </c>
      <c r="M19" s="40">
        <v>16.38</v>
      </c>
      <c r="N19" s="40" t="s">
        <v>46</v>
      </c>
      <c r="O19" s="40">
        <v>1</v>
      </c>
      <c r="P19" s="40" t="s">
        <v>43</v>
      </c>
      <c r="Q19" s="40">
        <v>1207</v>
      </c>
      <c r="R19" s="40">
        <v>3</v>
      </c>
      <c r="S19" s="40">
        <v>4500896414</v>
      </c>
      <c r="T19" s="40" t="s">
        <v>559</v>
      </c>
      <c r="U19" s="40" t="s">
        <v>84</v>
      </c>
      <c r="V19" s="40" t="s">
        <v>47</v>
      </c>
      <c r="W19" s="40" t="s">
        <v>84</v>
      </c>
      <c r="X19" s="40" t="s">
        <v>49</v>
      </c>
      <c r="Y19" s="40">
        <v>0</v>
      </c>
      <c r="Z19" s="40" t="s">
        <v>131</v>
      </c>
      <c r="AA19" s="40" t="s">
        <v>96</v>
      </c>
      <c r="AB19" s="40" t="s">
        <v>83</v>
      </c>
      <c r="AC19" s="40" t="s">
        <v>560</v>
      </c>
      <c r="AD19" s="40" t="s">
        <v>42</v>
      </c>
      <c r="AE19" s="40">
        <v>46121</v>
      </c>
      <c r="AF19" s="40">
        <v>46141</v>
      </c>
      <c r="AG19" s="40">
        <v>46120</v>
      </c>
      <c r="AH19" s="40">
        <v>46170</v>
      </c>
      <c r="AI19" s="40">
        <v>29</v>
      </c>
      <c r="AJ19" s="40">
        <v>16.38</v>
      </c>
      <c r="AK19" s="40" t="s">
        <v>46</v>
      </c>
      <c r="AL19" s="40">
        <v>65.52</v>
      </c>
      <c r="AM19" s="40"/>
      <c r="AN19" s="40"/>
      <c r="AO19" s="40"/>
      <c r="AP19" s="41" t="s">
        <v>561</v>
      </c>
      <c r="AQ19" s="42">
        <v>-18</v>
      </c>
      <c r="AR19" s="40" t="s">
        <v>53</v>
      </c>
      <c r="AS19" s="40" t="s">
        <v>54</v>
      </c>
      <c r="AT19" s="63">
        <v>4500903855</v>
      </c>
      <c r="AU19" s="55" t="s">
        <v>512</v>
      </c>
      <c r="AV19" s="74">
        <v>46141.471250000002</v>
      </c>
      <c r="AW19" s="55"/>
    </row>
    <row r="20" spans="1:49" x14ac:dyDescent="0.35">
      <c r="A20" s="11">
        <v>46114</v>
      </c>
      <c r="B20" s="1" t="s">
        <v>562</v>
      </c>
      <c r="C20" s="1" t="s">
        <v>42</v>
      </c>
      <c r="D20" s="75">
        <v>14077434</v>
      </c>
      <c r="E20" s="1" t="s">
        <v>563</v>
      </c>
      <c r="F20" s="1">
        <v>12</v>
      </c>
      <c r="G20" s="1" t="s">
        <v>43</v>
      </c>
      <c r="H20" s="1" t="s">
        <v>44</v>
      </c>
      <c r="I20" s="1" t="s">
        <v>45</v>
      </c>
      <c r="J20" s="1" t="s">
        <v>45</v>
      </c>
      <c r="K20" s="1"/>
      <c r="L20" s="1"/>
      <c r="M20" s="1"/>
      <c r="N20" s="1"/>
      <c r="O20" s="1"/>
      <c r="P20" s="1"/>
      <c r="Q20" s="1"/>
      <c r="R20" s="1"/>
      <c r="S20" s="1"/>
      <c r="T20" s="1" t="s">
        <v>564</v>
      </c>
      <c r="U20" s="1" t="s">
        <v>69</v>
      </c>
      <c r="V20" s="1" t="s">
        <v>70</v>
      </c>
      <c r="W20" s="1" t="s">
        <v>84</v>
      </c>
      <c r="X20" s="1" t="s">
        <v>49</v>
      </c>
      <c r="Y20" s="1">
        <v>0</v>
      </c>
      <c r="Z20" s="1" t="s">
        <v>131</v>
      </c>
      <c r="AA20" s="1" t="s">
        <v>87</v>
      </c>
      <c r="AB20" s="1" t="s">
        <v>61</v>
      </c>
      <c r="AC20" s="1" t="s">
        <v>560</v>
      </c>
      <c r="AD20" s="1" t="s">
        <v>63</v>
      </c>
      <c r="AE20" s="1">
        <v>46121</v>
      </c>
      <c r="AF20" s="1">
        <v>46114</v>
      </c>
      <c r="AG20" s="1">
        <v>46114</v>
      </c>
      <c r="AH20" s="1">
        <v>46115</v>
      </c>
      <c r="AI20" s="1">
        <v>0</v>
      </c>
      <c r="AJ20" s="1">
        <v>12.9</v>
      </c>
      <c r="AK20" s="1" t="s">
        <v>46</v>
      </c>
      <c r="AL20" s="1">
        <v>154.80000000000001</v>
      </c>
      <c r="AM20" s="1" t="s">
        <v>565</v>
      </c>
      <c r="AN20" s="1">
        <v>4210670</v>
      </c>
      <c r="AO20" s="1"/>
      <c r="AP20" s="12" t="s">
        <v>566</v>
      </c>
      <c r="AQ20" s="13">
        <v>-24</v>
      </c>
      <c r="AR20" s="1" t="s">
        <v>53</v>
      </c>
      <c r="AS20" s="1" t="s">
        <v>54</v>
      </c>
      <c r="AU20" s="21" t="s">
        <v>516</v>
      </c>
      <c r="AV20" s="65">
        <v>46141.486828703702</v>
      </c>
      <c r="AW20" s="21" t="s">
        <v>647</v>
      </c>
    </row>
    <row r="21" spans="1:49" x14ac:dyDescent="0.35">
      <c r="A21" s="39">
        <v>46114</v>
      </c>
      <c r="B21" s="40" t="s">
        <v>577</v>
      </c>
      <c r="C21" s="40" t="s">
        <v>81</v>
      </c>
      <c r="D21" s="40">
        <v>14079014</v>
      </c>
      <c r="E21" s="40" t="s">
        <v>578</v>
      </c>
      <c r="F21" s="40">
        <v>12</v>
      </c>
      <c r="G21" s="40" t="s">
        <v>43</v>
      </c>
      <c r="H21" s="40" t="s">
        <v>44</v>
      </c>
      <c r="I21" s="40">
        <v>0.75</v>
      </c>
      <c r="J21" s="40">
        <v>107912</v>
      </c>
      <c r="K21" s="39">
        <v>45945</v>
      </c>
      <c r="L21" s="40" t="s">
        <v>330</v>
      </c>
      <c r="M21" s="40">
        <v>0.75</v>
      </c>
      <c r="N21" s="40" t="s">
        <v>46</v>
      </c>
      <c r="O21" s="40">
        <v>1</v>
      </c>
      <c r="P21" s="40" t="s">
        <v>43</v>
      </c>
      <c r="Q21" s="40">
        <v>1207</v>
      </c>
      <c r="R21" s="40">
        <v>14</v>
      </c>
      <c r="S21" s="40">
        <v>4500869271</v>
      </c>
      <c r="T21" s="40" t="s">
        <v>579</v>
      </c>
      <c r="U21" s="40" t="s">
        <v>84</v>
      </c>
      <c r="V21" s="40" t="s">
        <v>47</v>
      </c>
      <c r="W21" s="40" t="s">
        <v>84</v>
      </c>
      <c r="X21" s="40" t="s">
        <v>49</v>
      </c>
      <c r="Y21" s="40">
        <v>0</v>
      </c>
      <c r="Z21" s="40" t="s">
        <v>131</v>
      </c>
      <c r="AA21" s="40" t="s">
        <v>96</v>
      </c>
      <c r="AB21" s="40" t="s">
        <v>83</v>
      </c>
      <c r="AC21" s="40" t="s">
        <v>560</v>
      </c>
      <c r="AD21" s="40" t="s">
        <v>105</v>
      </c>
      <c r="AE21" s="40">
        <v>46121</v>
      </c>
      <c r="AF21" s="40">
        <v>46141</v>
      </c>
      <c r="AG21" s="40">
        <v>46114</v>
      </c>
      <c r="AH21" s="40">
        <v>46170</v>
      </c>
      <c r="AI21" s="40">
        <v>29</v>
      </c>
      <c r="AJ21" s="40">
        <v>1.21</v>
      </c>
      <c r="AK21" s="40" t="s">
        <v>46</v>
      </c>
      <c r="AL21" s="40">
        <v>14.52</v>
      </c>
      <c r="AM21" s="40"/>
      <c r="AN21" s="40"/>
      <c r="AO21" s="40"/>
      <c r="AP21" s="41" t="s">
        <v>580</v>
      </c>
      <c r="AQ21" s="42">
        <v>-24</v>
      </c>
      <c r="AR21" s="40" t="s">
        <v>53</v>
      </c>
      <c r="AS21" s="40" t="s">
        <v>54</v>
      </c>
      <c r="AT21" s="63">
        <v>4500903855</v>
      </c>
      <c r="AU21" s="55" t="s">
        <v>512</v>
      </c>
      <c r="AV21" s="74">
        <v>46141.471250000002</v>
      </c>
      <c r="AW21" s="55"/>
    </row>
    <row r="22" spans="1:49" x14ac:dyDescent="0.35">
      <c r="A22" s="39">
        <v>46108</v>
      </c>
      <c r="B22" s="40" t="s">
        <v>581</v>
      </c>
      <c r="C22" s="40" t="s">
        <v>81</v>
      </c>
      <c r="D22" s="40">
        <v>14074254</v>
      </c>
      <c r="E22" s="40" t="s">
        <v>582</v>
      </c>
      <c r="F22" s="40">
        <v>48</v>
      </c>
      <c r="G22" s="40" t="s">
        <v>43</v>
      </c>
      <c r="H22" s="40" t="s">
        <v>44</v>
      </c>
      <c r="I22" s="40">
        <v>72.900000000000006</v>
      </c>
      <c r="J22" s="40">
        <v>107912</v>
      </c>
      <c r="K22" s="39">
        <v>45984</v>
      </c>
      <c r="L22" s="40" t="s">
        <v>330</v>
      </c>
      <c r="M22" s="40">
        <v>72.900000000000006</v>
      </c>
      <c r="N22" s="40" t="s">
        <v>46</v>
      </c>
      <c r="O22" s="40">
        <v>1</v>
      </c>
      <c r="P22" s="40" t="s">
        <v>43</v>
      </c>
      <c r="Q22" s="40">
        <v>1207</v>
      </c>
      <c r="R22" s="40">
        <v>30</v>
      </c>
      <c r="S22" s="40">
        <v>4500875820</v>
      </c>
      <c r="T22" s="40" t="s">
        <v>72</v>
      </c>
      <c r="U22" s="40" t="s">
        <v>84</v>
      </c>
      <c r="V22" s="40" t="s">
        <v>47</v>
      </c>
      <c r="W22" s="40" t="s">
        <v>84</v>
      </c>
      <c r="X22" s="40" t="s">
        <v>49</v>
      </c>
      <c r="Y22" s="40">
        <v>0</v>
      </c>
      <c r="Z22" s="40" t="s">
        <v>131</v>
      </c>
      <c r="AA22" s="40" t="s">
        <v>96</v>
      </c>
      <c r="AB22" s="40" t="s">
        <v>83</v>
      </c>
      <c r="AC22" s="40" t="s">
        <v>560</v>
      </c>
      <c r="AD22" s="40" t="s">
        <v>276</v>
      </c>
      <c r="AE22" s="40">
        <v>46121</v>
      </c>
      <c r="AF22" s="40">
        <v>46141</v>
      </c>
      <c r="AG22" s="40">
        <v>46108</v>
      </c>
      <c r="AH22" s="40">
        <v>46170</v>
      </c>
      <c r="AI22" s="40">
        <v>29</v>
      </c>
      <c r="AJ22" s="40">
        <v>69.849999999999994</v>
      </c>
      <c r="AK22" s="40" t="s">
        <v>46</v>
      </c>
      <c r="AL22" s="40">
        <v>3352.8</v>
      </c>
      <c r="AM22" s="40"/>
      <c r="AN22" s="40"/>
      <c r="AO22" s="40"/>
      <c r="AP22" s="41" t="s">
        <v>583</v>
      </c>
      <c r="AQ22" s="42">
        <v>-30</v>
      </c>
      <c r="AR22" s="40" t="s">
        <v>53</v>
      </c>
      <c r="AS22" s="40" t="s">
        <v>54</v>
      </c>
      <c r="AT22" s="63">
        <v>4500903855</v>
      </c>
      <c r="AU22" s="55" t="s">
        <v>512</v>
      </c>
      <c r="AV22" s="74">
        <v>46141.471250000002</v>
      </c>
      <c r="AW22" s="55"/>
    </row>
    <row r="23" spans="1:49" x14ac:dyDescent="0.35">
      <c r="A23" s="39">
        <v>46100</v>
      </c>
      <c r="B23" s="40" t="s">
        <v>586</v>
      </c>
      <c r="C23" s="40" t="s">
        <v>81</v>
      </c>
      <c r="D23" s="40">
        <v>14074147</v>
      </c>
      <c r="E23" s="40" t="s">
        <v>587</v>
      </c>
      <c r="F23" s="40">
        <v>84</v>
      </c>
      <c r="G23" s="40" t="s">
        <v>43</v>
      </c>
      <c r="H23" s="40" t="s">
        <v>44</v>
      </c>
      <c r="I23" s="40">
        <v>29.24</v>
      </c>
      <c r="J23" s="40">
        <v>107912</v>
      </c>
      <c r="K23" s="40"/>
      <c r="L23" s="40" t="s">
        <v>330</v>
      </c>
      <c r="M23" s="40">
        <v>29.24</v>
      </c>
      <c r="N23" s="40" t="s">
        <v>46</v>
      </c>
      <c r="O23" s="40"/>
      <c r="P23" s="40"/>
      <c r="Q23" s="40"/>
      <c r="R23" s="40"/>
      <c r="S23" s="40"/>
      <c r="T23" s="40" t="s">
        <v>460</v>
      </c>
      <c r="U23" s="40" t="s">
        <v>84</v>
      </c>
      <c r="V23" s="40" t="s">
        <v>47</v>
      </c>
      <c r="W23" s="40" t="s">
        <v>84</v>
      </c>
      <c r="X23" s="40" t="s">
        <v>49</v>
      </c>
      <c r="Y23" s="40">
        <v>0</v>
      </c>
      <c r="Z23" s="40" t="s">
        <v>131</v>
      </c>
      <c r="AA23" s="40" t="s">
        <v>96</v>
      </c>
      <c r="AB23" s="40" t="s">
        <v>83</v>
      </c>
      <c r="AC23" s="40" t="s">
        <v>560</v>
      </c>
      <c r="AD23" s="40" t="s">
        <v>251</v>
      </c>
      <c r="AE23" s="40">
        <v>46121</v>
      </c>
      <c r="AF23" s="40">
        <v>46141</v>
      </c>
      <c r="AG23" s="40">
        <v>46100</v>
      </c>
      <c r="AH23" s="40">
        <v>46170</v>
      </c>
      <c r="AI23" s="40">
        <v>29</v>
      </c>
      <c r="AJ23" s="40">
        <v>29.24</v>
      </c>
      <c r="AK23" s="40" t="s">
        <v>46</v>
      </c>
      <c r="AL23" s="40">
        <v>2456.16</v>
      </c>
      <c r="AM23" s="40"/>
      <c r="AN23" s="40"/>
      <c r="AO23" s="40"/>
      <c r="AP23" s="41" t="s">
        <v>588</v>
      </c>
      <c r="AQ23" s="42">
        <v>-38</v>
      </c>
      <c r="AR23" s="40" t="s">
        <v>53</v>
      </c>
      <c r="AS23" s="40" t="s">
        <v>54</v>
      </c>
      <c r="AT23" s="63">
        <v>4500903852</v>
      </c>
      <c r="AU23" s="55" t="s">
        <v>512</v>
      </c>
      <c r="AV23" s="74">
        <v>46141.46503472222</v>
      </c>
      <c r="AW23" s="55"/>
    </row>
    <row r="24" spans="1:49" x14ac:dyDescent="0.35">
      <c r="A24" s="39">
        <v>46119</v>
      </c>
      <c r="B24" s="40" t="s">
        <v>589</v>
      </c>
      <c r="C24" s="40" t="s">
        <v>81</v>
      </c>
      <c r="D24" s="40">
        <v>14074145</v>
      </c>
      <c r="E24" s="40" t="s">
        <v>590</v>
      </c>
      <c r="F24" s="40">
        <v>390</v>
      </c>
      <c r="G24" s="40" t="s">
        <v>43</v>
      </c>
      <c r="H24" s="40" t="s">
        <v>44</v>
      </c>
      <c r="I24" s="40">
        <v>9.08</v>
      </c>
      <c r="J24" s="40">
        <v>107912</v>
      </c>
      <c r="K24" s="39">
        <v>46052</v>
      </c>
      <c r="L24" s="40" t="s">
        <v>330</v>
      </c>
      <c r="M24" s="40">
        <v>9.08</v>
      </c>
      <c r="N24" s="40" t="s">
        <v>46</v>
      </c>
      <c r="O24" s="40">
        <v>1</v>
      </c>
      <c r="P24" s="40" t="s">
        <v>43</v>
      </c>
      <c r="Q24" s="40">
        <v>1207</v>
      </c>
      <c r="R24" s="40">
        <v>300</v>
      </c>
      <c r="S24" s="40">
        <v>4500888506</v>
      </c>
      <c r="T24" s="40" t="s">
        <v>460</v>
      </c>
      <c r="U24" s="40" t="s">
        <v>84</v>
      </c>
      <c r="V24" s="40" t="s">
        <v>47</v>
      </c>
      <c r="W24" s="40" t="s">
        <v>84</v>
      </c>
      <c r="X24" s="40" t="s">
        <v>49</v>
      </c>
      <c r="Y24" s="40">
        <v>0</v>
      </c>
      <c r="Z24" s="40" t="s">
        <v>131</v>
      </c>
      <c r="AA24" s="40" t="s">
        <v>96</v>
      </c>
      <c r="AB24" s="40" t="s">
        <v>83</v>
      </c>
      <c r="AC24" s="40" t="s">
        <v>560</v>
      </c>
      <c r="AD24" s="40" t="s">
        <v>79</v>
      </c>
      <c r="AE24" s="40">
        <v>46121</v>
      </c>
      <c r="AF24" s="40">
        <v>46141</v>
      </c>
      <c r="AG24" s="40">
        <v>46119</v>
      </c>
      <c r="AH24" s="40">
        <v>46170</v>
      </c>
      <c r="AI24" s="40">
        <v>29</v>
      </c>
      <c r="AJ24" s="40">
        <v>9.08</v>
      </c>
      <c r="AK24" s="40" t="s">
        <v>46</v>
      </c>
      <c r="AL24" s="40">
        <v>3541.2</v>
      </c>
      <c r="AM24" s="40"/>
      <c r="AN24" s="40"/>
      <c r="AO24" s="40"/>
      <c r="AP24" s="41" t="s">
        <v>591</v>
      </c>
      <c r="AQ24" s="42">
        <v>-19</v>
      </c>
      <c r="AR24" s="40" t="s">
        <v>53</v>
      </c>
      <c r="AS24" s="40" t="s">
        <v>54</v>
      </c>
      <c r="AT24" s="63">
        <v>4500903852</v>
      </c>
      <c r="AU24" s="55" t="s">
        <v>512</v>
      </c>
      <c r="AV24" s="74">
        <v>46141.46503472222</v>
      </c>
      <c r="AW24" s="55"/>
    </row>
    <row r="25" spans="1:49" x14ac:dyDescent="0.35">
      <c r="A25" s="11">
        <v>45964</v>
      </c>
      <c r="B25" s="1" t="s">
        <v>345</v>
      </c>
      <c r="C25" s="1" t="s">
        <v>42</v>
      </c>
      <c r="D25" s="75">
        <v>14071061</v>
      </c>
      <c r="E25" s="1" t="s">
        <v>346</v>
      </c>
      <c r="F25" s="1">
        <v>1</v>
      </c>
      <c r="G25" s="1" t="s">
        <v>43</v>
      </c>
      <c r="H25" s="1" t="s">
        <v>92</v>
      </c>
      <c r="I25" s="1" t="s">
        <v>45</v>
      </c>
      <c r="J25" s="1" t="s">
        <v>45</v>
      </c>
      <c r="K25" s="1" t="s">
        <v>646</v>
      </c>
      <c r="L25" s="1" t="s">
        <v>167</v>
      </c>
      <c r="M25" s="1">
        <v>70</v>
      </c>
      <c r="N25" s="1" t="s">
        <v>46</v>
      </c>
      <c r="O25" s="1">
        <v>1</v>
      </c>
      <c r="P25" s="1" t="s">
        <v>43</v>
      </c>
      <c r="Q25" s="1">
        <v>1102</v>
      </c>
      <c r="R25" s="1">
        <v>1</v>
      </c>
      <c r="S25" s="1">
        <v>4500807570</v>
      </c>
      <c r="T25" s="1" t="s">
        <v>72</v>
      </c>
      <c r="U25" s="1" t="s">
        <v>347</v>
      </c>
      <c r="V25" s="1" t="s">
        <v>104</v>
      </c>
      <c r="W25" s="1" t="s">
        <v>93</v>
      </c>
      <c r="X25" s="1" t="s">
        <v>59</v>
      </c>
      <c r="Y25" s="1">
        <v>0</v>
      </c>
      <c r="Z25" s="1" t="s">
        <v>131</v>
      </c>
      <c r="AA25" s="1" t="s">
        <v>94</v>
      </c>
      <c r="AB25" s="1" t="s">
        <v>61</v>
      </c>
      <c r="AC25" s="1" t="s">
        <v>348</v>
      </c>
      <c r="AD25" s="1" t="s">
        <v>42</v>
      </c>
      <c r="AE25" s="1">
        <v>45980</v>
      </c>
      <c r="AF25" s="1">
        <v>45964</v>
      </c>
      <c r="AG25" s="1">
        <v>45964</v>
      </c>
      <c r="AH25" s="1">
        <v>45994</v>
      </c>
      <c r="AI25" s="1">
        <v>29</v>
      </c>
      <c r="AJ25" s="1">
        <v>7.63</v>
      </c>
      <c r="AK25" s="1" t="s">
        <v>46</v>
      </c>
      <c r="AL25" s="1">
        <v>7.63</v>
      </c>
      <c r="AM25" s="1" t="s">
        <v>349</v>
      </c>
      <c r="AN25" s="1">
        <v>4201895</v>
      </c>
      <c r="AO25" s="1"/>
      <c r="AP25" s="12" t="s">
        <v>350</v>
      </c>
      <c r="AQ25" s="13">
        <v>-174</v>
      </c>
      <c r="AR25" s="1" t="s">
        <v>53</v>
      </c>
      <c r="AS25" s="1" t="s">
        <v>54</v>
      </c>
      <c r="AU25" s="21" t="s">
        <v>516</v>
      </c>
      <c r="AV25" s="65">
        <v>46141.486828703702</v>
      </c>
      <c r="AW25" s="21" t="s">
        <v>647</v>
      </c>
    </row>
    <row r="26" spans="1:49" x14ac:dyDescent="0.35">
      <c r="A26" s="11">
        <v>46095</v>
      </c>
      <c r="B26" s="1" t="s">
        <v>110</v>
      </c>
      <c r="C26" s="1" t="s">
        <v>42</v>
      </c>
      <c r="D26" s="1">
        <v>14100174</v>
      </c>
      <c r="E26" s="1" t="s">
        <v>111</v>
      </c>
      <c r="F26" s="1">
        <v>2</v>
      </c>
      <c r="G26" s="1" t="s">
        <v>43</v>
      </c>
      <c r="H26" s="1" t="s">
        <v>55</v>
      </c>
      <c r="I26" s="1" t="s">
        <v>45</v>
      </c>
      <c r="J26" s="1" t="s">
        <v>45</v>
      </c>
      <c r="K26" s="1"/>
      <c r="L26" s="1"/>
      <c r="M26" s="1"/>
      <c r="N26" s="1"/>
      <c r="O26" s="1"/>
      <c r="P26" s="1"/>
      <c r="Q26" s="1"/>
      <c r="R26" s="1"/>
      <c r="S26" s="1"/>
      <c r="T26" s="1" t="s">
        <v>72</v>
      </c>
      <c r="U26" s="1" t="s">
        <v>106</v>
      </c>
      <c r="V26" s="1" t="s">
        <v>57</v>
      </c>
      <c r="W26" s="1" t="s">
        <v>58</v>
      </c>
      <c r="X26" s="1" t="s">
        <v>59</v>
      </c>
      <c r="Y26" s="1">
        <v>0</v>
      </c>
      <c r="Z26" s="1" t="s">
        <v>194</v>
      </c>
      <c r="AA26" s="1" t="s">
        <v>60</v>
      </c>
      <c r="AB26" s="1" t="s">
        <v>61</v>
      </c>
      <c r="AC26" s="1"/>
      <c r="AD26" s="1" t="s">
        <v>52</v>
      </c>
      <c r="AE26" s="1"/>
      <c r="AF26" s="1">
        <v>46095</v>
      </c>
      <c r="AG26" s="1">
        <v>46095</v>
      </c>
      <c r="AH26" s="1">
        <v>46096</v>
      </c>
      <c r="AI26" s="1">
        <v>29</v>
      </c>
      <c r="AJ26" s="1">
        <v>48.5</v>
      </c>
      <c r="AK26" s="1" t="s">
        <v>46</v>
      </c>
      <c r="AL26" s="1">
        <v>97</v>
      </c>
      <c r="AM26" s="1" t="s">
        <v>112</v>
      </c>
      <c r="AN26" s="1">
        <v>6200000129</v>
      </c>
      <c r="AO26" s="1"/>
      <c r="AP26" s="12" t="s">
        <v>117</v>
      </c>
      <c r="AQ26" s="13">
        <v>-43</v>
      </c>
      <c r="AR26" s="1" t="s">
        <v>53</v>
      </c>
      <c r="AS26" s="1" t="s">
        <v>54</v>
      </c>
      <c r="AV26" s="65"/>
    </row>
    <row r="27" spans="1:49" x14ac:dyDescent="0.35">
      <c r="A27" s="39">
        <v>46099</v>
      </c>
      <c r="B27" s="40" t="s">
        <v>617</v>
      </c>
      <c r="C27" s="40" t="s">
        <v>42</v>
      </c>
      <c r="D27" s="40">
        <v>14009996</v>
      </c>
      <c r="E27" s="40" t="s">
        <v>618</v>
      </c>
      <c r="F27" s="40">
        <v>1</v>
      </c>
      <c r="G27" s="40" t="s">
        <v>43</v>
      </c>
      <c r="H27" s="40" t="s">
        <v>44</v>
      </c>
      <c r="I27" s="40">
        <v>4.41</v>
      </c>
      <c r="J27" s="40">
        <v>107912</v>
      </c>
      <c r="K27" s="40"/>
      <c r="L27" s="40" t="s">
        <v>330</v>
      </c>
      <c r="M27" s="40">
        <v>4.41</v>
      </c>
      <c r="N27" s="40" t="s">
        <v>46</v>
      </c>
      <c r="O27" s="40"/>
      <c r="P27" s="40"/>
      <c r="Q27" s="40"/>
      <c r="R27" s="40"/>
      <c r="S27" s="40"/>
      <c r="T27" s="40" t="s">
        <v>68</v>
      </c>
      <c r="U27" s="40" t="s">
        <v>109</v>
      </c>
      <c r="V27" s="40" t="s">
        <v>70</v>
      </c>
      <c r="W27" s="40" t="s">
        <v>84</v>
      </c>
      <c r="X27" s="40" t="s">
        <v>49</v>
      </c>
      <c r="Y27" s="40">
        <v>0</v>
      </c>
      <c r="Z27" s="40" t="s">
        <v>131</v>
      </c>
      <c r="AA27" s="40" t="s">
        <v>87</v>
      </c>
      <c r="AB27" s="40" t="s">
        <v>61</v>
      </c>
      <c r="AC27" s="40" t="s">
        <v>560</v>
      </c>
      <c r="AD27" s="40" t="s">
        <v>252</v>
      </c>
      <c r="AE27" s="40">
        <v>46121</v>
      </c>
      <c r="AF27" s="40">
        <v>46099</v>
      </c>
      <c r="AG27" s="40">
        <v>46099</v>
      </c>
      <c r="AH27" s="40">
        <v>46100</v>
      </c>
      <c r="AI27" s="40">
        <v>0</v>
      </c>
      <c r="AJ27" s="40">
        <v>6.62</v>
      </c>
      <c r="AK27" s="40" t="s">
        <v>46</v>
      </c>
      <c r="AL27" s="40">
        <v>6.62</v>
      </c>
      <c r="AM27" s="40" t="s">
        <v>619</v>
      </c>
      <c r="AN27" s="40">
        <v>4211077</v>
      </c>
      <c r="AO27" s="40"/>
      <c r="AP27" s="41" t="s">
        <v>620</v>
      </c>
      <c r="AQ27" s="42">
        <v>-39</v>
      </c>
      <c r="AR27" s="40" t="s">
        <v>53</v>
      </c>
      <c r="AS27" s="40" t="s">
        <v>54</v>
      </c>
      <c r="AT27" s="63">
        <v>4500903855</v>
      </c>
      <c r="AU27" s="55" t="s">
        <v>512</v>
      </c>
      <c r="AV27" s="74">
        <v>46141.471250000002</v>
      </c>
      <c r="AW27" s="55"/>
    </row>
    <row r="28" spans="1:49" ht="27" customHeight="1" x14ac:dyDescent="0.35">
      <c r="A28" s="11">
        <v>46117</v>
      </c>
      <c r="B28" s="1" t="s">
        <v>146</v>
      </c>
      <c r="C28" s="1" t="s">
        <v>81</v>
      </c>
      <c r="D28" s="1">
        <v>14095514</v>
      </c>
      <c r="E28" s="1" t="s">
        <v>147</v>
      </c>
      <c r="F28" s="1">
        <v>1</v>
      </c>
      <c r="G28" s="1" t="s">
        <v>43</v>
      </c>
      <c r="H28" s="1" t="s">
        <v>44</v>
      </c>
      <c r="I28" s="1" t="s">
        <v>45</v>
      </c>
      <c r="J28" s="1" t="s">
        <v>45</v>
      </c>
      <c r="K28" s="11">
        <v>46101</v>
      </c>
      <c r="L28" s="1" t="s">
        <v>148</v>
      </c>
      <c r="M28" s="1">
        <v>327.25</v>
      </c>
      <c r="N28" s="1" t="s">
        <v>56</v>
      </c>
      <c r="O28" s="1">
        <v>1</v>
      </c>
      <c r="P28" s="1" t="s">
        <v>43</v>
      </c>
      <c r="Q28" s="1">
        <v>1208</v>
      </c>
      <c r="R28" s="1">
        <v>2</v>
      </c>
      <c r="S28" s="1">
        <v>4500896757</v>
      </c>
      <c r="T28" s="1" t="s">
        <v>72</v>
      </c>
      <c r="U28" s="1" t="s">
        <v>84</v>
      </c>
      <c r="V28" s="1" t="s">
        <v>70</v>
      </c>
      <c r="W28" s="1" t="s">
        <v>84</v>
      </c>
      <c r="X28" s="1" t="s">
        <v>49</v>
      </c>
      <c r="Y28" s="1">
        <v>0</v>
      </c>
      <c r="Z28" s="1" t="s">
        <v>194</v>
      </c>
      <c r="AA28" s="1" t="s">
        <v>96</v>
      </c>
      <c r="AB28" s="1" t="s">
        <v>83</v>
      </c>
      <c r="AC28" s="1"/>
      <c r="AD28" s="1" t="s">
        <v>52</v>
      </c>
      <c r="AE28" s="1"/>
      <c r="AF28" s="1">
        <v>46125</v>
      </c>
      <c r="AG28" s="1">
        <v>46117</v>
      </c>
      <c r="AH28" s="1">
        <v>46154</v>
      </c>
      <c r="AI28" s="1">
        <v>29</v>
      </c>
      <c r="AJ28" s="1">
        <v>2069.12</v>
      </c>
      <c r="AK28" s="1" t="s">
        <v>46</v>
      </c>
      <c r="AL28" s="1">
        <v>2069.12</v>
      </c>
      <c r="AM28" s="1"/>
      <c r="AN28" s="1"/>
      <c r="AO28" s="1"/>
      <c r="AP28" s="12" t="s">
        <v>149</v>
      </c>
      <c r="AQ28" s="13">
        <v>-21</v>
      </c>
      <c r="AR28" s="1" t="s">
        <v>53</v>
      </c>
      <c r="AS28" s="1" t="s">
        <v>54</v>
      </c>
      <c r="AV28" s="65"/>
    </row>
    <row r="29" spans="1:49" x14ac:dyDescent="0.35">
      <c r="A29" s="11">
        <v>46137</v>
      </c>
      <c r="B29" s="1" t="s">
        <v>409</v>
      </c>
      <c r="C29" s="1" t="s">
        <v>42</v>
      </c>
      <c r="D29" s="75">
        <v>14071061</v>
      </c>
      <c r="E29" s="1" t="s">
        <v>346</v>
      </c>
      <c r="F29" s="1">
        <v>1</v>
      </c>
      <c r="G29" s="1" t="s">
        <v>43</v>
      </c>
      <c r="H29" s="1" t="s">
        <v>71</v>
      </c>
      <c r="I29" s="1" t="s">
        <v>45</v>
      </c>
      <c r="J29" s="1" t="s">
        <v>45</v>
      </c>
      <c r="K29" s="1"/>
      <c r="L29" s="1"/>
      <c r="M29" s="1"/>
      <c r="N29" s="1"/>
      <c r="O29" s="1"/>
      <c r="P29" s="1"/>
      <c r="Q29" s="1"/>
      <c r="R29" s="1"/>
      <c r="S29" s="1"/>
      <c r="T29" s="1" t="s">
        <v>72</v>
      </c>
      <c r="U29" s="1" t="s">
        <v>69</v>
      </c>
      <c r="V29" s="1" t="s">
        <v>70</v>
      </c>
      <c r="W29" s="1" t="s">
        <v>73</v>
      </c>
      <c r="X29" s="1" t="s">
        <v>59</v>
      </c>
      <c r="Y29" s="1">
        <v>0</v>
      </c>
      <c r="Z29" s="1" t="s">
        <v>50</v>
      </c>
      <c r="AA29" s="1" t="s">
        <v>74</v>
      </c>
      <c r="AB29" s="1" t="s">
        <v>61</v>
      </c>
      <c r="AC29" s="1"/>
      <c r="AD29" s="1" t="s">
        <v>52</v>
      </c>
      <c r="AE29" s="1"/>
      <c r="AF29" s="1">
        <v>46137</v>
      </c>
      <c r="AG29" s="1">
        <v>46137</v>
      </c>
      <c r="AH29" s="1">
        <v>46138</v>
      </c>
      <c r="AI29" s="1">
        <v>0</v>
      </c>
      <c r="AJ29" s="1">
        <v>84.11</v>
      </c>
      <c r="AK29" s="1" t="s">
        <v>46</v>
      </c>
      <c r="AL29" s="1">
        <v>84.11</v>
      </c>
      <c r="AM29" s="1" t="s">
        <v>410</v>
      </c>
      <c r="AN29" s="1">
        <v>4215944</v>
      </c>
      <c r="AO29" s="1"/>
      <c r="AP29" s="12" t="s">
        <v>411</v>
      </c>
      <c r="AQ29" s="13">
        <v>-1</v>
      </c>
      <c r="AR29" s="1" t="s">
        <v>53</v>
      </c>
      <c r="AS29" s="1" t="s">
        <v>54</v>
      </c>
    </row>
    <row r="30" spans="1:49" x14ac:dyDescent="0.35">
      <c r="A30" s="39">
        <v>46098</v>
      </c>
      <c r="B30" s="40" t="s">
        <v>584</v>
      </c>
      <c r="C30" s="40" t="s">
        <v>81</v>
      </c>
      <c r="D30" s="40">
        <v>14074144</v>
      </c>
      <c r="E30" s="40" t="s">
        <v>459</v>
      </c>
      <c r="F30" s="40">
        <v>120</v>
      </c>
      <c r="G30" s="40" t="s">
        <v>43</v>
      </c>
      <c r="H30" s="40" t="s">
        <v>44</v>
      </c>
      <c r="I30" s="40">
        <v>12.233898305084747</v>
      </c>
      <c r="J30" s="40">
        <v>152326</v>
      </c>
      <c r="K30" s="39">
        <v>46133</v>
      </c>
      <c r="L30" s="40" t="s">
        <v>330</v>
      </c>
      <c r="M30" s="40">
        <v>12.87</v>
      </c>
      <c r="N30" s="40" t="s">
        <v>46</v>
      </c>
      <c r="O30" s="40">
        <v>1</v>
      </c>
      <c r="P30" s="40" t="s">
        <v>43</v>
      </c>
      <c r="Q30" s="40">
        <v>1102</v>
      </c>
      <c r="R30" s="40">
        <v>1</v>
      </c>
      <c r="S30" s="40">
        <v>4500902388</v>
      </c>
      <c r="T30" s="40" t="s">
        <v>460</v>
      </c>
      <c r="U30" s="40" t="s">
        <v>84</v>
      </c>
      <c r="V30" s="40" t="s">
        <v>47</v>
      </c>
      <c r="W30" s="40" t="s">
        <v>84</v>
      </c>
      <c r="X30" s="40" t="s">
        <v>49</v>
      </c>
      <c r="Y30" s="40">
        <v>0</v>
      </c>
      <c r="Z30" s="40" t="s">
        <v>131</v>
      </c>
      <c r="AA30" s="40" t="s">
        <v>96</v>
      </c>
      <c r="AB30" s="40" t="s">
        <v>83</v>
      </c>
      <c r="AC30" s="40" t="s">
        <v>560</v>
      </c>
      <c r="AD30" s="40" t="s">
        <v>91</v>
      </c>
      <c r="AE30" s="40">
        <v>46121</v>
      </c>
      <c r="AF30" s="40">
        <v>46141</v>
      </c>
      <c r="AG30" s="40">
        <v>46098</v>
      </c>
      <c r="AH30" s="40">
        <v>46170</v>
      </c>
      <c r="AI30" s="40">
        <v>29</v>
      </c>
      <c r="AJ30" s="40">
        <v>12.34</v>
      </c>
      <c r="AK30" s="40" t="s">
        <v>46</v>
      </c>
      <c r="AL30" s="40">
        <v>1480.8</v>
      </c>
      <c r="AM30" s="40"/>
      <c r="AN30" s="40"/>
      <c r="AO30" s="40"/>
      <c r="AP30" s="41" t="s">
        <v>585</v>
      </c>
      <c r="AQ30" s="42">
        <v>-40</v>
      </c>
      <c r="AR30" s="40" t="s">
        <v>53</v>
      </c>
      <c r="AS30" s="40" t="s">
        <v>54</v>
      </c>
      <c r="AT30" s="63">
        <v>4500903857</v>
      </c>
      <c r="AU30" s="55" t="s">
        <v>512</v>
      </c>
      <c r="AV30" s="74">
        <v>46141.4844212963</v>
      </c>
      <c r="AW30" s="55"/>
    </row>
    <row r="31" spans="1:49" ht="30" customHeight="1" x14ac:dyDescent="0.35">
      <c r="A31" s="39">
        <v>46141</v>
      </c>
      <c r="B31" s="40" t="s">
        <v>567</v>
      </c>
      <c r="C31" s="40" t="s">
        <v>42</v>
      </c>
      <c r="D31" s="40">
        <v>14074281</v>
      </c>
      <c r="E31" s="40" t="s">
        <v>568</v>
      </c>
      <c r="F31" s="40">
        <v>2</v>
      </c>
      <c r="G31" s="40" t="s">
        <v>43</v>
      </c>
      <c r="H31" s="40" t="s">
        <v>88</v>
      </c>
      <c r="I31" s="40">
        <v>10.91</v>
      </c>
      <c r="J31" s="40">
        <v>107912</v>
      </c>
      <c r="K31" s="40"/>
      <c r="L31" s="40" t="s">
        <v>330</v>
      </c>
      <c r="M31" s="40">
        <v>10.91</v>
      </c>
      <c r="N31" s="40" t="s">
        <v>46</v>
      </c>
      <c r="O31" s="40"/>
      <c r="P31" s="40"/>
      <c r="Q31" s="40"/>
      <c r="R31" s="40"/>
      <c r="S31" s="40"/>
      <c r="T31" s="40" t="s">
        <v>564</v>
      </c>
      <c r="U31" s="40" t="s">
        <v>69</v>
      </c>
      <c r="V31" s="40" t="s">
        <v>70</v>
      </c>
      <c r="W31" s="40" t="s">
        <v>89</v>
      </c>
      <c r="X31" s="40" t="s">
        <v>59</v>
      </c>
      <c r="Y31" s="40">
        <v>0</v>
      </c>
      <c r="Z31" s="40" t="s">
        <v>50</v>
      </c>
      <c r="AA31" s="40" t="s">
        <v>90</v>
      </c>
      <c r="AB31" s="40" t="s">
        <v>61</v>
      </c>
      <c r="AC31" s="40"/>
      <c r="AD31" s="40" t="s">
        <v>52</v>
      </c>
      <c r="AE31" s="40"/>
      <c r="AF31" s="40">
        <v>46141</v>
      </c>
      <c r="AG31" s="40">
        <v>46141</v>
      </c>
      <c r="AH31" s="40">
        <v>46142</v>
      </c>
      <c r="AI31" s="40">
        <v>0</v>
      </c>
      <c r="AJ31" s="40">
        <v>19.95</v>
      </c>
      <c r="AK31" s="40" t="s">
        <v>46</v>
      </c>
      <c r="AL31" s="40">
        <v>39.9</v>
      </c>
      <c r="AM31" s="40" t="s">
        <v>569</v>
      </c>
      <c r="AN31" s="40">
        <v>4216120</v>
      </c>
      <c r="AO31" s="40"/>
      <c r="AP31" s="41" t="s">
        <v>570</v>
      </c>
      <c r="AQ31" s="42">
        <v>3</v>
      </c>
      <c r="AR31" s="40" t="s">
        <v>62</v>
      </c>
      <c r="AS31" s="40" t="s">
        <v>54</v>
      </c>
      <c r="AT31" s="63">
        <v>4500903855</v>
      </c>
      <c r="AU31" s="55" t="s">
        <v>512</v>
      </c>
      <c r="AV31" s="74">
        <v>46141.471250000002</v>
      </c>
      <c r="AW31" s="55"/>
    </row>
    <row r="32" spans="1:49" x14ac:dyDescent="0.35">
      <c r="A32" s="39">
        <v>46141</v>
      </c>
      <c r="B32" s="40" t="s">
        <v>571</v>
      </c>
      <c r="C32" s="40" t="s">
        <v>42</v>
      </c>
      <c r="D32" s="40">
        <v>14074281</v>
      </c>
      <c r="E32" s="40" t="s">
        <v>568</v>
      </c>
      <c r="F32" s="40">
        <v>2</v>
      </c>
      <c r="G32" s="40" t="s">
        <v>43</v>
      </c>
      <c r="H32" s="40" t="s">
        <v>88</v>
      </c>
      <c r="I32" s="40">
        <v>10.91</v>
      </c>
      <c r="J32" s="40">
        <v>107912</v>
      </c>
      <c r="K32" s="40"/>
      <c r="L32" s="40" t="s">
        <v>330</v>
      </c>
      <c r="M32" s="40">
        <v>10.91</v>
      </c>
      <c r="N32" s="40" t="s">
        <v>46</v>
      </c>
      <c r="O32" s="40"/>
      <c r="P32" s="40"/>
      <c r="Q32" s="40"/>
      <c r="R32" s="40"/>
      <c r="S32" s="40"/>
      <c r="T32" s="40" t="s">
        <v>564</v>
      </c>
      <c r="U32" s="40" t="s">
        <v>69</v>
      </c>
      <c r="V32" s="40" t="s">
        <v>70</v>
      </c>
      <c r="W32" s="40" t="s">
        <v>89</v>
      </c>
      <c r="X32" s="40" t="s">
        <v>59</v>
      </c>
      <c r="Y32" s="40">
        <v>0</v>
      </c>
      <c r="Z32" s="40" t="s">
        <v>50</v>
      </c>
      <c r="AA32" s="40" t="s">
        <v>90</v>
      </c>
      <c r="AB32" s="40" t="s">
        <v>61</v>
      </c>
      <c r="AC32" s="40"/>
      <c r="AD32" s="40" t="s">
        <v>52</v>
      </c>
      <c r="AE32" s="40"/>
      <c r="AF32" s="40">
        <v>46141</v>
      </c>
      <c r="AG32" s="40">
        <v>46141</v>
      </c>
      <c r="AH32" s="40">
        <v>46142</v>
      </c>
      <c r="AI32" s="40">
        <v>0</v>
      </c>
      <c r="AJ32" s="40">
        <v>19.95</v>
      </c>
      <c r="AK32" s="40" t="s">
        <v>46</v>
      </c>
      <c r="AL32" s="40">
        <v>39.9</v>
      </c>
      <c r="AM32" s="40" t="s">
        <v>572</v>
      </c>
      <c r="AN32" s="40">
        <v>4216121</v>
      </c>
      <c r="AO32" s="40"/>
      <c r="AP32" s="41" t="s">
        <v>573</v>
      </c>
      <c r="AQ32" s="42">
        <v>3</v>
      </c>
      <c r="AR32" s="40" t="s">
        <v>62</v>
      </c>
      <c r="AS32" s="40" t="s">
        <v>54</v>
      </c>
      <c r="AT32" s="63">
        <v>4500903855</v>
      </c>
      <c r="AU32" s="55" t="s">
        <v>512</v>
      </c>
      <c r="AV32" s="74">
        <v>46141.471250000002</v>
      </c>
      <c r="AW32" s="55"/>
    </row>
    <row r="33" spans="1:49" x14ac:dyDescent="0.35">
      <c r="A33" s="39">
        <v>46140</v>
      </c>
      <c r="B33" s="40" t="s">
        <v>458</v>
      </c>
      <c r="C33" s="40" t="s">
        <v>63</v>
      </c>
      <c r="D33" s="40">
        <v>14074144</v>
      </c>
      <c r="E33" s="40" t="s">
        <v>459</v>
      </c>
      <c r="F33" s="40">
        <v>1</v>
      </c>
      <c r="G33" s="40" t="s">
        <v>43</v>
      </c>
      <c r="H33" s="40" t="s">
        <v>71</v>
      </c>
      <c r="I33" s="40">
        <v>12.233898305084747</v>
      </c>
      <c r="J33" s="40">
        <v>152326</v>
      </c>
      <c r="K33" s="39">
        <v>46133</v>
      </c>
      <c r="L33" s="40" t="s">
        <v>330</v>
      </c>
      <c r="M33" s="40">
        <v>12.87</v>
      </c>
      <c r="N33" s="40" t="s">
        <v>46</v>
      </c>
      <c r="O33" s="40">
        <v>1</v>
      </c>
      <c r="P33" s="40" t="s">
        <v>43</v>
      </c>
      <c r="Q33" s="40">
        <v>1102</v>
      </c>
      <c r="R33" s="40">
        <v>1</v>
      </c>
      <c r="S33" s="40">
        <v>4500902388</v>
      </c>
      <c r="T33" s="40" t="s">
        <v>460</v>
      </c>
      <c r="U33" s="40" t="s">
        <v>461</v>
      </c>
      <c r="V33" s="40" t="s">
        <v>70</v>
      </c>
      <c r="W33" s="40" t="s">
        <v>73</v>
      </c>
      <c r="X33" s="40" t="s">
        <v>59</v>
      </c>
      <c r="Y33" s="40">
        <v>0</v>
      </c>
      <c r="Z33" s="40" t="s">
        <v>131</v>
      </c>
      <c r="AA33" s="40" t="s">
        <v>74</v>
      </c>
      <c r="AB33" s="40" t="s">
        <v>61</v>
      </c>
      <c r="AC33" s="40" t="s">
        <v>592</v>
      </c>
      <c r="AD33" s="40" t="s">
        <v>42</v>
      </c>
      <c r="AE33" s="40">
        <v>46140</v>
      </c>
      <c r="AF33" s="40">
        <v>46140</v>
      </c>
      <c r="AG33" s="40">
        <v>46140</v>
      </c>
      <c r="AH33" s="40">
        <v>46141</v>
      </c>
      <c r="AI33" s="40">
        <v>0</v>
      </c>
      <c r="AJ33" s="40">
        <v>12.34</v>
      </c>
      <c r="AK33" s="40" t="s">
        <v>46</v>
      </c>
      <c r="AL33" s="40">
        <v>12.34</v>
      </c>
      <c r="AM33" s="40" t="s">
        <v>462</v>
      </c>
      <c r="AN33" s="40">
        <v>2023783</v>
      </c>
      <c r="AO33" s="40"/>
      <c r="AP33" s="41" t="s">
        <v>463</v>
      </c>
      <c r="AQ33" s="42">
        <v>2</v>
      </c>
      <c r="AR33" s="40" t="s">
        <v>62</v>
      </c>
      <c r="AS33" s="40" t="s">
        <v>54</v>
      </c>
      <c r="AT33" s="63">
        <v>4500903857</v>
      </c>
      <c r="AU33" s="55" t="s">
        <v>512</v>
      </c>
      <c r="AV33" s="74">
        <v>46141.4844212963</v>
      </c>
      <c r="AW33" s="55"/>
    </row>
    <row r="34" spans="1:49" x14ac:dyDescent="0.35">
      <c r="A34" s="11">
        <v>46126</v>
      </c>
      <c r="B34" s="1" t="s">
        <v>227</v>
      </c>
      <c r="C34" s="1" t="s">
        <v>42</v>
      </c>
      <c r="D34" s="1">
        <v>14904893</v>
      </c>
      <c r="E34" s="1" t="s">
        <v>228</v>
      </c>
      <c r="F34" s="1">
        <v>1</v>
      </c>
      <c r="G34" s="1" t="s">
        <v>43</v>
      </c>
      <c r="H34" s="1" t="s">
        <v>44</v>
      </c>
      <c r="I34" s="1" t="s">
        <v>45</v>
      </c>
      <c r="J34" s="1" t="s">
        <v>45</v>
      </c>
      <c r="K34" s="1"/>
      <c r="L34" s="1"/>
      <c r="M34" s="1"/>
      <c r="N34" s="1"/>
      <c r="O34" s="1"/>
      <c r="P34" s="1"/>
      <c r="Q34" s="1"/>
      <c r="R34" s="1"/>
      <c r="S34" s="1"/>
      <c r="T34" s="1" t="s">
        <v>229</v>
      </c>
      <c r="U34" s="1" t="s">
        <v>128</v>
      </c>
      <c r="V34" s="1" t="s">
        <v>70</v>
      </c>
      <c r="W34" s="1" t="s">
        <v>84</v>
      </c>
      <c r="X34" s="1" t="s">
        <v>49</v>
      </c>
      <c r="Y34" s="1">
        <v>0</v>
      </c>
      <c r="Z34" s="1" t="s">
        <v>50</v>
      </c>
      <c r="AA34" s="1" t="s">
        <v>87</v>
      </c>
      <c r="AB34" s="1" t="s">
        <v>61</v>
      </c>
      <c r="AC34" s="1"/>
      <c r="AD34" s="1" t="s">
        <v>52</v>
      </c>
      <c r="AE34" s="1"/>
      <c r="AF34" s="1">
        <v>46126</v>
      </c>
      <c r="AG34" s="1">
        <v>46126</v>
      </c>
      <c r="AH34" s="1">
        <v>46127</v>
      </c>
      <c r="AI34" s="1">
        <v>0</v>
      </c>
      <c r="AJ34" s="1">
        <v>126.87</v>
      </c>
      <c r="AK34" s="1" t="s">
        <v>46</v>
      </c>
      <c r="AL34" s="1">
        <v>126.87</v>
      </c>
      <c r="AM34" s="1" t="s">
        <v>230</v>
      </c>
      <c r="AN34" s="1">
        <v>4214406</v>
      </c>
      <c r="AO34" s="1"/>
      <c r="AP34" s="12" t="s">
        <v>231</v>
      </c>
      <c r="AQ34" s="13">
        <v>-12</v>
      </c>
      <c r="AR34" s="1" t="s">
        <v>53</v>
      </c>
      <c r="AS34" s="1" t="s">
        <v>54</v>
      </c>
    </row>
    <row r="35" spans="1:49" x14ac:dyDescent="0.35">
      <c r="A35" s="11">
        <v>46136</v>
      </c>
      <c r="B35" s="1" t="s">
        <v>412</v>
      </c>
      <c r="C35" s="1" t="s">
        <v>42</v>
      </c>
      <c r="D35" s="1">
        <v>14084895</v>
      </c>
      <c r="E35" s="1" t="s">
        <v>413</v>
      </c>
      <c r="F35" s="1">
        <v>1</v>
      </c>
      <c r="G35" s="1" t="s">
        <v>43</v>
      </c>
      <c r="H35" s="1" t="s">
        <v>44</v>
      </c>
      <c r="I35" s="1" t="s">
        <v>45</v>
      </c>
      <c r="J35" s="1" t="s">
        <v>45</v>
      </c>
      <c r="K35" s="1"/>
      <c r="L35" s="1"/>
      <c r="M35" s="1"/>
      <c r="N35" s="1"/>
      <c r="O35" s="1"/>
      <c r="P35" s="1"/>
      <c r="Q35" s="1"/>
      <c r="R35" s="1"/>
      <c r="S35" s="1"/>
      <c r="T35" s="1" t="s">
        <v>229</v>
      </c>
      <c r="U35" s="1" t="s">
        <v>128</v>
      </c>
      <c r="V35" s="1" t="s">
        <v>70</v>
      </c>
      <c r="W35" s="1" t="s">
        <v>84</v>
      </c>
      <c r="X35" s="1" t="s">
        <v>49</v>
      </c>
      <c r="Y35" s="1">
        <v>0</v>
      </c>
      <c r="Z35" s="1" t="s">
        <v>50</v>
      </c>
      <c r="AA35" s="1" t="s">
        <v>87</v>
      </c>
      <c r="AB35" s="1" t="s">
        <v>61</v>
      </c>
      <c r="AC35" s="1"/>
      <c r="AD35" s="1" t="s">
        <v>52</v>
      </c>
      <c r="AE35" s="1"/>
      <c r="AF35" s="1">
        <v>46136</v>
      </c>
      <c r="AG35" s="1">
        <v>46136</v>
      </c>
      <c r="AH35" s="1">
        <v>46137</v>
      </c>
      <c r="AI35" s="1">
        <v>0</v>
      </c>
      <c r="AJ35" s="1">
        <v>35.71</v>
      </c>
      <c r="AK35" s="1" t="s">
        <v>46</v>
      </c>
      <c r="AL35" s="1">
        <v>35.71</v>
      </c>
      <c r="AM35" s="1" t="s">
        <v>414</v>
      </c>
      <c r="AN35" s="1">
        <v>4214428</v>
      </c>
      <c r="AO35" s="1"/>
      <c r="AP35" s="12" t="s">
        <v>415</v>
      </c>
      <c r="AQ35" s="13">
        <v>-2</v>
      </c>
      <c r="AR35" s="1" t="s">
        <v>53</v>
      </c>
      <c r="AS35" s="1" t="s">
        <v>54</v>
      </c>
    </row>
    <row r="36" spans="1:49" s="81" customFormat="1" x14ac:dyDescent="0.35">
      <c r="A36" s="76">
        <v>46113</v>
      </c>
      <c r="B36" s="77" t="s">
        <v>150</v>
      </c>
      <c r="C36" s="77" t="s">
        <v>42</v>
      </c>
      <c r="D36" s="77">
        <v>14086740</v>
      </c>
      <c r="E36" s="77" t="s">
        <v>151</v>
      </c>
      <c r="F36" s="77">
        <v>10</v>
      </c>
      <c r="G36" s="77" t="s">
        <v>43</v>
      </c>
      <c r="H36" s="77" t="s">
        <v>92</v>
      </c>
      <c r="I36" s="77" t="s">
        <v>45</v>
      </c>
      <c r="J36" s="77" t="s">
        <v>45</v>
      </c>
      <c r="K36" s="77"/>
      <c r="L36" s="77"/>
      <c r="M36" s="77"/>
      <c r="N36" s="77"/>
      <c r="O36" s="77"/>
      <c r="P36" s="77"/>
      <c r="Q36" s="77"/>
      <c r="R36" s="77"/>
      <c r="S36" s="77"/>
      <c r="T36" s="77" t="s">
        <v>152</v>
      </c>
      <c r="U36" s="77" t="s">
        <v>134</v>
      </c>
      <c r="V36" s="77" t="s">
        <v>104</v>
      </c>
      <c r="W36" s="77" t="s">
        <v>93</v>
      </c>
      <c r="X36" s="77" t="s">
        <v>59</v>
      </c>
      <c r="Y36" s="77">
        <v>0</v>
      </c>
      <c r="Z36" s="77" t="s">
        <v>50</v>
      </c>
      <c r="AA36" s="77" t="s">
        <v>94</v>
      </c>
      <c r="AB36" s="77" t="s">
        <v>61</v>
      </c>
      <c r="AC36" s="77"/>
      <c r="AD36" s="77" t="s">
        <v>52</v>
      </c>
      <c r="AE36" s="77"/>
      <c r="AF36" s="77">
        <v>46113</v>
      </c>
      <c r="AG36" s="77">
        <v>46113</v>
      </c>
      <c r="AH36" s="77">
        <v>46114</v>
      </c>
      <c r="AI36" s="77">
        <v>0</v>
      </c>
      <c r="AJ36" s="77">
        <v>6.75</v>
      </c>
      <c r="AK36" s="77" t="s">
        <v>46</v>
      </c>
      <c r="AL36" s="77">
        <v>67.5</v>
      </c>
      <c r="AM36" s="77" t="s">
        <v>153</v>
      </c>
      <c r="AN36" s="77">
        <v>4214539</v>
      </c>
      <c r="AO36" s="77"/>
      <c r="AP36" s="78" t="s">
        <v>154</v>
      </c>
      <c r="AQ36" s="79">
        <v>-25</v>
      </c>
      <c r="AR36" s="77" t="s">
        <v>53</v>
      </c>
      <c r="AS36" s="77" t="s">
        <v>54</v>
      </c>
      <c r="AT36" s="80"/>
      <c r="AU36" s="77"/>
      <c r="AV36" s="77"/>
      <c r="AW36" s="77"/>
    </row>
    <row r="37" spans="1:49" ht="16.5" customHeight="1" x14ac:dyDescent="0.35">
      <c r="A37" s="66">
        <v>46123</v>
      </c>
      <c r="B37" s="67" t="s">
        <v>185</v>
      </c>
      <c r="C37" s="67" t="s">
        <v>42</v>
      </c>
      <c r="D37" s="67">
        <v>14077305</v>
      </c>
      <c r="E37" s="67" t="s">
        <v>186</v>
      </c>
      <c r="F37" s="67">
        <v>1</v>
      </c>
      <c r="G37" s="67" t="s">
        <v>43</v>
      </c>
      <c r="H37" s="67" t="s">
        <v>44</v>
      </c>
      <c r="I37" s="67" t="s">
        <v>45</v>
      </c>
      <c r="J37" s="67" t="s">
        <v>45</v>
      </c>
      <c r="K37" s="66">
        <v>46140</v>
      </c>
      <c r="L37" s="67" t="s">
        <v>593</v>
      </c>
      <c r="M37" s="67">
        <v>10</v>
      </c>
      <c r="N37" s="67" t="s">
        <v>46</v>
      </c>
      <c r="O37" s="67">
        <v>1</v>
      </c>
      <c r="P37" s="67" t="s">
        <v>43</v>
      </c>
      <c r="Q37" s="67">
        <v>1207</v>
      </c>
      <c r="R37" s="67">
        <v>20</v>
      </c>
      <c r="S37" s="67">
        <v>4500903711</v>
      </c>
      <c r="T37" s="67" t="s">
        <v>152</v>
      </c>
      <c r="U37" s="67" t="s">
        <v>134</v>
      </c>
      <c r="V37" s="67" t="s">
        <v>70</v>
      </c>
      <c r="W37" s="67" t="s">
        <v>84</v>
      </c>
      <c r="X37" s="67" t="s">
        <v>49</v>
      </c>
      <c r="Y37" s="67">
        <v>0</v>
      </c>
      <c r="Z37" s="67" t="s">
        <v>50</v>
      </c>
      <c r="AA37" s="67" t="s">
        <v>87</v>
      </c>
      <c r="AB37" s="67" t="s">
        <v>61</v>
      </c>
      <c r="AC37" s="67"/>
      <c r="AD37" s="67" t="s">
        <v>52</v>
      </c>
      <c r="AE37" s="67"/>
      <c r="AF37" s="67">
        <v>46123</v>
      </c>
      <c r="AG37" s="67">
        <v>46134</v>
      </c>
      <c r="AH37" s="67">
        <v>46124</v>
      </c>
      <c r="AI37" s="67">
        <v>0</v>
      </c>
      <c r="AJ37" s="67">
        <v>1.86</v>
      </c>
      <c r="AK37" s="67" t="s">
        <v>46</v>
      </c>
      <c r="AL37" s="67">
        <v>1.86</v>
      </c>
      <c r="AM37" s="67" t="s">
        <v>187</v>
      </c>
      <c r="AN37" s="67">
        <v>4214666</v>
      </c>
      <c r="AO37" s="67"/>
      <c r="AP37" s="68" t="s">
        <v>188</v>
      </c>
      <c r="AQ37" s="69">
        <v>-15</v>
      </c>
      <c r="AR37" s="67" t="s">
        <v>53</v>
      </c>
      <c r="AS37" s="67" t="s">
        <v>54</v>
      </c>
      <c r="AT37" s="70"/>
      <c r="AU37" s="71" t="s">
        <v>510</v>
      </c>
      <c r="AV37" s="72">
        <v>46141.503865740742</v>
      </c>
      <c r="AW37" s="71" t="s">
        <v>651</v>
      </c>
    </row>
    <row r="38" spans="1:49" x14ac:dyDescent="0.35">
      <c r="A38" s="66">
        <v>46124</v>
      </c>
      <c r="B38" s="67" t="s">
        <v>200</v>
      </c>
      <c r="C38" s="67" t="s">
        <v>42</v>
      </c>
      <c r="D38" s="67">
        <v>14013754</v>
      </c>
      <c r="E38" s="67" t="s">
        <v>201</v>
      </c>
      <c r="F38" s="67">
        <v>24</v>
      </c>
      <c r="G38" s="67" t="s">
        <v>43</v>
      </c>
      <c r="H38" s="67" t="s">
        <v>44</v>
      </c>
      <c r="I38" s="67" t="s">
        <v>45</v>
      </c>
      <c r="J38" s="67" t="s">
        <v>45</v>
      </c>
      <c r="K38" s="67" t="s">
        <v>657</v>
      </c>
      <c r="L38" s="67" t="s">
        <v>657</v>
      </c>
      <c r="M38" s="67" t="s">
        <v>657</v>
      </c>
      <c r="N38" s="67" t="s">
        <v>657</v>
      </c>
      <c r="O38" s="67" t="s">
        <v>657</v>
      </c>
      <c r="P38" s="67" t="s">
        <v>657</v>
      </c>
      <c r="Q38" s="67" t="s">
        <v>657</v>
      </c>
      <c r="R38" s="67" t="s">
        <v>657</v>
      </c>
      <c r="S38" s="67" t="s">
        <v>657</v>
      </c>
      <c r="T38" s="67" t="s">
        <v>152</v>
      </c>
      <c r="U38" s="67" t="s">
        <v>109</v>
      </c>
      <c r="V38" s="67" t="s">
        <v>70</v>
      </c>
      <c r="W38" s="67" t="s">
        <v>84</v>
      </c>
      <c r="X38" s="67" t="s">
        <v>49</v>
      </c>
      <c r="Y38" s="67">
        <v>0</v>
      </c>
      <c r="Z38" s="67" t="s">
        <v>50</v>
      </c>
      <c r="AA38" s="67" t="s">
        <v>87</v>
      </c>
      <c r="AB38" s="67" t="s">
        <v>61</v>
      </c>
      <c r="AC38" s="67"/>
      <c r="AD38" s="67" t="s">
        <v>52</v>
      </c>
      <c r="AE38" s="67"/>
      <c r="AF38" s="67">
        <v>46124</v>
      </c>
      <c r="AG38" s="67">
        <v>46124</v>
      </c>
      <c r="AH38" s="67">
        <v>46154</v>
      </c>
      <c r="AI38" s="67">
        <v>29</v>
      </c>
      <c r="AJ38" s="67">
        <v>3.46</v>
      </c>
      <c r="AK38" s="67" t="s">
        <v>46</v>
      </c>
      <c r="AL38" s="67">
        <v>83.04</v>
      </c>
      <c r="AM38" s="67" t="s">
        <v>202</v>
      </c>
      <c r="AN38" s="67">
        <v>4215124</v>
      </c>
      <c r="AO38" s="67"/>
      <c r="AP38" s="68" t="s">
        <v>203</v>
      </c>
      <c r="AQ38" s="69">
        <v>-14</v>
      </c>
      <c r="AR38" s="67" t="s">
        <v>53</v>
      </c>
      <c r="AS38" s="67" t="s">
        <v>54</v>
      </c>
      <c r="AT38" s="70"/>
      <c r="AU38" s="71" t="s">
        <v>510</v>
      </c>
      <c r="AV38" s="72">
        <v>46141.590763888889</v>
      </c>
      <c r="AW38" s="71" t="s">
        <v>658</v>
      </c>
    </row>
    <row r="39" spans="1:49" x14ac:dyDescent="0.35">
      <c r="A39" s="11">
        <v>46133</v>
      </c>
      <c r="B39" s="1" t="s">
        <v>299</v>
      </c>
      <c r="C39" s="1" t="s">
        <v>42</v>
      </c>
      <c r="D39" s="82">
        <v>14092817</v>
      </c>
      <c r="E39" s="1" t="s">
        <v>300</v>
      </c>
      <c r="F39" s="1">
        <v>15</v>
      </c>
      <c r="G39" s="1" t="s">
        <v>43</v>
      </c>
      <c r="H39" s="1" t="s">
        <v>88</v>
      </c>
      <c r="I39" s="1" t="s">
        <v>45</v>
      </c>
      <c r="J39" s="1" t="s">
        <v>45</v>
      </c>
      <c r="K39" s="1"/>
      <c r="L39" s="1"/>
      <c r="M39" s="1"/>
      <c r="N39" s="1"/>
      <c r="O39" s="1"/>
      <c r="P39" s="1"/>
      <c r="Q39" s="1"/>
      <c r="R39" s="1"/>
      <c r="S39" s="1"/>
      <c r="T39" s="1" t="s">
        <v>152</v>
      </c>
      <c r="U39" s="1" t="s">
        <v>301</v>
      </c>
      <c r="V39" s="1" t="s">
        <v>70</v>
      </c>
      <c r="W39" s="1" t="s">
        <v>89</v>
      </c>
      <c r="X39" s="1" t="s">
        <v>59</v>
      </c>
      <c r="Y39" s="1">
        <v>0</v>
      </c>
      <c r="Z39" s="1" t="s">
        <v>50</v>
      </c>
      <c r="AA39" s="1" t="s">
        <v>90</v>
      </c>
      <c r="AB39" s="1" t="s">
        <v>61</v>
      </c>
      <c r="AC39" s="1"/>
      <c r="AD39" s="1" t="s">
        <v>52</v>
      </c>
      <c r="AE39" s="1"/>
      <c r="AF39" s="1">
        <v>46133</v>
      </c>
      <c r="AG39" s="1">
        <v>46133</v>
      </c>
      <c r="AH39" s="1">
        <v>46134</v>
      </c>
      <c r="AI39" s="1">
        <v>0</v>
      </c>
      <c r="AJ39" s="1">
        <v>23.24</v>
      </c>
      <c r="AK39" s="1" t="s">
        <v>46</v>
      </c>
      <c r="AL39" s="1">
        <v>348.6</v>
      </c>
      <c r="AM39" s="1" t="s">
        <v>302</v>
      </c>
      <c r="AN39" s="1">
        <v>2022437</v>
      </c>
      <c r="AO39" s="1"/>
      <c r="AP39" s="12" t="s">
        <v>303</v>
      </c>
      <c r="AQ39" s="13">
        <v>-5</v>
      </c>
      <c r="AR39" s="1" t="s">
        <v>53</v>
      </c>
      <c r="AS39" s="1" t="s">
        <v>54</v>
      </c>
      <c r="AU39" s="21" t="s">
        <v>516</v>
      </c>
      <c r="AV39" s="65">
        <v>46141.592546296299</v>
      </c>
      <c r="AW39" s="21" t="s">
        <v>659</v>
      </c>
    </row>
    <row r="40" spans="1:49" x14ac:dyDescent="0.35">
      <c r="A40" s="11">
        <v>46133</v>
      </c>
      <c r="B40" s="1" t="s">
        <v>299</v>
      </c>
      <c r="C40" s="1" t="s">
        <v>63</v>
      </c>
      <c r="D40" s="82">
        <v>14091436</v>
      </c>
      <c r="E40" s="1" t="s">
        <v>304</v>
      </c>
      <c r="F40" s="1">
        <v>15</v>
      </c>
      <c r="G40" s="1" t="s">
        <v>43</v>
      </c>
      <c r="H40" s="1" t="s">
        <v>88</v>
      </c>
      <c r="I40" s="1" t="s">
        <v>45</v>
      </c>
      <c r="J40" s="1" t="s">
        <v>45</v>
      </c>
      <c r="K40" s="1"/>
      <c r="L40" s="1"/>
      <c r="M40" s="1"/>
      <c r="N40" s="1"/>
      <c r="O40" s="1"/>
      <c r="P40" s="1"/>
      <c r="Q40" s="1"/>
      <c r="R40" s="1"/>
      <c r="S40" s="1"/>
      <c r="T40" s="1" t="s">
        <v>152</v>
      </c>
      <c r="U40" s="1" t="s">
        <v>301</v>
      </c>
      <c r="V40" s="1" t="s">
        <v>70</v>
      </c>
      <c r="W40" s="1" t="s">
        <v>89</v>
      </c>
      <c r="X40" s="1" t="s">
        <v>59</v>
      </c>
      <c r="Y40" s="1">
        <v>0</v>
      </c>
      <c r="Z40" s="1" t="s">
        <v>50</v>
      </c>
      <c r="AA40" s="1" t="s">
        <v>90</v>
      </c>
      <c r="AB40" s="1" t="s">
        <v>61</v>
      </c>
      <c r="AC40" s="1"/>
      <c r="AD40" s="1" t="s">
        <v>52</v>
      </c>
      <c r="AE40" s="1"/>
      <c r="AF40" s="1">
        <v>46133</v>
      </c>
      <c r="AG40" s="1">
        <v>46133</v>
      </c>
      <c r="AH40" s="1">
        <v>46134</v>
      </c>
      <c r="AI40" s="1">
        <v>0</v>
      </c>
      <c r="AJ40" s="1">
        <v>18.239999999999998</v>
      </c>
      <c r="AK40" s="1" t="s">
        <v>46</v>
      </c>
      <c r="AL40" s="1">
        <v>273.60000000000002</v>
      </c>
      <c r="AM40" s="1" t="s">
        <v>305</v>
      </c>
      <c r="AN40" s="1">
        <v>2022437</v>
      </c>
      <c r="AO40" s="1"/>
      <c r="AP40" s="12" t="s">
        <v>306</v>
      </c>
      <c r="AQ40" s="13">
        <v>-5</v>
      </c>
      <c r="AR40" s="1" t="s">
        <v>53</v>
      </c>
      <c r="AS40" s="1" t="s">
        <v>54</v>
      </c>
      <c r="AU40" s="21" t="s">
        <v>516</v>
      </c>
      <c r="AV40" s="65">
        <v>46141.592546296299</v>
      </c>
      <c r="AW40" s="21" t="s">
        <v>659</v>
      </c>
    </row>
    <row r="41" spans="1:49" x14ac:dyDescent="0.35">
      <c r="A41" s="11">
        <v>46134</v>
      </c>
      <c r="B41" s="1" t="s">
        <v>307</v>
      </c>
      <c r="C41" s="1" t="s">
        <v>42</v>
      </c>
      <c r="D41" s="82">
        <v>14093053</v>
      </c>
      <c r="E41" s="1" t="s">
        <v>308</v>
      </c>
      <c r="F41" s="1">
        <v>10</v>
      </c>
      <c r="G41" s="1" t="s">
        <v>43</v>
      </c>
      <c r="H41" s="1" t="s">
        <v>88</v>
      </c>
      <c r="I41" s="1" t="s">
        <v>45</v>
      </c>
      <c r="J41" s="1" t="s">
        <v>45</v>
      </c>
      <c r="K41" s="11">
        <v>45904</v>
      </c>
      <c r="L41" s="1" t="s">
        <v>82</v>
      </c>
      <c r="M41" s="1">
        <v>667.5</v>
      </c>
      <c r="N41" s="1" t="s">
        <v>56</v>
      </c>
      <c r="O41" s="1">
        <v>100</v>
      </c>
      <c r="P41" s="1" t="s">
        <v>43</v>
      </c>
      <c r="Q41" s="1">
        <v>1103</v>
      </c>
      <c r="R41" s="1">
        <v>10</v>
      </c>
      <c r="S41" s="1">
        <v>4500862990</v>
      </c>
      <c r="T41" s="1" t="s">
        <v>152</v>
      </c>
      <c r="U41" s="1" t="s">
        <v>301</v>
      </c>
      <c r="V41" s="1" t="s">
        <v>70</v>
      </c>
      <c r="W41" s="1" t="s">
        <v>89</v>
      </c>
      <c r="X41" s="1" t="s">
        <v>59</v>
      </c>
      <c r="Y41" s="1">
        <v>0</v>
      </c>
      <c r="Z41" s="1" t="s">
        <v>50</v>
      </c>
      <c r="AA41" s="1" t="s">
        <v>90</v>
      </c>
      <c r="AB41" s="1" t="s">
        <v>61</v>
      </c>
      <c r="AC41" s="1"/>
      <c r="AD41" s="1" t="s">
        <v>52</v>
      </c>
      <c r="AE41" s="1"/>
      <c r="AF41" s="1">
        <v>46134</v>
      </c>
      <c r="AG41" s="1">
        <v>46134</v>
      </c>
      <c r="AH41" s="1">
        <v>46135</v>
      </c>
      <c r="AI41" s="1">
        <v>0</v>
      </c>
      <c r="AJ41" s="1">
        <v>25.82</v>
      </c>
      <c r="AK41" s="1" t="s">
        <v>46</v>
      </c>
      <c r="AL41" s="1">
        <v>258.2</v>
      </c>
      <c r="AM41" s="1" t="s">
        <v>309</v>
      </c>
      <c r="AN41" s="1">
        <v>2022617</v>
      </c>
      <c r="AO41" s="1"/>
      <c r="AP41" s="12" t="s">
        <v>310</v>
      </c>
      <c r="AQ41" s="13">
        <v>-4</v>
      </c>
      <c r="AR41" s="1" t="s">
        <v>53</v>
      </c>
      <c r="AS41" s="1" t="s">
        <v>54</v>
      </c>
      <c r="AU41" s="21" t="s">
        <v>516</v>
      </c>
      <c r="AV41" s="65">
        <v>46141.592546296299</v>
      </c>
      <c r="AW41" s="21" t="s">
        <v>659</v>
      </c>
    </row>
    <row r="42" spans="1:49" x14ac:dyDescent="0.35">
      <c r="A42" s="11">
        <v>46114</v>
      </c>
      <c r="B42" s="1" t="s">
        <v>155</v>
      </c>
      <c r="C42" s="1" t="s">
        <v>63</v>
      </c>
      <c r="D42" s="82">
        <v>14079477</v>
      </c>
      <c r="E42" s="1" t="s">
        <v>156</v>
      </c>
      <c r="F42" s="1">
        <v>10</v>
      </c>
      <c r="G42" s="1" t="s">
        <v>43</v>
      </c>
      <c r="H42" s="1" t="s">
        <v>44</v>
      </c>
      <c r="I42" s="1" t="s">
        <v>45</v>
      </c>
      <c r="J42" s="1" t="s">
        <v>45</v>
      </c>
      <c r="K42" s="11">
        <v>45978</v>
      </c>
      <c r="L42" s="1" t="s">
        <v>80</v>
      </c>
      <c r="M42" s="1">
        <v>574.13</v>
      </c>
      <c r="N42" s="1" t="s">
        <v>56</v>
      </c>
      <c r="O42" s="1">
        <v>100</v>
      </c>
      <c r="P42" s="1" t="s">
        <v>43</v>
      </c>
      <c r="Q42" s="1">
        <v>1208</v>
      </c>
      <c r="R42" s="1">
        <v>8</v>
      </c>
      <c r="S42" s="1">
        <v>4500874512</v>
      </c>
      <c r="T42" s="1" t="s">
        <v>98</v>
      </c>
      <c r="U42" s="1" t="s">
        <v>144</v>
      </c>
      <c r="V42" s="1" t="s">
        <v>70</v>
      </c>
      <c r="W42" s="1" t="s">
        <v>84</v>
      </c>
      <c r="X42" s="1" t="s">
        <v>49</v>
      </c>
      <c r="Y42" s="1">
        <v>0</v>
      </c>
      <c r="Z42" s="1" t="s">
        <v>50</v>
      </c>
      <c r="AA42" s="1" t="s">
        <v>87</v>
      </c>
      <c r="AB42" s="1" t="s">
        <v>61</v>
      </c>
      <c r="AC42" s="1"/>
      <c r="AD42" s="1" t="s">
        <v>52</v>
      </c>
      <c r="AE42" s="1"/>
      <c r="AF42" s="1">
        <v>46114</v>
      </c>
      <c r="AG42" s="1">
        <v>46114</v>
      </c>
      <c r="AH42" s="1">
        <v>46115</v>
      </c>
      <c r="AI42" s="1">
        <v>0</v>
      </c>
      <c r="AJ42" s="1">
        <v>23.33</v>
      </c>
      <c r="AK42" s="1" t="s">
        <v>46</v>
      </c>
      <c r="AL42" s="1">
        <v>233.3</v>
      </c>
      <c r="AM42" s="1" t="s">
        <v>157</v>
      </c>
      <c r="AN42" s="1">
        <v>4214639</v>
      </c>
      <c r="AO42" s="1"/>
      <c r="AP42" s="12" t="s">
        <v>158</v>
      </c>
      <c r="AQ42" s="13">
        <v>-24</v>
      </c>
      <c r="AR42" s="1" t="s">
        <v>53</v>
      </c>
      <c r="AS42" s="1" t="s">
        <v>54</v>
      </c>
      <c r="AU42" s="21" t="s">
        <v>516</v>
      </c>
      <c r="AV42" s="65">
        <v>46141.592546296299</v>
      </c>
      <c r="AW42" s="21" t="s">
        <v>659</v>
      </c>
    </row>
    <row r="43" spans="1:49" x14ac:dyDescent="0.35">
      <c r="A43" s="11">
        <v>46120</v>
      </c>
      <c r="B43" s="1" t="s">
        <v>170</v>
      </c>
      <c r="C43" s="1" t="s">
        <v>42</v>
      </c>
      <c r="D43" s="82">
        <v>14082173</v>
      </c>
      <c r="E43" s="1" t="s">
        <v>171</v>
      </c>
      <c r="F43" s="1">
        <v>1</v>
      </c>
      <c r="G43" s="1" t="s">
        <v>43</v>
      </c>
      <c r="H43" s="1" t="s">
        <v>44</v>
      </c>
      <c r="I43" s="1" t="s">
        <v>45</v>
      </c>
      <c r="J43" s="1" t="s">
        <v>45</v>
      </c>
      <c r="K43" s="1"/>
      <c r="L43" s="1"/>
      <c r="M43" s="1"/>
      <c r="N43" s="1"/>
      <c r="O43" s="1"/>
      <c r="P43" s="1"/>
      <c r="Q43" s="1"/>
      <c r="R43" s="1"/>
      <c r="S43" s="1"/>
      <c r="T43" s="1" t="s">
        <v>98</v>
      </c>
      <c r="U43" s="1" t="s">
        <v>134</v>
      </c>
      <c r="V43" s="1" t="s">
        <v>70</v>
      </c>
      <c r="W43" s="1" t="s">
        <v>84</v>
      </c>
      <c r="X43" s="1" t="s">
        <v>49</v>
      </c>
      <c r="Y43" s="1">
        <v>0</v>
      </c>
      <c r="Z43" s="1" t="s">
        <v>50</v>
      </c>
      <c r="AA43" s="1" t="s">
        <v>87</v>
      </c>
      <c r="AB43" s="1" t="s">
        <v>61</v>
      </c>
      <c r="AC43" s="1"/>
      <c r="AD43" s="1" t="s">
        <v>52</v>
      </c>
      <c r="AE43" s="1"/>
      <c r="AF43" s="1">
        <v>46120</v>
      </c>
      <c r="AG43" s="1">
        <v>46120</v>
      </c>
      <c r="AH43" s="1">
        <v>46121</v>
      </c>
      <c r="AI43" s="1">
        <v>29</v>
      </c>
      <c r="AJ43" s="1">
        <v>13.66</v>
      </c>
      <c r="AK43" s="1" t="s">
        <v>46</v>
      </c>
      <c r="AL43" s="1">
        <v>13.66</v>
      </c>
      <c r="AM43" s="1" t="s">
        <v>172</v>
      </c>
      <c r="AN43" s="1">
        <v>4214531</v>
      </c>
      <c r="AO43" s="1"/>
      <c r="AP43" s="12" t="s">
        <v>173</v>
      </c>
      <c r="AQ43" s="13">
        <v>-18</v>
      </c>
      <c r="AR43" s="1" t="s">
        <v>53</v>
      </c>
      <c r="AS43" s="1" t="s">
        <v>54</v>
      </c>
      <c r="AU43" s="21" t="s">
        <v>516</v>
      </c>
      <c r="AV43" s="65">
        <v>46141.592546296299</v>
      </c>
      <c r="AW43" s="21" t="s">
        <v>659</v>
      </c>
    </row>
    <row r="44" spans="1:49" x14ac:dyDescent="0.35">
      <c r="A44" s="11">
        <v>46127</v>
      </c>
      <c r="B44" s="1" t="s">
        <v>232</v>
      </c>
      <c r="C44" s="1" t="s">
        <v>81</v>
      </c>
      <c r="D44" s="82">
        <v>14079384</v>
      </c>
      <c r="E44" s="1" t="s">
        <v>233</v>
      </c>
      <c r="F44" s="1">
        <v>12</v>
      </c>
      <c r="G44" s="1" t="s">
        <v>43</v>
      </c>
      <c r="H44" s="1" t="s">
        <v>44</v>
      </c>
      <c r="I44" s="1" t="s">
        <v>45</v>
      </c>
      <c r="J44" s="1" t="s">
        <v>45</v>
      </c>
      <c r="K44" s="11">
        <v>46071</v>
      </c>
      <c r="L44" s="1" t="s">
        <v>82</v>
      </c>
      <c r="M44" s="1">
        <v>6.3</v>
      </c>
      <c r="N44" s="1" t="s">
        <v>56</v>
      </c>
      <c r="O44" s="1">
        <v>1</v>
      </c>
      <c r="P44" s="1" t="s">
        <v>43</v>
      </c>
      <c r="Q44" s="1">
        <v>1207</v>
      </c>
      <c r="R44" s="1">
        <v>2</v>
      </c>
      <c r="S44" s="1">
        <v>4500891475</v>
      </c>
      <c r="T44" s="1" t="s">
        <v>98</v>
      </c>
      <c r="U44" s="1" t="s">
        <v>84</v>
      </c>
      <c r="V44" s="1" t="s">
        <v>47</v>
      </c>
      <c r="W44" s="1" t="s">
        <v>84</v>
      </c>
      <c r="X44" s="1" t="s">
        <v>49</v>
      </c>
      <c r="Y44" s="1">
        <v>0</v>
      </c>
      <c r="Z44" s="1" t="s">
        <v>50</v>
      </c>
      <c r="AA44" s="1" t="s">
        <v>96</v>
      </c>
      <c r="AB44" s="1" t="s">
        <v>83</v>
      </c>
      <c r="AC44" s="1"/>
      <c r="AD44" s="1" t="s">
        <v>52</v>
      </c>
      <c r="AE44" s="1"/>
      <c r="AF44" s="1">
        <v>46135</v>
      </c>
      <c r="AG44" s="1">
        <v>46127</v>
      </c>
      <c r="AH44" s="1">
        <v>46164</v>
      </c>
      <c r="AI44" s="1">
        <v>29</v>
      </c>
      <c r="AJ44" s="1">
        <v>13.32</v>
      </c>
      <c r="AK44" s="1" t="s">
        <v>46</v>
      </c>
      <c r="AL44" s="1">
        <v>159.84</v>
      </c>
      <c r="AM44" s="1"/>
      <c r="AN44" s="1"/>
      <c r="AO44" s="1"/>
      <c r="AP44" s="12" t="s">
        <v>234</v>
      </c>
      <c r="AQ44" s="13">
        <v>-11</v>
      </c>
      <c r="AR44" s="1" t="s">
        <v>53</v>
      </c>
      <c r="AS44" s="1" t="s">
        <v>54</v>
      </c>
      <c r="AU44" s="21" t="s">
        <v>516</v>
      </c>
      <c r="AV44" s="65">
        <v>46141.592546296299</v>
      </c>
      <c r="AW44" s="21" t="s">
        <v>659</v>
      </c>
    </row>
    <row r="45" spans="1:49" x14ac:dyDescent="0.35">
      <c r="A45" s="11">
        <v>46131</v>
      </c>
      <c r="B45" s="1" t="s">
        <v>253</v>
      </c>
      <c r="C45" s="1" t="s">
        <v>42</v>
      </c>
      <c r="D45" s="82">
        <v>14089502</v>
      </c>
      <c r="E45" s="1" t="s">
        <v>254</v>
      </c>
      <c r="F45" s="1">
        <v>1</v>
      </c>
      <c r="G45" s="1" t="s">
        <v>43</v>
      </c>
      <c r="H45" s="1" t="s">
        <v>44</v>
      </c>
      <c r="I45" s="1" t="s">
        <v>45</v>
      </c>
      <c r="J45" s="1" t="s">
        <v>45</v>
      </c>
      <c r="K45" s="11">
        <v>46071</v>
      </c>
      <c r="L45" s="1" t="s">
        <v>82</v>
      </c>
      <c r="M45" s="1">
        <v>7</v>
      </c>
      <c r="N45" s="1" t="s">
        <v>56</v>
      </c>
      <c r="O45" s="1">
        <v>1</v>
      </c>
      <c r="P45" s="1" t="s">
        <v>43</v>
      </c>
      <c r="Q45" s="1">
        <v>1207</v>
      </c>
      <c r="R45" s="1">
        <v>9</v>
      </c>
      <c r="S45" s="1">
        <v>4500891475</v>
      </c>
      <c r="T45" s="1" t="s">
        <v>98</v>
      </c>
      <c r="U45" s="1" t="s">
        <v>86</v>
      </c>
      <c r="V45" s="1" t="s">
        <v>70</v>
      </c>
      <c r="W45" s="1" t="s">
        <v>84</v>
      </c>
      <c r="X45" s="1" t="s">
        <v>49</v>
      </c>
      <c r="Y45" s="1">
        <v>0</v>
      </c>
      <c r="Z45" s="1" t="s">
        <v>50</v>
      </c>
      <c r="AA45" s="1" t="s">
        <v>85</v>
      </c>
      <c r="AB45" s="1" t="s">
        <v>61</v>
      </c>
      <c r="AC45" s="1"/>
      <c r="AD45" s="1" t="s">
        <v>52</v>
      </c>
      <c r="AE45" s="1"/>
      <c r="AF45" s="1">
        <v>46131</v>
      </c>
      <c r="AG45" s="1">
        <v>46131</v>
      </c>
      <c r="AH45" s="1">
        <v>46132</v>
      </c>
      <c r="AI45" s="1">
        <v>0</v>
      </c>
      <c r="AJ45" s="1">
        <v>20.95</v>
      </c>
      <c r="AK45" s="1" t="s">
        <v>46</v>
      </c>
      <c r="AL45" s="1">
        <v>20.95</v>
      </c>
      <c r="AM45" s="1" t="s">
        <v>255</v>
      </c>
      <c r="AN45" s="1">
        <v>4211058</v>
      </c>
      <c r="AO45" s="1"/>
      <c r="AP45" s="12" t="s">
        <v>256</v>
      </c>
      <c r="AQ45" s="13">
        <v>-7</v>
      </c>
      <c r="AR45" s="1" t="s">
        <v>53</v>
      </c>
      <c r="AS45" s="1" t="s">
        <v>54</v>
      </c>
      <c r="AU45" s="21" t="s">
        <v>516</v>
      </c>
      <c r="AV45" s="65">
        <v>46141.592546296299</v>
      </c>
      <c r="AW45" s="21" t="s">
        <v>659</v>
      </c>
    </row>
    <row r="46" spans="1:49" x14ac:dyDescent="0.35">
      <c r="A46" s="11">
        <v>46132</v>
      </c>
      <c r="B46" s="1" t="s">
        <v>257</v>
      </c>
      <c r="C46" s="1" t="s">
        <v>42</v>
      </c>
      <c r="D46" s="82">
        <v>14082173</v>
      </c>
      <c r="E46" s="1" t="s">
        <v>171</v>
      </c>
      <c r="F46" s="1">
        <v>3</v>
      </c>
      <c r="G46" s="1" t="s">
        <v>43</v>
      </c>
      <c r="H46" s="1" t="s">
        <v>92</v>
      </c>
      <c r="I46" s="1" t="s">
        <v>45</v>
      </c>
      <c r="J46" s="1" t="s">
        <v>45</v>
      </c>
      <c r="K46" s="1"/>
      <c r="L46" s="1"/>
      <c r="M46" s="1"/>
      <c r="N46" s="1"/>
      <c r="O46" s="1"/>
      <c r="P46" s="1"/>
      <c r="Q46" s="1"/>
      <c r="R46" s="1"/>
      <c r="S46" s="1"/>
      <c r="T46" s="1" t="s">
        <v>98</v>
      </c>
      <c r="U46" s="1" t="s">
        <v>226</v>
      </c>
      <c r="V46" s="1" t="s">
        <v>104</v>
      </c>
      <c r="W46" s="1" t="s">
        <v>93</v>
      </c>
      <c r="X46" s="1" t="s">
        <v>59</v>
      </c>
      <c r="Y46" s="1">
        <v>0</v>
      </c>
      <c r="Z46" s="1" t="s">
        <v>50</v>
      </c>
      <c r="AA46" s="1" t="s">
        <v>94</v>
      </c>
      <c r="AB46" s="1" t="s">
        <v>61</v>
      </c>
      <c r="AC46" s="1"/>
      <c r="AD46" s="1" t="s">
        <v>52</v>
      </c>
      <c r="AE46" s="1"/>
      <c r="AF46" s="1">
        <v>46132</v>
      </c>
      <c r="AG46" s="1">
        <v>46132</v>
      </c>
      <c r="AH46" s="1">
        <v>46133</v>
      </c>
      <c r="AI46" s="1">
        <v>29</v>
      </c>
      <c r="AJ46" s="1">
        <v>13.61</v>
      </c>
      <c r="AK46" s="1" t="s">
        <v>46</v>
      </c>
      <c r="AL46" s="1">
        <v>40.83</v>
      </c>
      <c r="AM46" s="1" t="s">
        <v>258</v>
      </c>
      <c r="AN46" s="1">
        <v>2021885</v>
      </c>
      <c r="AO46" s="1"/>
      <c r="AP46" s="12" t="s">
        <v>259</v>
      </c>
      <c r="AQ46" s="13">
        <v>-6</v>
      </c>
      <c r="AR46" s="1" t="s">
        <v>53</v>
      </c>
      <c r="AS46" s="1" t="s">
        <v>54</v>
      </c>
    </row>
    <row r="47" spans="1:49" x14ac:dyDescent="0.35">
      <c r="A47" s="11">
        <v>46137</v>
      </c>
      <c r="B47" s="1" t="s">
        <v>416</v>
      </c>
      <c r="C47" s="1" t="s">
        <v>42</v>
      </c>
      <c r="D47" s="82">
        <v>14079477</v>
      </c>
      <c r="E47" s="1" t="s">
        <v>156</v>
      </c>
      <c r="F47" s="1">
        <v>2</v>
      </c>
      <c r="G47" s="1" t="s">
        <v>43</v>
      </c>
      <c r="H47" s="1" t="s">
        <v>92</v>
      </c>
      <c r="I47" s="1" t="s">
        <v>45</v>
      </c>
      <c r="J47" s="1" t="s">
        <v>45</v>
      </c>
      <c r="K47" s="11">
        <v>45978</v>
      </c>
      <c r="L47" s="1" t="s">
        <v>80</v>
      </c>
      <c r="M47" s="1">
        <v>574.13</v>
      </c>
      <c r="N47" s="1" t="s">
        <v>56</v>
      </c>
      <c r="O47" s="1">
        <v>100</v>
      </c>
      <c r="P47" s="1" t="s">
        <v>43</v>
      </c>
      <c r="Q47" s="1">
        <v>1208</v>
      </c>
      <c r="R47" s="1">
        <v>8</v>
      </c>
      <c r="S47" s="1">
        <v>4500874512</v>
      </c>
      <c r="T47" s="1" t="s">
        <v>98</v>
      </c>
      <c r="U47" s="1" t="s">
        <v>69</v>
      </c>
      <c r="V47" s="1" t="s">
        <v>70</v>
      </c>
      <c r="W47" s="1" t="s">
        <v>93</v>
      </c>
      <c r="X47" s="1" t="s">
        <v>59</v>
      </c>
      <c r="Y47" s="1">
        <v>0</v>
      </c>
      <c r="Z47" s="1" t="s">
        <v>50</v>
      </c>
      <c r="AA47" s="1" t="s">
        <v>94</v>
      </c>
      <c r="AB47" s="1" t="s">
        <v>61</v>
      </c>
      <c r="AC47" s="1"/>
      <c r="AD47" s="1" t="s">
        <v>52</v>
      </c>
      <c r="AE47" s="1"/>
      <c r="AF47" s="1">
        <v>46137</v>
      </c>
      <c r="AG47" s="1">
        <v>46137</v>
      </c>
      <c r="AH47" s="1">
        <v>46138</v>
      </c>
      <c r="AI47" s="1">
        <v>0</v>
      </c>
      <c r="AJ47" s="1">
        <v>17.79</v>
      </c>
      <c r="AK47" s="1" t="s">
        <v>46</v>
      </c>
      <c r="AL47" s="1">
        <v>35.58</v>
      </c>
      <c r="AM47" s="1" t="s">
        <v>417</v>
      </c>
      <c r="AN47" s="1">
        <v>4216025</v>
      </c>
      <c r="AO47" s="1"/>
      <c r="AP47" s="12" t="s">
        <v>418</v>
      </c>
      <c r="AQ47" s="13">
        <v>-1</v>
      </c>
      <c r="AR47" s="1" t="s">
        <v>53</v>
      </c>
      <c r="AS47" s="1" t="s">
        <v>54</v>
      </c>
    </row>
    <row r="48" spans="1:49" x14ac:dyDescent="0.35">
      <c r="A48" s="11">
        <v>46137</v>
      </c>
      <c r="B48" s="1" t="s">
        <v>419</v>
      </c>
      <c r="C48" s="1" t="s">
        <v>42</v>
      </c>
      <c r="D48" s="82">
        <v>14092511</v>
      </c>
      <c r="E48" s="1" t="s">
        <v>352</v>
      </c>
      <c r="F48" s="1">
        <v>1</v>
      </c>
      <c r="G48" s="1" t="s">
        <v>43</v>
      </c>
      <c r="H48" s="1" t="s">
        <v>44</v>
      </c>
      <c r="I48" s="1" t="s">
        <v>45</v>
      </c>
      <c r="J48" s="1" t="s">
        <v>45</v>
      </c>
      <c r="K48" s="1"/>
      <c r="L48" s="1"/>
      <c r="M48" s="1"/>
      <c r="N48" s="1"/>
      <c r="O48" s="1"/>
      <c r="P48" s="1"/>
      <c r="Q48" s="1"/>
      <c r="R48" s="1"/>
      <c r="S48" s="1"/>
      <c r="T48" s="1" t="s">
        <v>98</v>
      </c>
      <c r="U48" s="1" t="s">
        <v>144</v>
      </c>
      <c r="V48" s="1" t="s">
        <v>70</v>
      </c>
      <c r="W48" s="1" t="s">
        <v>84</v>
      </c>
      <c r="X48" s="1" t="s">
        <v>49</v>
      </c>
      <c r="Y48" s="1">
        <v>0</v>
      </c>
      <c r="Z48" s="1" t="s">
        <v>50</v>
      </c>
      <c r="AA48" s="1" t="s">
        <v>87</v>
      </c>
      <c r="AB48" s="1" t="s">
        <v>61</v>
      </c>
      <c r="AC48" s="1"/>
      <c r="AD48" s="1" t="s">
        <v>52</v>
      </c>
      <c r="AE48" s="1"/>
      <c r="AF48" s="1">
        <v>46137</v>
      </c>
      <c r="AG48" s="1">
        <v>46137</v>
      </c>
      <c r="AH48" s="1">
        <v>46138</v>
      </c>
      <c r="AI48" s="1">
        <v>0</v>
      </c>
      <c r="AJ48" s="1">
        <v>91.93</v>
      </c>
      <c r="AK48" s="1" t="s">
        <v>46</v>
      </c>
      <c r="AL48" s="1">
        <v>91.93</v>
      </c>
      <c r="AM48" s="1" t="s">
        <v>420</v>
      </c>
      <c r="AN48" s="1">
        <v>4214734</v>
      </c>
      <c r="AO48" s="1"/>
      <c r="AP48" s="12" t="s">
        <v>421</v>
      </c>
      <c r="AQ48" s="13">
        <v>-1</v>
      </c>
      <c r="AR48" s="1" t="s">
        <v>53</v>
      </c>
      <c r="AS48" s="1" t="s">
        <v>54</v>
      </c>
      <c r="AU48" s="21" t="s">
        <v>516</v>
      </c>
      <c r="AV48" s="65">
        <v>46141.592546296299</v>
      </c>
      <c r="AW48" s="21" t="s">
        <v>659</v>
      </c>
    </row>
    <row r="49" spans="1:49" x14ac:dyDescent="0.35">
      <c r="A49" s="39">
        <v>46083</v>
      </c>
      <c r="B49" s="40" t="s">
        <v>99</v>
      </c>
      <c r="C49" s="40" t="s">
        <v>63</v>
      </c>
      <c r="D49" s="40">
        <v>14055145</v>
      </c>
      <c r="E49" s="40" t="s">
        <v>100</v>
      </c>
      <c r="F49" s="40">
        <v>200</v>
      </c>
      <c r="G49" s="40" t="s">
        <v>43</v>
      </c>
      <c r="H49" s="40" t="s">
        <v>75</v>
      </c>
      <c r="I49" s="40" t="s">
        <v>45</v>
      </c>
      <c r="J49" s="40" t="s">
        <v>45</v>
      </c>
      <c r="K49" s="39">
        <v>45877</v>
      </c>
      <c r="L49" s="40" t="s">
        <v>654</v>
      </c>
      <c r="M49" s="40">
        <v>5.5</v>
      </c>
      <c r="N49" s="40" t="s">
        <v>56</v>
      </c>
      <c r="O49" s="40">
        <v>1</v>
      </c>
      <c r="P49" s="40" t="s">
        <v>43</v>
      </c>
      <c r="Q49" s="40">
        <v>1611</v>
      </c>
      <c r="R49" s="40">
        <v>6</v>
      </c>
      <c r="S49" s="40">
        <v>4500857445</v>
      </c>
      <c r="T49" s="40" t="s">
        <v>102</v>
      </c>
      <c r="U49" s="40"/>
      <c r="V49" s="40" t="s">
        <v>47</v>
      </c>
      <c r="W49" s="40" t="s">
        <v>48</v>
      </c>
      <c r="X49" s="40" t="s">
        <v>103</v>
      </c>
      <c r="Y49" s="40">
        <v>0</v>
      </c>
      <c r="Z49" s="40" t="s">
        <v>194</v>
      </c>
      <c r="AA49" s="40"/>
      <c r="AB49" s="40" t="s">
        <v>51</v>
      </c>
      <c r="AC49" s="40"/>
      <c r="AD49" s="40" t="s">
        <v>52</v>
      </c>
      <c r="AE49" s="40"/>
      <c r="AF49" s="40">
        <v>46083</v>
      </c>
      <c r="AG49" s="40">
        <v>46083</v>
      </c>
      <c r="AH49" s="40">
        <v>46083</v>
      </c>
      <c r="AI49" s="40">
        <v>0</v>
      </c>
      <c r="AJ49" s="40">
        <v>20.440000000000001</v>
      </c>
      <c r="AK49" s="40" t="s">
        <v>46</v>
      </c>
      <c r="AL49" s="40">
        <v>4088</v>
      </c>
      <c r="AM49" s="40"/>
      <c r="AN49" s="40"/>
      <c r="AO49" s="40"/>
      <c r="AP49" s="41" t="s">
        <v>118</v>
      </c>
      <c r="AQ49" s="42">
        <v>-55</v>
      </c>
      <c r="AR49" s="40" t="s">
        <v>53</v>
      </c>
      <c r="AS49" s="40" t="s">
        <v>54</v>
      </c>
      <c r="AT49" s="63">
        <v>4500903899</v>
      </c>
      <c r="AU49" s="55" t="s">
        <v>512</v>
      </c>
      <c r="AV49" s="74">
        <v>46141.572175925925</v>
      </c>
      <c r="AW49" s="55"/>
    </row>
    <row r="50" spans="1:49" x14ac:dyDescent="0.35">
      <c r="A50" s="39">
        <v>46118</v>
      </c>
      <c r="B50" s="40" t="s">
        <v>159</v>
      </c>
      <c r="C50" s="40" t="s">
        <v>64</v>
      </c>
      <c r="D50" s="40">
        <v>14043011</v>
      </c>
      <c r="E50" s="40" t="s">
        <v>160</v>
      </c>
      <c r="F50" s="40">
        <v>100</v>
      </c>
      <c r="G50" s="40" t="s">
        <v>43</v>
      </c>
      <c r="H50" s="40" t="s">
        <v>75</v>
      </c>
      <c r="I50" s="40" t="s">
        <v>45</v>
      </c>
      <c r="J50" s="40" t="s">
        <v>45</v>
      </c>
      <c r="K50" s="40"/>
      <c r="L50" s="40" t="s">
        <v>654</v>
      </c>
      <c r="M50" s="40">
        <v>2.2999999999999998</v>
      </c>
      <c r="N50" s="40" t="s">
        <v>56</v>
      </c>
      <c r="O50" s="40"/>
      <c r="P50" s="40"/>
      <c r="Q50" s="40"/>
      <c r="R50" s="40"/>
      <c r="S50" s="40"/>
      <c r="T50" s="40" t="s">
        <v>102</v>
      </c>
      <c r="U50" s="40" t="s">
        <v>161</v>
      </c>
      <c r="V50" s="40" t="s">
        <v>162</v>
      </c>
      <c r="W50" s="40" t="s">
        <v>97</v>
      </c>
      <c r="X50" s="40" t="s">
        <v>103</v>
      </c>
      <c r="Y50" s="40">
        <v>0</v>
      </c>
      <c r="Z50" s="40" t="s">
        <v>194</v>
      </c>
      <c r="AA50" s="40" t="s">
        <v>78</v>
      </c>
      <c r="AB50" s="40" t="s">
        <v>51</v>
      </c>
      <c r="AC50" s="40"/>
      <c r="AD50" s="40" t="s">
        <v>52</v>
      </c>
      <c r="AE50" s="40"/>
      <c r="AF50" s="40">
        <v>46118</v>
      </c>
      <c r="AG50" s="40">
        <v>46118</v>
      </c>
      <c r="AH50" s="40">
        <v>46118</v>
      </c>
      <c r="AI50" s="40">
        <v>0</v>
      </c>
      <c r="AJ50" s="40">
        <v>7.43</v>
      </c>
      <c r="AK50" s="40" t="s">
        <v>46</v>
      </c>
      <c r="AL50" s="40">
        <v>743</v>
      </c>
      <c r="AM50" s="40"/>
      <c r="AN50" s="40"/>
      <c r="AO50" s="40"/>
      <c r="AP50" s="41" t="s">
        <v>163</v>
      </c>
      <c r="AQ50" s="42">
        <v>-20</v>
      </c>
      <c r="AR50" s="40" t="s">
        <v>53</v>
      </c>
      <c r="AS50" s="40" t="s">
        <v>54</v>
      </c>
      <c r="AT50" s="63">
        <v>4500903899</v>
      </c>
      <c r="AU50" s="55" t="s">
        <v>512</v>
      </c>
      <c r="AV50" s="74">
        <v>46141.572175925925</v>
      </c>
      <c r="AW50" s="55"/>
    </row>
    <row r="51" spans="1:49" x14ac:dyDescent="0.35">
      <c r="A51" s="39">
        <v>46118</v>
      </c>
      <c r="B51" s="40" t="s">
        <v>159</v>
      </c>
      <c r="C51" s="40" t="s">
        <v>105</v>
      </c>
      <c r="D51" s="40">
        <v>14055145</v>
      </c>
      <c r="E51" s="40" t="s">
        <v>100</v>
      </c>
      <c r="F51" s="40">
        <v>200</v>
      </c>
      <c r="G51" s="40" t="s">
        <v>43</v>
      </c>
      <c r="H51" s="40" t="s">
        <v>75</v>
      </c>
      <c r="I51" s="40" t="s">
        <v>45</v>
      </c>
      <c r="J51" s="40" t="s">
        <v>45</v>
      </c>
      <c r="K51" s="39">
        <v>45877</v>
      </c>
      <c r="L51" s="40" t="s">
        <v>654</v>
      </c>
      <c r="M51" s="40">
        <v>5.5</v>
      </c>
      <c r="N51" s="40" t="s">
        <v>56</v>
      </c>
      <c r="O51" s="40">
        <v>1</v>
      </c>
      <c r="P51" s="40" t="s">
        <v>43</v>
      </c>
      <c r="Q51" s="40">
        <v>1611</v>
      </c>
      <c r="R51" s="40">
        <v>6</v>
      </c>
      <c r="S51" s="40">
        <v>4500857445</v>
      </c>
      <c r="T51" s="40" t="s">
        <v>102</v>
      </c>
      <c r="U51" s="40" t="s">
        <v>161</v>
      </c>
      <c r="V51" s="40" t="s">
        <v>162</v>
      </c>
      <c r="W51" s="40" t="s">
        <v>97</v>
      </c>
      <c r="X51" s="40" t="s">
        <v>103</v>
      </c>
      <c r="Y51" s="40">
        <v>0</v>
      </c>
      <c r="Z51" s="40" t="s">
        <v>194</v>
      </c>
      <c r="AA51" s="40"/>
      <c r="AB51" s="40" t="s">
        <v>51</v>
      </c>
      <c r="AC51" s="40"/>
      <c r="AD51" s="40" t="s">
        <v>52</v>
      </c>
      <c r="AE51" s="40"/>
      <c r="AF51" s="40">
        <v>46118</v>
      </c>
      <c r="AG51" s="40">
        <v>46118</v>
      </c>
      <c r="AH51" s="40">
        <v>46118</v>
      </c>
      <c r="AI51" s="40">
        <v>0</v>
      </c>
      <c r="AJ51" s="40">
        <v>20.440000000000001</v>
      </c>
      <c r="AK51" s="40" t="s">
        <v>46</v>
      </c>
      <c r="AL51" s="40">
        <v>4088</v>
      </c>
      <c r="AM51" s="40"/>
      <c r="AN51" s="40"/>
      <c r="AO51" s="40"/>
      <c r="AP51" s="41" t="s">
        <v>164</v>
      </c>
      <c r="AQ51" s="42">
        <v>-20</v>
      </c>
      <c r="AR51" s="40" t="s">
        <v>53</v>
      </c>
      <c r="AS51" s="40" t="s">
        <v>54</v>
      </c>
      <c r="AT51" s="63">
        <v>4500903900</v>
      </c>
      <c r="AU51" s="55" t="s">
        <v>512</v>
      </c>
      <c r="AV51" s="74">
        <v>46141.572476851848</v>
      </c>
      <c r="AW51" s="55"/>
    </row>
    <row r="52" spans="1:49" x14ac:dyDescent="0.35">
      <c r="A52" s="39">
        <v>46139</v>
      </c>
      <c r="B52" s="40" t="s">
        <v>467</v>
      </c>
      <c r="C52" s="40" t="s">
        <v>105</v>
      </c>
      <c r="D52" s="40">
        <v>14055145</v>
      </c>
      <c r="E52" s="40" t="s">
        <v>100</v>
      </c>
      <c r="F52" s="40">
        <v>48</v>
      </c>
      <c r="G52" s="40" t="s">
        <v>43</v>
      </c>
      <c r="H52" s="40" t="s">
        <v>55</v>
      </c>
      <c r="I52" s="40" t="s">
        <v>45</v>
      </c>
      <c r="J52" s="40" t="s">
        <v>45</v>
      </c>
      <c r="K52" s="39">
        <v>45877</v>
      </c>
      <c r="L52" s="40" t="s">
        <v>654</v>
      </c>
      <c r="M52" s="40">
        <v>5.5</v>
      </c>
      <c r="N52" s="40" t="s">
        <v>56</v>
      </c>
      <c r="O52" s="40">
        <v>1</v>
      </c>
      <c r="P52" s="40" t="s">
        <v>43</v>
      </c>
      <c r="Q52" s="40">
        <v>1611</v>
      </c>
      <c r="R52" s="40">
        <v>6</v>
      </c>
      <c r="S52" s="40">
        <v>4500857445</v>
      </c>
      <c r="T52" s="40" t="s">
        <v>102</v>
      </c>
      <c r="U52" s="40" t="s">
        <v>468</v>
      </c>
      <c r="V52" s="40" t="s">
        <v>57</v>
      </c>
      <c r="W52" s="40" t="s">
        <v>97</v>
      </c>
      <c r="X52" s="40" t="s">
        <v>103</v>
      </c>
      <c r="Y52" s="40">
        <v>0</v>
      </c>
      <c r="Z52" s="40" t="s">
        <v>50</v>
      </c>
      <c r="AA52" s="40" t="s">
        <v>60</v>
      </c>
      <c r="AB52" s="40" t="s">
        <v>51</v>
      </c>
      <c r="AC52" s="40"/>
      <c r="AD52" s="40" t="s">
        <v>52</v>
      </c>
      <c r="AE52" s="40"/>
      <c r="AF52" s="40">
        <v>46139</v>
      </c>
      <c r="AG52" s="40">
        <v>46139</v>
      </c>
      <c r="AH52" s="40">
        <v>46139</v>
      </c>
      <c r="AI52" s="40">
        <v>0</v>
      </c>
      <c r="AJ52" s="40">
        <v>20.29</v>
      </c>
      <c r="AK52" s="40" t="s">
        <v>46</v>
      </c>
      <c r="AL52" s="40">
        <v>973.92</v>
      </c>
      <c r="AM52" s="40"/>
      <c r="AN52" s="40"/>
      <c r="AO52" s="40"/>
      <c r="AP52" s="41" t="s">
        <v>469</v>
      </c>
      <c r="AQ52" s="42">
        <v>1</v>
      </c>
      <c r="AR52" s="40" t="s">
        <v>62</v>
      </c>
      <c r="AS52" s="40" t="s">
        <v>54</v>
      </c>
      <c r="AT52" s="63">
        <v>4500903900</v>
      </c>
      <c r="AU52" s="55" t="s">
        <v>512</v>
      </c>
      <c r="AV52" s="74">
        <v>46141.572476851848</v>
      </c>
      <c r="AW52" s="55"/>
    </row>
    <row r="53" spans="1:49" x14ac:dyDescent="0.35">
      <c r="A53" s="39">
        <v>46141</v>
      </c>
      <c r="B53" s="40" t="s">
        <v>594</v>
      </c>
      <c r="C53" s="40" t="s">
        <v>81</v>
      </c>
      <c r="D53" s="40">
        <v>14016713</v>
      </c>
      <c r="E53" s="40" t="s">
        <v>595</v>
      </c>
      <c r="F53" s="40">
        <v>20</v>
      </c>
      <c r="G53" s="40" t="s">
        <v>43</v>
      </c>
      <c r="H53" s="40" t="s">
        <v>92</v>
      </c>
      <c r="I53" s="40" t="s">
        <v>45</v>
      </c>
      <c r="J53" s="40" t="s">
        <v>45</v>
      </c>
      <c r="K53" s="39">
        <v>46084</v>
      </c>
      <c r="L53" s="40" t="s">
        <v>596</v>
      </c>
      <c r="M53" s="40">
        <v>200</v>
      </c>
      <c r="N53" s="40" t="s">
        <v>46</v>
      </c>
      <c r="O53" s="40">
        <v>20</v>
      </c>
      <c r="P53" s="40" t="s">
        <v>43</v>
      </c>
      <c r="Q53" s="40">
        <v>1103</v>
      </c>
      <c r="R53" s="40">
        <v>20</v>
      </c>
      <c r="S53" s="40">
        <v>4500893862</v>
      </c>
      <c r="T53" s="40" t="s">
        <v>597</v>
      </c>
      <c r="U53" s="40" t="s">
        <v>93</v>
      </c>
      <c r="V53" s="40" t="s">
        <v>70</v>
      </c>
      <c r="W53" s="40" t="s">
        <v>93</v>
      </c>
      <c r="X53" s="40" t="s">
        <v>59</v>
      </c>
      <c r="Y53" s="40">
        <v>0</v>
      </c>
      <c r="Z53" s="40" t="s">
        <v>50</v>
      </c>
      <c r="AA53" s="40" t="s">
        <v>94</v>
      </c>
      <c r="AB53" s="40" t="s">
        <v>83</v>
      </c>
      <c r="AC53" s="40"/>
      <c r="AD53" s="40" t="s">
        <v>52</v>
      </c>
      <c r="AE53" s="40"/>
      <c r="AF53" s="40">
        <v>46141</v>
      </c>
      <c r="AG53" s="40">
        <v>46141</v>
      </c>
      <c r="AH53" s="40">
        <v>46170</v>
      </c>
      <c r="AI53" s="40">
        <v>29</v>
      </c>
      <c r="AJ53" s="40">
        <v>12.44</v>
      </c>
      <c r="AK53" s="40" t="s">
        <v>46</v>
      </c>
      <c r="AL53" s="40">
        <v>248.8</v>
      </c>
      <c r="AM53" s="40"/>
      <c r="AN53" s="40"/>
      <c r="AO53" s="40"/>
      <c r="AP53" s="41" t="s">
        <v>598</v>
      </c>
      <c r="AQ53" s="42">
        <v>3</v>
      </c>
      <c r="AR53" s="40" t="s">
        <v>62</v>
      </c>
      <c r="AS53" s="40" t="s">
        <v>54</v>
      </c>
      <c r="AT53" s="63">
        <v>4500903895</v>
      </c>
      <c r="AU53" s="55" t="s">
        <v>512</v>
      </c>
      <c r="AV53" s="74">
        <v>46141.566562499997</v>
      </c>
      <c r="AW53" s="55"/>
    </row>
    <row r="54" spans="1:49" x14ac:dyDescent="0.35">
      <c r="A54" s="11">
        <v>46140</v>
      </c>
      <c r="B54" s="1" t="s">
        <v>599</v>
      </c>
      <c r="C54" s="1" t="s">
        <v>42</v>
      </c>
      <c r="D54" s="75">
        <v>14075156</v>
      </c>
      <c r="E54" s="1" t="s">
        <v>600</v>
      </c>
      <c r="F54" s="1">
        <v>5</v>
      </c>
      <c r="G54" s="1" t="s">
        <v>43</v>
      </c>
      <c r="H54" s="1" t="s">
        <v>75</v>
      </c>
      <c r="I54" s="1">
        <v>13.253389830508477</v>
      </c>
      <c r="J54" s="1">
        <v>152326</v>
      </c>
      <c r="K54" s="11">
        <v>46092</v>
      </c>
      <c r="L54" s="1" t="s">
        <v>601</v>
      </c>
      <c r="M54" s="1">
        <v>25.42</v>
      </c>
      <c r="N54" s="1" t="s">
        <v>46</v>
      </c>
      <c r="O54" s="1">
        <v>1</v>
      </c>
      <c r="P54" s="1" t="s">
        <v>43</v>
      </c>
      <c r="Q54" s="1">
        <v>1601</v>
      </c>
      <c r="R54" s="1">
        <v>1</v>
      </c>
      <c r="S54" s="1">
        <v>4500895359</v>
      </c>
      <c r="T54" s="1" t="s">
        <v>602</v>
      </c>
      <c r="U54" s="1" t="s">
        <v>544</v>
      </c>
      <c r="V54" s="1" t="s">
        <v>57</v>
      </c>
      <c r="W54" s="1" t="s">
        <v>77</v>
      </c>
      <c r="X54" s="1" t="s">
        <v>59</v>
      </c>
      <c r="Y54" s="1">
        <v>0</v>
      </c>
      <c r="Z54" s="1" t="s">
        <v>50</v>
      </c>
      <c r="AA54" s="1" t="s">
        <v>78</v>
      </c>
      <c r="AB54" s="1" t="s">
        <v>61</v>
      </c>
      <c r="AC54" s="1"/>
      <c r="AD54" s="1" t="s">
        <v>52</v>
      </c>
      <c r="AE54" s="1"/>
      <c r="AF54" s="1">
        <v>46140</v>
      </c>
      <c r="AG54" s="1">
        <v>46140</v>
      </c>
      <c r="AH54" s="1">
        <v>46141</v>
      </c>
      <c r="AI54" s="1">
        <v>0</v>
      </c>
      <c r="AJ54" s="1">
        <v>15.83</v>
      </c>
      <c r="AK54" s="1" t="s">
        <v>46</v>
      </c>
      <c r="AL54" s="1">
        <v>79.150000000000006</v>
      </c>
      <c r="AM54" s="1" t="s">
        <v>603</v>
      </c>
      <c r="AN54" s="1">
        <v>6200000131</v>
      </c>
      <c r="AO54" s="1"/>
      <c r="AP54" s="12" t="s">
        <v>604</v>
      </c>
      <c r="AQ54" s="13">
        <v>2</v>
      </c>
      <c r="AR54" s="1" t="s">
        <v>62</v>
      </c>
      <c r="AS54" s="1" t="s">
        <v>54</v>
      </c>
      <c r="AU54" s="21" t="s">
        <v>516</v>
      </c>
      <c r="AV54" s="65">
        <v>46141.486828703702</v>
      </c>
      <c r="AW54" s="21" t="s">
        <v>647</v>
      </c>
    </row>
    <row r="55" spans="1:49" x14ac:dyDescent="0.35">
      <c r="A55" s="11">
        <v>46024</v>
      </c>
      <c r="B55" s="1" t="s">
        <v>189</v>
      </c>
      <c r="C55" s="1" t="s">
        <v>91</v>
      </c>
      <c r="D55" s="1">
        <v>14099959</v>
      </c>
      <c r="E55" s="1" t="s">
        <v>190</v>
      </c>
      <c r="F55" s="1">
        <v>1</v>
      </c>
      <c r="G55" s="1" t="s">
        <v>43</v>
      </c>
      <c r="H55" s="1" t="s">
        <v>75</v>
      </c>
      <c r="I55" s="1" t="s">
        <v>45</v>
      </c>
      <c r="J55" s="1" t="s">
        <v>45</v>
      </c>
      <c r="K55" s="1"/>
      <c r="L55" s="1"/>
      <c r="M55" s="1"/>
      <c r="N55" s="1"/>
      <c r="O55" s="1"/>
      <c r="P55" s="1"/>
      <c r="Q55" s="1"/>
      <c r="R55" s="1"/>
      <c r="S55" s="1"/>
      <c r="T55" s="1" t="s">
        <v>107</v>
      </c>
      <c r="U55" s="1" t="s">
        <v>76</v>
      </c>
      <c r="V55" s="1" t="s">
        <v>57</v>
      </c>
      <c r="W55" s="1" t="s">
        <v>77</v>
      </c>
      <c r="X55" s="1" t="s">
        <v>59</v>
      </c>
      <c r="Y55" s="1">
        <v>0</v>
      </c>
      <c r="Z55" s="1" t="s">
        <v>131</v>
      </c>
      <c r="AA55" s="1" t="s">
        <v>78</v>
      </c>
      <c r="AB55" s="1" t="s">
        <v>61</v>
      </c>
      <c r="AC55" s="1" t="s">
        <v>191</v>
      </c>
      <c r="AD55" s="1" t="s">
        <v>42</v>
      </c>
      <c r="AE55" s="1">
        <v>46028</v>
      </c>
      <c r="AF55" s="1">
        <v>46024</v>
      </c>
      <c r="AG55" s="1">
        <v>46024</v>
      </c>
      <c r="AH55" s="1">
        <v>46025</v>
      </c>
      <c r="AI55" s="1">
        <v>29</v>
      </c>
      <c r="AJ55" s="1">
        <v>32.950000000000003</v>
      </c>
      <c r="AK55" s="1" t="s">
        <v>46</v>
      </c>
      <c r="AL55" s="1">
        <v>32.950000000000003</v>
      </c>
      <c r="AM55" s="1" t="s">
        <v>192</v>
      </c>
      <c r="AN55" s="1">
        <v>2001584</v>
      </c>
      <c r="AO55" s="1"/>
      <c r="AP55" s="12" t="s">
        <v>193</v>
      </c>
      <c r="AQ55" s="13">
        <v>-114</v>
      </c>
      <c r="AR55" s="1" t="s">
        <v>53</v>
      </c>
      <c r="AS55" s="1" t="s">
        <v>54</v>
      </c>
    </row>
    <row r="56" spans="1:49" x14ac:dyDescent="0.35">
      <c r="A56" s="66">
        <v>46099</v>
      </c>
      <c r="B56" s="67" t="s">
        <v>113</v>
      </c>
      <c r="C56" s="67" t="s">
        <v>63</v>
      </c>
      <c r="D56" s="67">
        <v>14101609</v>
      </c>
      <c r="E56" s="67" t="s">
        <v>114</v>
      </c>
      <c r="F56" s="67">
        <v>7</v>
      </c>
      <c r="G56" s="67" t="s">
        <v>43</v>
      </c>
      <c r="H56" s="67" t="s">
        <v>44</v>
      </c>
      <c r="I56" s="67" t="s">
        <v>45</v>
      </c>
      <c r="J56" s="67" t="s">
        <v>45</v>
      </c>
      <c r="K56" s="67"/>
      <c r="L56" s="67"/>
      <c r="M56" s="67"/>
      <c r="N56" s="67"/>
      <c r="O56" s="67"/>
      <c r="P56" s="67"/>
      <c r="Q56" s="67"/>
      <c r="R56" s="67"/>
      <c r="S56" s="67"/>
      <c r="T56" s="67" t="s">
        <v>107</v>
      </c>
      <c r="U56" s="67" t="s">
        <v>69</v>
      </c>
      <c r="V56" s="67" t="s">
        <v>70</v>
      </c>
      <c r="W56" s="67" t="s">
        <v>84</v>
      </c>
      <c r="X56" s="67" t="s">
        <v>49</v>
      </c>
      <c r="Y56" s="67">
        <v>0</v>
      </c>
      <c r="Z56" s="67" t="s">
        <v>50</v>
      </c>
      <c r="AA56" s="67" t="s">
        <v>96</v>
      </c>
      <c r="AB56" s="67" t="s">
        <v>61</v>
      </c>
      <c r="AC56" s="67"/>
      <c r="AD56" s="67" t="s">
        <v>52</v>
      </c>
      <c r="AE56" s="67"/>
      <c r="AF56" s="67">
        <v>46099</v>
      </c>
      <c r="AG56" s="67">
        <v>46099</v>
      </c>
      <c r="AH56" s="67">
        <v>46100</v>
      </c>
      <c r="AI56" s="67">
        <v>0</v>
      </c>
      <c r="AJ56" s="67">
        <v>33.07</v>
      </c>
      <c r="AK56" s="67" t="s">
        <v>46</v>
      </c>
      <c r="AL56" s="67">
        <v>231.49</v>
      </c>
      <c r="AM56" s="67" t="s">
        <v>115</v>
      </c>
      <c r="AN56" s="67">
        <v>4213917</v>
      </c>
      <c r="AO56" s="67"/>
      <c r="AP56" s="68" t="s">
        <v>116</v>
      </c>
      <c r="AQ56" s="69">
        <v>-39</v>
      </c>
      <c r="AR56" s="67" t="s">
        <v>53</v>
      </c>
      <c r="AS56" s="67" t="s">
        <v>54</v>
      </c>
      <c r="AT56" s="70"/>
      <c r="AU56" s="71" t="s">
        <v>510</v>
      </c>
      <c r="AV56" s="72">
        <v>46141.597731481481</v>
      </c>
      <c r="AW56" s="71" t="s">
        <v>660</v>
      </c>
    </row>
    <row r="57" spans="1:49" x14ac:dyDescent="0.35">
      <c r="A57" s="39">
        <v>46141</v>
      </c>
      <c r="B57" s="40" t="s">
        <v>642</v>
      </c>
      <c r="C57" s="40" t="s">
        <v>81</v>
      </c>
      <c r="D57" s="40">
        <v>14011338</v>
      </c>
      <c r="E57" s="40" t="s">
        <v>643</v>
      </c>
      <c r="F57" s="40">
        <v>7</v>
      </c>
      <c r="G57" s="40" t="s">
        <v>43</v>
      </c>
      <c r="H57" s="40" t="s">
        <v>71</v>
      </c>
      <c r="I57" s="40" t="s">
        <v>45</v>
      </c>
      <c r="J57" s="40" t="s">
        <v>45</v>
      </c>
      <c r="K57" s="39">
        <v>46136</v>
      </c>
      <c r="L57" s="40" t="s">
        <v>240</v>
      </c>
      <c r="M57" s="40">
        <v>17.29</v>
      </c>
      <c r="N57" s="40" t="s">
        <v>56</v>
      </c>
      <c r="O57" s="40">
        <v>1</v>
      </c>
      <c r="P57" s="40" t="s">
        <v>43</v>
      </c>
      <c r="Q57" s="40">
        <v>1102</v>
      </c>
      <c r="R57" s="40">
        <v>7</v>
      </c>
      <c r="S57" s="40">
        <v>4500903121</v>
      </c>
      <c r="T57" s="40" t="s">
        <v>136</v>
      </c>
      <c r="U57" s="40" t="s">
        <v>73</v>
      </c>
      <c r="V57" s="40" t="s">
        <v>70</v>
      </c>
      <c r="W57" s="40" t="s">
        <v>73</v>
      </c>
      <c r="X57" s="40" t="s">
        <v>49</v>
      </c>
      <c r="Y57" s="40">
        <v>0</v>
      </c>
      <c r="Z57" s="40" t="s">
        <v>50</v>
      </c>
      <c r="AA57" s="40" t="s">
        <v>74</v>
      </c>
      <c r="AB57" s="40" t="s">
        <v>83</v>
      </c>
      <c r="AC57" s="40"/>
      <c r="AD57" s="40" t="s">
        <v>52</v>
      </c>
      <c r="AE57" s="40"/>
      <c r="AF57" s="40">
        <v>46141</v>
      </c>
      <c r="AG57" s="40">
        <v>46141</v>
      </c>
      <c r="AH57" s="40">
        <v>46172</v>
      </c>
      <c r="AI57" s="40">
        <v>29</v>
      </c>
      <c r="AJ57" s="40">
        <v>60.04</v>
      </c>
      <c r="AK57" s="40" t="s">
        <v>46</v>
      </c>
      <c r="AL57" s="40">
        <v>420.28</v>
      </c>
      <c r="AM57" s="40"/>
      <c r="AN57" s="40"/>
      <c r="AO57" s="40"/>
      <c r="AP57" s="41" t="s">
        <v>644</v>
      </c>
      <c r="AQ57" s="42">
        <v>3</v>
      </c>
      <c r="AR57" s="40" t="s">
        <v>62</v>
      </c>
      <c r="AS57" s="40" t="s">
        <v>54</v>
      </c>
      <c r="AT57" s="63">
        <v>4500903867</v>
      </c>
      <c r="AU57" s="55" t="s">
        <v>512</v>
      </c>
      <c r="AV57" s="74">
        <v>46141.506041666667</v>
      </c>
      <c r="AW57" s="55"/>
    </row>
    <row r="58" spans="1:49" x14ac:dyDescent="0.35">
      <c r="A58" s="39">
        <v>46141</v>
      </c>
      <c r="B58" s="40" t="s">
        <v>608</v>
      </c>
      <c r="C58" s="40" t="s">
        <v>42</v>
      </c>
      <c r="D58" s="40">
        <v>14073756</v>
      </c>
      <c r="E58" s="40" t="s">
        <v>609</v>
      </c>
      <c r="F58" s="40">
        <v>2</v>
      </c>
      <c r="G58" s="40" t="s">
        <v>43</v>
      </c>
      <c r="H58" s="40" t="s">
        <v>88</v>
      </c>
      <c r="I58" s="40" t="s">
        <v>45</v>
      </c>
      <c r="J58" s="40" t="s">
        <v>45</v>
      </c>
      <c r="K58" s="39">
        <v>46094</v>
      </c>
      <c r="L58" s="40" t="s">
        <v>240</v>
      </c>
      <c r="M58" s="40">
        <v>2.74</v>
      </c>
      <c r="N58" s="40" t="s">
        <v>56</v>
      </c>
      <c r="O58" s="40">
        <v>1</v>
      </c>
      <c r="P58" s="40" t="s">
        <v>43</v>
      </c>
      <c r="Q58" s="40">
        <v>1208</v>
      </c>
      <c r="R58" s="40">
        <v>2</v>
      </c>
      <c r="S58" s="40">
        <v>4500895843</v>
      </c>
      <c r="T58" s="40" t="s">
        <v>107</v>
      </c>
      <c r="U58" s="40" t="s">
        <v>69</v>
      </c>
      <c r="V58" s="40" t="s">
        <v>70</v>
      </c>
      <c r="W58" s="40" t="s">
        <v>89</v>
      </c>
      <c r="X58" s="40" t="s">
        <v>59</v>
      </c>
      <c r="Y58" s="40">
        <v>0</v>
      </c>
      <c r="Z58" s="40" t="s">
        <v>50</v>
      </c>
      <c r="AA58" s="40" t="s">
        <v>90</v>
      </c>
      <c r="AB58" s="40" t="s">
        <v>61</v>
      </c>
      <c r="AC58" s="40"/>
      <c r="AD58" s="40" t="s">
        <v>52</v>
      </c>
      <c r="AE58" s="40"/>
      <c r="AF58" s="40">
        <v>46141</v>
      </c>
      <c r="AG58" s="40">
        <v>46141</v>
      </c>
      <c r="AH58" s="40">
        <v>46142</v>
      </c>
      <c r="AI58" s="40">
        <v>0</v>
      </c>
      <c r="AJ58" s="40">
        <v>9.58</v>
      </c>
      <c r="AK58" s="40" t="s">
        <v>46</v>
      </c>
      <c r="AL58" s="40">
        <v>19.16</v>
      </c>
      <c r="AM58" s="40" t="s">
        <v>610</v>
      </c>
      <c r="AN58" s="40">
        <v>4216243</v>
      </c>
      <c r="AO58" s="40"/>
      <c r="AP58" s="41" t="s">
        <v>611</v>
      </c>
      <c r="AQ58" s="42">
        <v>3</v>
      </c>
      <c r="AR58" s="40" t="s">
        <v>62</v>
      </c>
      <c r="AS58" s="40" t="s">
        <v>54</v>
      </c>
      <c r="AT58" s="63">
        <v>4500903868</v>
      </c>
      <c r="AU58" s="55" t="s">
        <v>512</v>
      </c>
      <c r="AV58" s="74">
        <v>46141.50640046296</v>
      </c>
      <c r="AW58" s="55"/>
    </row>
    <row r="59" spans="1:49" x14ac:dyDescent="0.35">
      <c r="A59" s="39">
        <v>46140</v>
      </c>
      <c r="B59" s="40" t="s">
        <v>605</v>
      </c>
      <c r="C59" s="40" t="s">
        <v>42</v>
      </c>
      <c r="D59" s="40">
        <v>14015107</v>
      </c>
      <c r="E59" s="40" t="s">
        <v>471</v>
      </c>
      <c r="F59" s="40">
        <v>1</v>
      </c>
      <c r="G59" s="40" t="s">
        <v>43</v>
      </c>
      <c r="H59" s="40" t="s">
        <v>75</v>
      </c>
      <c r="I59" s="40" t="s">
        <v>45</v>
      </c>
      <c r="J59" s="40" t="s">
        <v>45</v>
      </c>
      <c r="K59" s="39">
        <v>46140</v>
      </c>
      <c r="L59" s="40" t="s">
        <v>240</v>
      </c>
      <c r="M59" s="40">
        <v>2.41</v>
      </c>
      <c r="N59" s="40" t="s">
        <v>56</v>
      </c>
      <c r="O59" s="40">
        <v>1</v>
      </c>
      <c r="P59" s="40" t="s">
        <v>43</v>
      </c>
      <c r="Q59" s="40">
        <v>1601</v>
      </c>
      <c r="R59" s="40">
        <v>2</v>
      </c>
      <c r="S59" s="40">
        <v>4500903748</v>
      </c>
      <c r="T59" s="40" t="s">
        <v>107</v>
      </c>
      <c r="U59" s="40" t="s">
        <v>544</v>
      </c>
      <c r="V59" s="40" t="s">
        <v>57</v>
      </c>
      <c r="W59" s="40" t="s">
        <v>77</v>
      </c>
      <c r="X59" s="40" t="s">
        <v>59</v>
      </c>
      <c r="Y59" s="40">
        <v>0</v>
      </c>
      <c r="Z59" s="40" t="s">
        <v>50</v>
      </c>
      <c r="AA59" s="40" t="s">
        <v>78</v>
      </c>
      <c r="AB59" s="40" t="s">
        <v>61</v>
      </c>
      <c r="AC59" s="40"/>
      <c r="AD59" s="40" t="s">
        <v>52</v>
      </c>
      <c r="AE59" s="40"/>
      <c r="AF59" s="40">
        <v>46140</v>
      </c>
      <c r="AG59" s="40">
        <v>46140</v>
      </c>
      <c r="AH59" s="40">
        <v>46140</v>
      </c>
      <c r="AI59" s="40">
        <v>0</v>
      </c>
      <c r="AJ59" s="40">
        <v>8.57</v>
      </c>
      <c r="AK59" s="40" t="s">
        <v>46</v>
      </c>
      <c r="AL59" s="40">
        <v>8.57</v>
      </c>
      <c r="AM59" s="40" t="s">
        <v>606</v>
      </c>
      <c r="AN59" s="40">
        <v>6200000131</v>
      </c>
      <c r="AO59" s="40"/>
      <c r="AP59" s="41" t="s">
        <v>607</v>
      </c>
      <c r="AQ59" s="42">
        <v>2</v>
      </c>
      <c r="AR59" s="40" t="s">
        <v>62</v>
      </c>
      <c r="AS59" s="40" t="s">
        <v>54</v>
      </c>
      <c r="AT59" s="63">
        <v>4500903867</v>
      </c>
      <c r="AU59" s="55" t="s">
        <v>512</v>
      </c>
      <c r="AV59" s="74">
        <v>46141.506041666667</v>
      </c>
      <c r="AW59" s="55"/>
    </row>
    <row r="60" spans="1:49" x14ac:dyDescent="0.35">
      <c r="A60" s="39">
        <v>46140</v>
      </c>
      <c r="B60" s="40" t="s">
        <v>605</v>
      </c>
      <c r="C60" s="40" t="s">
        <v>63</v>
      </c>
      <c r="D60" s="40">
        <v>14069035</v>
      </c>
      <c r="E60" s="40" t="s">
        <v>422</v>
      </c>
      <c r="F60" s="40">
        <v>1</v>
      </c>
      <c r="G60" s="40" t="s">
        <v>43</v>
      </c>
      <c r="H60" s="40" t="s">
        <v>75</v>
      </c>
      <c r="I60" s="40" t="s">
        <v>45</v>
      </c>
      <c r="J60" s="40" t="s">
        <v>45</v>
      </c>
      <c r="K60" s="39">
        <v>46140</v>
      </c>
      <c r="L60" s="40" t="s">
        <v>240</v>
      </c>
      <c r="M60" s="40">
        <v>18.98</v>
      </c>
      <c r="N60" s="40" t="s">
        <v>56</v>
      </c>
      <c r="O60" s="40">
        <v>1</v>
      </c>
      <c r="P60" s="40" t="s">
        <v>43</v>
      </c>
      <c r="Q60" s="40">
        <v>1601</v>
      </c>
      <c r="R60" s="40">
        <v>2</v>
      </c>
      <c r="S60" s="40">
        <v>4500903748</v>
      </c>
      <c r="T60" s="40" t="s">
        <v>261</v>
      </c>
      <c r="U60" s="40" t="s">
        <v>544</v>
      </c>
      <c r="V60" s="40" t="s">
        <v>57</v>
      </c>
      <c r="W60" s="40" t="s">
        <v>77</v>
      </c>
      <c r="X60" s="40" t="s">
        <v>59</v>
      </c>
      <c r="Y60" s="40">
        <v>0</v>
      </c>
      <c r="Z60" s="40" t="s">
        <v>50</v>
      </c>
      <c r="AA60" s="40" t="s">
        <v>78</v>
      </c>
      <c r="AB60" s="40" t="s">
        <v>61</v>
      </c>
      <c r="AC60" s="40"/>
      <c r="AD60" s="40" t="s">
        <v>52</v>
      </c>
      <c r="AE60" s="40"/>
      <c r="AF60" s="40">
        <v>46140</v>
      </c>
      <c r="AG60" s="40">
        <v>46140</v>
      </c>
      <c r="AH60" s="40">
        <v>46141</v>
      </c>
      <c r="AI60" s="40">
        <v>0</v>
      </c>
      <c r="AJ60" s="40">
        <v>69.260000000000005</v>
      </c>
      <c r="AK60" s="40" t="s">
        <v>46</v>
      </c>
      <c r="AL60" s="40">
        <v>69.260000000000005</v>
      </c>
      <c r="AM60" s="40" t="s">
        <v>612</v>
      </c>
      <c r="AN60" s="40">
        <v>6200000131</v>
      </c>
      <c r="AO60" s="40"/>
      <c r="AP60" s="41" t="s">
        <v>613</v>
      </c>
      <c r="AQ60" s="42">
        <v>2</v>
      </c>
      <c r="AR60" s="40" t="s">
        <v>62</v>
      </c>
      <c r="AS60" s="40" t="s">
        <v>54</v>
      </c>
      <c r="AT60" s="63">
        <v>4500903867</v>
      </c>
      <c r="AU60" s="55" t="s">
        <v>512</v>
      </c>
      <c r="AV60" s="74">
        <v>46141.506041666667</v>
      </c>
      <c r="AW60" s="55"/>
    </row>
    <row r="61" spans="1:49" x14ac:dyDescent="0.35">
      <c r="A61" s="11">
        <v>45904</v>
      </c>
      <c r="B61" s="1" t="s">
        <v>356</v>
      </c>
      <c r="C61" s="1" t="s">
        <v>64</v>
      </c>
      <c r="D61" s="75">
        <v>14076908</v>
      </c>
      <c r="E61" s="1" t="s">
        <v>357</v>
      </c>
      <c r="F61" s="1">
        <v>50</v>
      </c>
      <c r="G61" s="1" t="s">
        <v>43</v>
      </c>
      <c r="H61" s="1" t="s">
        <v>92</v>
      </c>
      <c r="I61" s="1" t="s">
        <v>45</v>
      </c>
      <c r="J61" s="1" t="s">
        <v>45</v>
      </c>
      <c r="K61" s="1"/>
      <c r="L61" s="1"/>
      <c r="M61" s="1"/>
      <c r="N61" s="1"/>
      <c r="O61" s="1"/>
      <c r="P61" s="1"/>
      <c r="Q61" s="1"/>
      <c r="R61" s="1"/>
      <c r="S61" s="1"/>
      <c r="T61" s="1" t="s">
        <v>68</v>
      </c>
      <c r="U61" s="1" t="s">
        <v>355</v>
      </c>
      <c r="V61" s="1" t="s">
        <v>104</v>
      </c>
      <c r="W61" s="1" t="s">
        <v>93</v>
      </c>
      <c r="X61" s="1" t="s">
        <v>59</v>
      </c>
      <c r="Y61" s="1">
        <v>0</v>
      </c>
      <c r="Z61" s="1" t="s">
        <v>131</v>
      </c>
      <c r="AA61" s="1" t="s">
        <v>94</v>
      </c>
      <c r="AB61" s="1" t="s">
        <v>61</v>
      </c>
      <c r="AC61" s="1" t="s">
        <v>358</v>
      </c>
      <c r="AD61" s="1" t="s">
        <v>42</v>
      </c>
      <c r="AE61" s="1">
        <v>45910</v>
      </c>
      <c r="AF61" s="1">
        <v>45904</v>
      </c>
      <c r="AG61" s="1">
        <v>45910</v>
      </c>
      <c r="AH61" s="1">
        <v>45934</v>
      </c>
      <c r="AI61" s="1">
        <v>29</v>
      </c>
      <c r="AJ61" s="1">
        <v>32.72</v>
      </c>
      <c r="AK61" s="1" t="s">
        <v>46</v>
      </c>
      <c r="AL61" s="1">
        <v>1636</v>
      </c>
      <c r="AM61" s="1" t="s">
        <v>359</v>
      </c>
      <c r="AN61" s="1">
        <v>4204477</v>
      </c>
      <c r="AO61" s="1"/>
      <c r="AP61" s="12" t="s">
        <v>360</v>
      </c>
      <c r="AQ61" s="13">
        <v>-234</v>
      </c>
      <c r="AR61" s="1" t="s">
        <v>53</v>
      </c>
      <c r="AS61" s="1" t="s">
        <v>54</v>
      </c>
      <c r="AU61" s="21" t="s">
        <v>516</v>
      </c>
      <c r="AV61" s="65">
        <v>46141.486828703702</v>
      </c>
      <c r="AW61" s="21" t="s">
        <v>647</v>
      </c>
    </row>
    <row r="62" spans="1:49" x14ac:dyDescent="0.35">
      <c r="A62" s="39">
        <v>46141</v>
      </c>
      <c r="B62" s="40" t="s">
        <v>574</v>
      </c>
      <c r="C62" s="40" t="s">
        <v>42</v>
      </c>
      <c r="D62" s="40">
        <v>14074281</v>
      </c>
      <c r="E62" s="40" t="s">
        <v>568</v>
      </c>
      <c r="F62" s="40">
        <v>1</v>
      </c>
      <c r="G62" s="40" t="s">
        <v>43</v>
      </c>
      <c r="H62" s="40" t="s">
        <v>88</v>
      </c>
      <c r="I62" s="40">
        <v>10.91</v>
      </c>
      <c r="J62" s="40">
        <v>107912</v>
      </c>
      <c r="K62" s="40"/>
      <c r="L62" s="40" t="s">
        <v>330</v>
      </c>
      <c r="M62" s="40">
        <v>10.91</v>
      </c>
      <c r="N62" s="40" t="s">
        <v>46</v>
      </c>
      <c r="O62" s="40"/>
      <c r="P62" s="40"/>
      <c r="Q62" s="40"/>
      <c r="R62" s="40"/>
      <c r="S62" s="40"/>
      <c r="T62" s="40" t="s">
        <v>564</v>
      </c>
      <c r="U62" s="40" t="s">
        <v>69</v>
      </c>
      <c r="V62" s="40" t="s">
        <v>70</v>
      </c>
      <c r="W62" s="40" t="s">
        <v>89</v>
      </c>
      <c r="X62" s="40" t="s">
        <v>59</v>
      </c>
      <c r="Y62" s="40">
        <v>0</v>
      </c>
      <c r="Z62" s="40" t="s">
        <v>50</v>
      </c>
      <c r="AA62" s="40" t="s">
        <v>90</v>
      </c>
      <c r="AB62" s="40" t="s">
        <v>61</v>
      </c>
      <c r="AC62" s="40"/>
      <c r="AD62" s="40" t="s">
        <v>52</v>
      </c>
      <c r="AE62" s="40"/>
      <c r="AF62" s="40">
        <v>46141</v>
      </c>
      <c r="AG62" s="40">
        <v>46141</v>
      </c>
      <c r="AH62" s="40">
        <v>46142</v>
      </c>
      <c r="AI62" s="40">
        <v>0</v>
      </c>
      <c r="AJ62" s="40">
        <v>19.95</v>
      </c>
      <c r="AK62" s="40" t="s">
        <v>46</v>
      </c>
      <c r="AL62" s="40">
        <v>19.95</v>
      </c>
      <c r="AM62" s="40" t="s">
        <v>575</v>
      </c>
      <c r="AN62" s="40">
        <v>4216123</v>
      </c>
      <c r="AO62" s="40"/>
      <c r="AP62" s="41" t="s">
        <v>576</v>
      </c>
      <c r="AQ62" s="42">
        <v>3</v>
      </c>
      <c r="AR62" s="40" t="s">
        <v>62</v>
      </c>
      <c r="AS62" s="40" t="s">
        <v>54</v>
      </c>
      <c r="AT62" s="63">
        <v>4500903855</v>
      </c>
      <c r="AU62" s="55" t="s">
        <v>512</v>
      </c>
      <c r="AV62" s="74">
        <v>46141.471250000002</v>
      </c>
      <c r="AW62" s="55"/>
    </row>
    <row r="63" spans="1:49" ht="15" customHeight="1" x14ac:dyDescent="0.35">
      <c r="A63" s="11">
        <v>46115</v>
      </c>
      <c r="B63" s="1" t="s">
        <v>165</v>
      </c>
      <c r="C63" s="1" t="s">
        <v>81</v>
      </c>
      <c r="D63" s="1">
        <v>14017759</v>
      </c>
      <c r="E63" s="1" t="s">
        <v>166</v>
      </c>
      <c r="F63" s="1">
        <v>900</v>
      </c>
      <c r="G63" s="1" t="s">
        <v>43</v>
      </c>
      <c r="H63" s="1" t="s">
        <v>44</v>
      </c>
      <c r="I63" s="1" t="s">
        <v>45</v>
      </c>
      <c r="J63" s="1" t="s">
        <v>45</v>
      </c>
      <c r="K63" s="11">
        <v>45957</v>
      </c>
      <c r="L63" s="1" t="s">
        <v>167</v>
      </c>
      <c r="M63" s="1">
        <v>70</v>
      </c>
      <c r="N63" s="1" t="s">
        <v>46</v>
      </c>
      <c r="O63" s="1">
        <v>100</v>
      </c>
      <c r="P63" s="1" t="s">
        <v>43</v>
      </c>
      <c r="Q63" s="1">
        <v>1207</v>
      </c>
      <c r="R63" s="1">
        <v>900</v>
      </c>
      <c r="S63" s="1">
        <v>4500870816</v>
      </c>
      <c r="T63" s="1" t="s">
        <v>108</v>
      </c>
      <c r="U63" s="1" t="s">
        <v>84</v>
      </c>
      <c r="V63" s="1" t="s">
        <v>47</v>
      </c>
      <c r="W63" s="1" t="s">
        <v>84</v>
      </c>
      <c r="X63" s="1" t="s">
        <v>49</v>
      </c>
      <c r="Y63" s="1">
        <v>0</v>
      </c>
      <c r="Z63" s="1" t="s">
        <v>194</v>
      </c>
      <c r="AA63" s="1" t="s">
        <v>96</v>
      </c>
      <c r="AB63" s="1" t="s">
        <v>83</v>
      </c>
      <c r="AC63" s="1"/>
      <c r="AD63" s="1" t="s">
        <v>52</v>
      </c>
      <c r="AE63" s="1"/>
      <c r="AF63" s="1">
        <v>46132</v>
      </c>
      <c r="AG63" s="1">
        <v>46115</v>
      </c>
      <c r="AH63" s="1">
        <v>46161</v>
      </c>
      <c r="AI63" s="1">
        <v>29</v>
      </c>
      <c r="AJ63" s="1">
        <v>0.61</v>
      </c>
      <c r="AK63" s="1" t="s">
        <v>46</v>
      </c>
      <c r="AL63" s="1">
        <v>549</v>
      </c>
      <c r="AM63" s="1"/>
      <c r="AN63" s="1"/>
      <c r="AO63" s="1"/>
      <c r="AP63" s="12" t="s">
        <v>168</v>
      </c>
      <c r="AQ63" s="13">
        <v>-23</v>
      </c>
      <c r="AR63" s="1" t="s">
        <v>53</v>
      </c>
      <c r="AS63" s="1" t="s">
        <v>54</v>
      </c>
    </row>
    <row r="64" spans="1:49" x14ac:dyDescent="0.35">
      <c r="A64" s="11">
        <v>46125</v>
      </c>
      <c r="B64" s="1" t="s">
        <v>205</v>
      </c>
      <c r="C64" s="1" t="s">
        <v>81</v>
      </c>
      <c r="D64" s="1">
        <v>14077711</v>
      </c>
      <c r="E64" s="1" t="s">
        <v>129</v>
      </c>
      <c r="F64" s="1">
        <v>300</v>
      </c>
      <c r="G64" s="1" t="s">
        <v>43</v>
      </c>
      <c r="H64" s="1" t="s">
        <v>44</v>
      </c>
      <c r="I64" s="1" t="s">
        <v>45</v>
      </c>
      <c r="J64" s="1" t="s">
        <v>45</v>
      </c>
      <c r="K64" s="11">
        <v>46084</v>
      </c>
      <c r="L64" s="1" t="s">
        <v>82</v>
      </c>
      <c r="M64" s="1">
        <v>0.73</v>
      </c>
      <c r="N64" s="1" t="s">
        <v>56</v>
      </c>
      <c r="O64" s="1">
        <v>100</v>
      </c>
      <c r="P64" s="1" t="s">
        <v>43</v>
      </c>
      <c r="Q64" s="1">
        <v>1207</v>
      </c>
      <c r="R64" s="1">
        <v>500</v>
      </c>
      <c r="S64" s="1">
        <v>4500893861</v>
      </c>
      <c r="T64" s="1" t="s">
        <v>108</v>
      </c>
      <c r="U64" s="1" t="s">
        <v>84</v>
      </c>
      <c r="V64" s="1" t="s">
        <v>47</v>
      </c>
      <c r="W64" s="1" t="s">
        <v>84</v>
      </c>
      <c r="X64" s="1" t="s">
        <v>49</v>
      </c>
      <c r="Y64" s="1">
        <v>0</v>
      </c>
      <c r="Z64" s="1" t="s">
        <v>194</v>
      </c>
      <c r="AA64" s="1" t="s">
        <v>96</v>
      </c>
      <c r="AB64" s="1" t="s">
        <v>83</v>
      </c>
      <c r="AC64" s="1"/>
      <c r="AD64" s="1" t="s">
        <v>52</v>
      </c>
      <c r="AE64" s="1"/>
      <c r="AF64" s="1">
        <v>46128</v>
      </c>
      <c r="AG64" s="1">
        <v>46125</v>
      </c>
      <c r="AH64" s="1">
        <v>46157</v>
      </c>
      <c r="AI64" s="1">
        <v>29</v>
      </c>
      <c r="AJ64" s="1">
        <v>0.03</v>
      </c>
      <c r="AK64" s="1" t="s">
        <v>46</v>
      </c>
      <c r="AL64" s="1">
        <v>9</v>
      </c>
      <c r="AM64" s="1"/>
      <c r="AN64" s="1"/>
      <c r="AO64" s="1"/>
      <c r="AP64" s="12" t="s">
        <v>206</v>
      </c>
      <c r="AQ64" s="13">
        <v>-13</v>
      </c>
      <c r="AR64" s="1" t="s">
        <v>53</v>
      </c>
      <c r="AS64" s="1" t="s">
        <v>54</v>
      </c>
    </row>
    <row r="65" spans="1:49" x14ac:dyDescent="0.35">
      <c r="A65" s="11">
        <v>46141</v>
      </c>
      <c r="B65" s="1" t="s">
        <v>621</v>
      </c>
      <c r="C65" s="1" t="s">
        <v>42</v>
      </c>
      <c r="D65" s="1">
        <v>14010804</v>
      </c>
      <c r="E65" s="1" t="s">
        <v>622</v>
      </c>
      <c r="F65" s="1">
        <v>2</v>
      </c>
      <c r="G65" s="1" t="s">
        <v>43</v>
      </c>
      <c r="H65" s="1" t="s">
        <v>88</v>
      </c>
      <c r="I65" s="1">
        <v>0.49</v>
      </c>
      <c r="J65" s="1">
        <v>151931</v>
      </c>
      <c r="K65" s="11">
        <v>46108</v>
      </c>
      <c r="L65" s="1" t="s">
        <v>623</v>
      </c>
      <c r="M65" s="1">
        <v>0.51</v>
      </c>
      <c r="N65" s="1" t="s">
        <v>56</v>
      </c>
      <c r="O65" s="1">
        <v>1</v>
      </c>
      <c r="P65" s="1" t="s">
        <v>43</v>
      </c>
      <c r="Q65" s="1">
        <v>1208</v>
      </c>
      <c r="R65" s="1">
        <v>8</v>
      </c>
      <c r="S65" s="1">
        <v>4500897804</v>
      </c>
      <c r="T65" s="1" t="s">
        <v>624</v>
      </c>
      <c r="U65" s="1" t="s">
        <v>69</v>
      </c>
      <c r="V65" s="1" t="s">
        <v>70</v>
      </c>
      <c r="W65" s="1" t="s">
        <v>89</v>
      </c>
      <c r="X65" s="1" t="s">
        <v>59</v>
      </c>
      <c r="Y65" s="1">
        <v>0</v>
      </c>
      <c r="Z65" s="1" t="s">
        <v>50</v>
      </c>
      <c r="AA65" s="1" t="s">
        <v>90</v>
      </c>
      <c r="AB65" s="1" t="s">
        <v>61</v>
      </c>
      <c r="AC65" s="1"/>
      <c r="AD65" s="1" t="s">
        <v>52</v>
      </c>
      <c r="AE65" s="1"/>
      <c r="AF65" s="1">
        <v>46141</v>
      </c>
      <c r="AG65" s="1">
        <v>46141</v>
      </c>
      <c r="AH65" s="1">
        <v>46142</v>
      </c>
      <c r="AI65" s="1">
        <v>0</v>
      </c>
      <c r="AJ65" s="1">
        <v>1.34</v>
      </c>
      <c r="AK65" s="1" t="s">
        <v>46</v>
      </c>
      <c r="AL65" s="1">
        <v>2.68</v>
      </c>
      <c r="AM65" s="1" t="s">
        <v>625</v>
      </c>
      <c r="AN65" s="1">
        <v>4216098</v>
      </c>
      <c r="AO65" s="1"/>
      <c r="AP65" s="12" t="s">
        <v>626</v>
      </c>
      <c r="AQ65" s="13">
        <v>3</v>
      </c>
      <c r="AR65" s="1" t="s">
        <v>62</v>
      </c>
      <c r="AS65" s="1" t="s">
        <v>54</v>
      </c>
    </row>
    <row r="66" spans="1:49" x14ac:dyDescent="0.35">
      <c r="A66" s="11">
        <v>46141</v>
      </c>
      <c r="B66" s="1" t="s">
        <v>627</v>
      </c>
      <c r="C66" s="1" t="s">
        <v>81</v>
      </c>
      <c r="D66" s="1">
        <v>14074566</v>
      </c>
      <c r="E66" s="1" t="s">
        <v>628</v>
      </c>
      <c r="F66" s="1">
        <v>300</v>
      </c>
      <c r="G66" s="1" t="s">
        <v>43</v>
      </c>
      <c r="H66" s="1" t="s">
        <v>44</v>
      </c>
      <c r="I66" s="1">
        <v>0.11</v>
      </c>
      <c r="J66" s="1">
        <v>151931</v>
      </c>
      <c r="K66" s="11">
        <v>46125</v>
      </c>
      <c r="L66" s="1" t="s">
        <v>623</v>
      </c>
      <c r="M66" s="1">
        <v>0.11</v>
      </c>
      <c r="N66" s="1" t="s">
        <v>56</v>
      </c>
      <c r="O66" s="1">
        <v>1</v>
      </c>
      <c r="P66" s="1" t="s">
        <v>43</v>
      </c>
      <c r="Q66" s="1">
        <v>1207</v>
      </c>
      <c r="R66" s="1">
        <v>300</v>
      </c>
      <c r="S66" s="1">
        <v>4500900456</v>
      </c>
      <c r="T66" s="1" t="s">
        <v>629</v>
      </c>
      <c r="U66" s="1" t="s">
        <v>84</v>
      </c>
      <c r="V66" s="1" t="s">
        <v>47</v>
      </c>
      <c r="W66" s="1" t="s">
        <v>84</v>
      </c>
      <c r="X66" s="1" t="s">
        <v>49</v>
      </c>
      <c r="Y66" s="1">
        <v>0</v>
      </c>
      <c r="Z66" s="1" t="s">
        <v>50</v>
      </c>
      <c r="AA66" s="1" t="s">
        <v>96</v>
      </c>
      <c r="AB66" s="1" t="s">
        <v>83</v>
      </c>
      <c r="AC66" s="1"/>
      <c r="AD66" s="1" t="s">
        <v>52</v>
      </c>
      <c r="AE66" s="1"/>
      <c r="AF66" s="1">
        <v>46141</v>
      </c>
      <c r="AG66" s="1">
        <v>46141</v>
      </c>
      <c r="AH66" s="1">
        <v>46170</v>
      </c>
      <c r="AI66" s="1">
        <v>29</v>
      </c>
      <c r="AJ66" s="1">
        <v>0.38</v>
      </c>
      <c r="AK66" s="1" t="s">
        <v>46</v>
      </c>
      <c r="AL66" s="1">
        <v>114</v>
      </c>
      <c r="AM66" s="1"/>
      <c r="AN66" s="1"/>
      <c r="AO66" s="1"/>
      <c r="AP66" s="12" t="s">
        <v>630</v>
      </c>
      <c r="AQ66" s="13">
        <v>3</v>
      </c>
      <c r="AR66" s="1" t="s">
        <v>62</v>
      </c>
      <c r="AS66" s="1" t="s">
        <v>54</v>
      </c>
    </row>
    <row r="67" spans="1:49" x14ac:dyDescent="0.35">
      <c r="A67" s="66">
        <v>46135</v>
      </c>
      <c r="B67" s="67" t="s">
        <v>631</v>
      </c>
      <c r="C67" s="67" t="s">
        <v>63</v>
      </c>
      <c r="D67" s="67">
        <v>14093042</v>
      </c>
      <c r="E67" s="67" t="s">
        <v>632</v>
      </c>
      <c r="F67" s="67">
        <v>1</v>
      </c>
      <c r="G67" s="67" t="s">
        <v>43</v>
      </c>
      <c r="H67" s="67" t="s">
        <v>44</v>
      </c>
      <c r="I67" s="67" t="s">
        <v>45</v>
      </c>
      <c r="J67" s="67" t="s">
        <v>45</v>
      </c>
      <c r="K67" s="67" t="s">
        <v>652</v>
      </c>
      <c r="L67" s="67" t="s">
        <v>639</v>
      </c>
      <c r="M67" s="67">
        <v>107</v>
      </c>
      <c r="N67" s="67" t="s">
        <v>56</v>
      </c>
      <c r="O67" s="67">
        <v>1</v>
      </c>
      <c r="P67" s="67" t="s">
        <v>43</v>
      </c>
      <c r="Q67" s="67">
        <v>1104</v>
      </c>
      <c r="R67" s="67">
        <v>1</v>
      </c>
      <c r="S67" s="67">
        <v>4500679016</v>
      </c>
      <c r="T67" s="67" t="s">
        <v>633</v>
      </c>
      <c r="U67" s="67" t="s">
        <v>69</v>
      </c>
      <c r="V67" s="67" t="s">
        <v>70</v>
      </c>
      <c r="W67" s="67" t="s">
        <v>84</v>
      </c>
      <c r="X67" s="67" t="s">
        <v>49</v>
      </c>
      <c r="Y67" s="67">
        <v>0</v>
      </c>
      <c r="Z67" s="67" t="s">
        <v>131</v>
      </c>
      <c r="AA67" s="67" t="s">
        <v>85</v>
      </c>
      <c r="AB67" s="67" t="s">
        <v>61</v>
      </c>
      <c r="AC67" s="67" t="s">
        <v>634</v>
      </c>
      <c r="AD67" s="67" t="s">
        <v>64</v>
      </c>
      <c r="AE67" s="67">
        <v>46136</v>
      </c>
      <c r="AF67" s="67">
        <v>46135</v>
      </c>
      <c r="AG67" s="67">
        <v>46135</v>
      </c>
      <c r="AH67" s="67">
        <v>46136</v>
      </c>
      <c r="AI67" s="67">
        <v>29</v>
      </c>
      <c r="AJ67" s="67">
        <v>430.46</v>
      </c>
      <c r="AK67" s="67" t="s">
        <v>46</v>
      </c>
      <c r="AL67" s="67">
        <v>430.46</v>
      </c>
      <c r="AM67" s="67" t="s">
        <v>635</v>
      </c>
      <c r="AN67" s="67">
        <v>4215752</v>
      </c>
      <c r="AO67" s="67"/>
      <c r="AP67" s="68" t="s">
        <v>636</v>
      </c>
      <c r="AQ67" s="69">
        <v>-3</v>
      </c>
      <c r="AR67" s="67" t="s">
        <v>53</v>
      </c>
      <c r="AS67" s="67" t="s">
        <v>54</v>
      </c>
      <c r="AT67" s="70"/>
      <c r="AU67" s="71" t="s">
        <v>510</v>
      </c>
      <c r="AV67" s="72">
        <v>46141.565775462965</v>
      </c>
      <c r="AW67" s="71" t="s">
        <v>653</v>
      </c>
    </row>
    <row r="68" spans="1:49" s="56" customFormat="1" x14ac:dyDescent="0.35">
      <c r="A68" s="39">
        <v>46140</v>
      </c>
      <c r="B68" s="40" t="s">
        <v>637</v>
      </c>
      <c r="C68" s="40" t="s">
        <v>42</v>
      </c>
      <c r="D68" s="40">
        <v>14088914</v>
      </c>
      <c r="E68" s="40" t="s">
        <v>638</v>
      </c>
      <c r="F68" s="40">
        <v>1</v>
      </c>
      <c r="G68" s="40" t="s">
        <v>43</v>
      </c>
      <c r="H68" s="40" t="s">
        <v>44</v>
      </c>
      <c r="I68" s="40" t="s">
        <v>45</v>
      </c>
      <c r="J68" s="40" t="s">
        <v>45</v>
      </c>
      <c r="K68" s="39">
        <v>46121</v>
      </c>
      <c r="L68" s="40" t="s">
        <v>639</v>
      </c>
      <c r="M68" s="40">
        <v>76.19</v>
      </c>
      <c r="N68" s="40" t="s">
        <v>56</v>
      </c>
      <c r="O68" s="40">
        <v>1</v>
      </c>
      <c r="P68" s="40" t="s">
        <v>43</v>
      </c>
      <c r="Q68" s="40">
        <v>1207</v>
      </c>
      <c r="R68" s="40">
        <v>1</v>
      </c>
      <c r="S68" s="40">
        <v>4500899439</v>
      </c>
      <c r="T68" s="40" t="s">
        <v>633</v>
      </c>
      <c r="U68" s="40" t="s">
        <v>69</v>
      </c>
      <c r="V68" s="40" t="s">
        <v>70</v>
      </c>
      <c r="W68" s="40" t="s">
        <v>84</v>
      </c>
      <c r="X68" s="40" t="s">
        <v>49</v>
      </c>
      <c r="Y68" s="40">
        <v>0</v>
      </c>
      <c r="Z68" s="40" t="s">
        <v>50</v>
      </c>
      <c r="AA68" s="40" t="s">
        <v>85</v>
      </c>
      <c r="AB68" s="40" t="s">
        <v>61</v>
      </c>
      <c r="AC68" s="40"/>
      <c r="AD68" s="40" t="s">
        <v>52</v>
      </c>
      <c r="AE68" s="40"/>
      <c r="AF68" s="40">
        <v>46140</v>
      </c>
      <c r="AG68" s="40">
        <v>46140</v>
      </c>
      <c r="AH68" s="40">
        <v>46141</v>
      </c>
      <c r="AI68" s="40">
        <v>29</v>
      </c>
      <c r="AJ68" s="40">
        <v>262.25</v>
      </c>
      <c r="AK68" s="40" t="s">
        <v>46</v>
      </c>
      <c r="AL68" s="40">
        <v>262.25</v>
      </c>
      <c r="AM68" s="40" t="s">
        <v>640</v>
      </c>
      <c r="AN68" s="40">
        <v>4216213</v>
      </c>
      <c r="AO68" s="40"/>
      <c r="AP68" s="41" t="s">
        <v>641</v>
      </c>
      <c r="AQ68" s="42">
        <v>2</v>
      </c>
      <c r="AR68" s="40" t="s">
        <v>62</v>
      </c>
      <c r="AS68" s="40" t="s">
        <v>54</v>
      </c>
      <c r="AT68" s="63"/>
      <c r="AU68" s="55"/>
      <c r="AV68" s="55"/>
      <c r="AW68" s="55"/>
    </row>
    <row r="69" spans="1:49" x14ac:dyDescent="0.35">
      <c r="A69" s="39">
        <v>46140</v>
      </c>
      <c r="B69" s="40" t="s">
        <v>614</v>
      </c>
      <c r="C69" s="40" t="s">
        <v>42</v>
      </c>
      <c r="D69" s="40">
        <v>14069035</v>
      </c>
      <c r="E69" s="40" t="s">
        <v>422</v>
      </c>
      <c r="F69" s="40">
        <v>1</v>
      </c>
      <c r="G69" s="40" t="s">
        <v>43</v>
      </c>
      <c r="H69" s="40" t="s">
        <v>75</v>
      </c>
      <c r="I69" s="40" t="s">
        <v>45</v>
      </c>
      <c r="J69" s="40" t="s">
        <v>45</v>
      </c>
      <c r="K69" s="39">
        <v>46140</v>
      </c>
      <c r="L69" s="40" t="s">
        <v>240</v>
      </c>
      <c r="M69" s="40">
        <v>18.98</v>
      </c>
      <c r="N69" s="40" t="s">
        <v>56</v>
      </c>
      <c r="O69" s="40">
        <v>1</v>
      </c>
      <c r="P69" s="40" t="s">
        <v>43</v>
      </c>
      <c r="Q69" s="40">
        <v>1601</v>
      </c>
      <c r="R69" s="40">
        <v>2</v>
      </c>
      <c r="S69" s="40">
        <v>4500903748</v>
      </c>
      <c r="T69" s="40" t="s">
        <v>261</v>
      </c>
      <c r="U69" s="40" t="s">
        <v>544</v>
      </c>
      <c r="V69" s="40" t="s">
        <v>57</v>
      </c>
      <c r="W69" s="40" t="s">
        <v>77</v>
      </c>
      <c r="X69" s="40" t="s">
        <v>59</v>
      </c>
      <c r="Y69" s="40">
        <v>0</v>
      </c>
      <c r="Z69" s="40" t="s">
        <v>50</v>
      </c>
      <c r="AA69" s="40" t="s">
        <v>78</v>
      </c>
      <c r="AB69" s="40" t="s">
        <v>61</v>
      </c>
      <c r="AC69" s="40"/>
      <c r="AD69" s="40" t="s">
        <v>52</v>
      </c>
      <c r="AE69" s="40"/>
      <c r="AF69" s="40">
        <v>46140</v>
      </c>
      <c r="AG69" s="40">
        <v>46140</v>
      </c>
      <c r="AH69" s="40">
        <v>46141</v>
      </c>
      <c r="AI69" s="40">
        <v>0</v>
      </c>
      <c r="AJ69" s="40">
        <v>69.260000000000005</v>
      </c>
      <c r="AK69" s="40" t="s">
        <v>46</v>
      </c>
      <c r="AL69" s="40">
        <v>69.260000000000005</v>
      </c>
      <c r="AM69" s="40" t="s">
        <v>615</v>
      </c>
      <c r="AN69" s="40">
        <v>6200000131</v>
      </c>
      <c r="AO69" s="40"/>
      <c r="AP69" s="41" t="s">
        <v>616</v>
      </c>
      <c r="AQ69" s="42">
        <v>2</v>
      </c>
      <c r="AR69" s="40" t="s">
        <v>62</v>
      </c>
      <c r="AS69" s="40" t="s">
        <v>54</v>
      </c>
      <c r="AT69" s="63">
        <v>4500903867</v>
      </c>
      <c r="AU69" s="55" t="s">
        <v>512</v>
      </c>
      <c r="AV69" s="74">
        <v>46141.506041666667</v>
      </c>
      <c r="AW69" s="55"/>
    </row>
    <row r="70" spans="1:49" x14ac:dyDescent="0.35">
      <c r="A70" s="24"/>
      <c r="B70" s="21"/>
      <c r="C70" s="21"/>
      <c r="D70" s="21"/>
      <c r="E70" s="21"/>
      <c r="F70" s="21"/>
      <c r="G70" s="21"/>
      <c r="H70" s="21"/>
      <c r="I70" s="21"/>
      <c r="J70" s="21"/>
      <c r="K70" s="24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6"/>
      <c r="AQ70" s="27"/>
      <c r="AR70" s="21"/>
      <c r="AS70" s="21"/>
    </row>
    <row r="71" spans="1:49" x14ac:dyDescent="0.35">
      <c r="A71" s="24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6"/>
      <c r="AQ71" s="27"/>
      <c r="AR71" s="21"/>
      <c r="AS71" s="21"/>
    </row>
    <row r="72" spans="1:49" ht="16" customHeight="1" x14ac:dyDescent="0.35">
      <c r="A72" s="24"/>
      <c r="B72" s="21"/>
      <c r="C72" s="21"/>
      <c r="D72" s="21"/>
      <c r="E72" s="21"/>
      <c r="F72" s="21"/>
      <c r="G72" s="21"/>
      <c r="H72" s="21"/>
      <c r="I72" s="21"/>
      <c r="J72" s="21"/>
      <c r="K72" s="24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6"/>
      <c r="AQ72" s="27"/>
      <c r="AR72" s="21"/>
      <c r="AS72" s="21"/>
    </row>
    <row r="73" spans="1:49" x14ac:dyDescent="0.35">
      <c r="A73" s="24"/>
      <c r="B73" s="21"/>
      <c r="C73" s="21"/>
      <c r="D73" s="21"/>
      <c r="E73" s="21"/>
      <c r="F73" s="21"/>
      <c r="G73" s="21"/>
      <c r="H73" s="21"/>
      <c r="I73" s="21"/>
      <c r="J73" s="21"/>
      <c r="K73" s="24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6"/>
      <c r="AQ73" s="27"/>
      <c r="AR73" s="21"/>
      <c r="AS73" s="21"/>
    </row>
    <row r="74" spans="1:49" x14ac:dyDescent="0.35">
      <c r="A74" s="24"/>
      <c r="B74" s="21"/>
      <c r="C74" s="21"/>
      <c r="D74" s="21"/>
      <c r="E74" s="21"/>
      <c r="F74" s="21"/>
      <c r="G74" s="21"/>
      <c r="H74" s="21"/>
      <c r="I74" s="21"/>
      <c r="J74" s="21"/>
      <c r="K74" s="24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6"/>
      <c r="AQ74" s="27"/>
      <c r="AR74" s="21"/>
      <c r="AS74" s="21"/>
    </row>
    <row r="75" spans="1:49" x14ac:dyDescent="0.35">
      <c r="A75" s="24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6"/>
      <c r="AQ75" s="27"/>
      <c r="AR75" s="21"/>
      <c r="AS75" s="21"/>
    </row>
    <row r="76" spans="1:49" x14ac:dyDescent="0.35">
      <c r="A76" s="24"/>
      <c r="B76" s="21"/>
      <c r="C76" s="21"/>
      <c r="D76" s="21"/>
      <c r="E76" s="21"/>
      <c r="F76" s="21"/>
      <c r="G76" s="21"/>
      <c r="H76" s="21"/>
      <c r="I76" s="21"/>
      <c r="J76" s="21"/>
      <c r="K76" s="24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6"/>
      <c r="AQ76" s="27"/>
      <c r="AR76" s="21"/>
      <c r="AS76" s="21"/>
    </row>
    <row r="77" spans="1:49" x14ac:dyDescent="0.35">
      <c r="A77" s="24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6"/>
      <c r="AQ77" s="27"/>
      <c r="AR77" s="21"/>
      <c r="AS77" s="21"/>
    </row>
    <row r="78" spans="1:49" x14ac:dyDescent="0.35">
      <c r="A78" s="24"/>
      <c r="B78" s="21"/>
      <c r="C78" s="21"/>
      <c r="D78" s="21"/>
      <c r="E78" s="21"/>
      <c r="F78" s="21"/>
      <c r="G78" s="21"/>
      <c r="H78" s="21"/>
      <c r="I78" s="21"/>
      <c r="J78" s="21"/>
      <c r="K78" s="24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6"/>
      <c r="AQ78" s="27"/>
      <c r="AR78" s="21"/>
      <c r="AS78" s="21"/>
    </row>
    <row r="79" spans="1:49" x14ac:dyDescent="0.35">
      <c r="A79" s="24"/>
      <c r="B79" s="21"/>
      <c r="C79" s="21"/>
      <c r="D79" s="21"/>
      <c r="E79" s="21"/>
      <c r="F79" s="21"/>
      <c r="G79" s="21"/>
      <c r="H79" s="21"/>
      <c r="I79" s="21"/>
      <c r="J79" s="21"/>
      <c r="K79" s="24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6"/>
      <c r="AQ79" s="27"/>
      <c r="AR79" s="21"/>
      <c r="AS79" s="21"/>
    </row>
    <row r="80" spans="1:49" x14ac:dyDescent="0.35">
      <c r="A80" s="24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6"/>
      <c r="AQ80" s="27"/>
      <c r="AR80" s="21"/>
      <c r="AS80" s="21"/>
    </row>
    <row r="81" spans="1:49" x14ac:dyDescent="0.35">
      <c r="A81" s="24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6"/>
      <c r="AQ81" s="27"/>
      <c r="AR81" s="21"/>
      <c r="AS81" s="21"/>
    </row>
    <row r="82" spans="1:49" x14ac:dyDescent="0.35">
      <c r="A82" s="24"/>
      <c r="B82" s="21"/>
      <c r="C82" s="21"/>
      <c r="D82" s="21"/>
      <c r="E82" s="21"/>
      <c r="F82" s="21"/>
      <c r="G82" s="21"/>
      <c r="H82" s="21"/>
      <c r="I82" s="21"/>
      <c r="J82" s="21"/>
      <c r="K82" s="24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6"/>
      <c r="AQ82" s="27"/>
      <c r="AR82" s="21"/>
      <c r="AS82" s="21"/>
    </row>
    <row r="83" spans="1:49" s="23" customFormat="1" x14ac:dyDescent="0.35">
      <c r="A83" s="24"/>
      <c r="B83" s="21"/>
      <c r="C83" s="21"/>
      <c r="D83" s="21"/>
      <c r="E83" s="21"/>
      <c r="F83" s="21"/>
      <c r="G83" s="21"/>
      <c r="H83" s="21"/>
      <c r="I83" s="21"/>
      <c r="J83" s="21"/>
      <c r="K83" s="24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6"/>
      <c r="AQ83" s="27"/>
      <c r="AR83" s="21"/>
      <c r="AS83" s="21"/>
      <c r="AT83" s="64"/>
      <c r="AU83" s="22"/>
      <c r="AV83" s="22"/>
      <c r="AW83" s="22"/>
    </row>
    <row r="84" spans="1:49" x14ac:dyDescent="0.35">
      <c r="A84" s="24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6"/>
      <c r="AQ84" s="27"/>
      <c r="AR84" s="21"/>
      <c r="AS84" s="21"/>
    </row>
    <row r="85" spans="1:49" s="23" customFormat="1" x14ac:dyDescent="0.35">
      <c r="A85" s="24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6"/>
      <c r="AQ85" s="27"/>
      <c r="AR85" s="21"/>
      <c r="AS85" s="21"/>
      <c r="AT85" s="28"/>
      <c r="AU85" s="22"/>
      <c r="AV85" s="22"/>
      <c r="AW85" s="22"/>
    </row>
    <row r="86" spans="1:49" s="23" customFormat="1" x14ac:dyDescent="0.35">
      <c r="A86" s="24"/>
      <c r="B86" s="21"/>
      <c r="C86" s="21"/>
      <c r="D86" s="21"/>
      <c r="E86" s="21"/>
      <c r="F86" s="21"/>
      <c r="G86" s="21"/>
      <c r="H86" s="21"/>
      <c r="I86" s="21"/>
      <c r="J86" s="21"/>
      <c r="K86" s="24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6"/>
      <c r="AQ86" s="27"/>
      <c r="AR86" s="21"/>
      <c r="AS86" s="21"/>
      <c r="AT86" s="64"/>
      <c r="AU86" s="22"/>
      <c r="AV86" s="22"/>
      <c r="AW86" s="22"/>
    </row>
    <row r="87" spans="1:49" x14ac:dyDescent="0.35">
      <c r="A87" s="24"/>
      <c r="B87" s="21"/>
      <c r="C87" s="21"/>
      <c r="D87" s="21"/>
      <c r="E87" s="21"/>
      <c r="F87" s="21"/>
      <c r="G87" s="21"/>
      <c r="H87" s="21"/>
      <c r="I87" s="21"/>
      <c r="J87" s="21"/>
      <c r="K87" s="24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6"/>
      <c r="AQ87" s="27"/>
      <c r="AR87" s="21"/>
      <c r="AS87" s="21"/>
    </row>
    <row r="88" spans="1:49" x14ac:dyDescent="0.35">
      <c r="A88" s="24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6"/>
      <c r="AQ88" s="27"/>
      <c r="AR88" s="21"/>
      <c r="AS88" s="21"/>
    </row>
    <row r="89" spans="1:49" x14ac:dyDescent="0.35">
      <c r="A89" s="24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6"/>
      <c r="AQ89" s="27"/>
      <c r="AR89" s="21"/>
      <c r="AS89" s="21"/>
      <c r="AT89" s="64"/>
    </row>
    <row r="90" spans="1:49" x14ac:dyDescent="0.3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6"/>
      <c r="AQ90" s="27"/>
      <c r="AR90" s="21"/>
      <c r="AS90" s="21"/>
    </row>
    <row r="91" spans="1:49" x14ac:dyDescent="0.35">
      <c r="A91" s="24"/>
      <c r="B91" s="21"/>
      <c r="C91" s="21"/>
      <c r="D91" s="21"/>
      <c r="E91" s="21"/>
      <c r="F91" s="21"/>
      <c r="G91" s="21"/>
      <c r="H91" s="21"/>
      <c r="I91" s="21"/>
      <c r="J91" s="21"/>
      <c r="K91" s="24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6"/>
      <c r="AQ91" s="27"/>
      <c r="AR91" s="21"/>
      <c r="AS91" s="21"/>
    </row>
    <row r="92" spans="1:49" x14ac:dyDescent="0.35">
      <c r="A92" s="24"/>
      <c r="B92" s="21"/>
      <c r="C92" s="21"/>
      <c r="D92" s="21"/>
      <c r="E92" s="21"/>
      <c r="F92" s="21"/>
      <c r="G92" s="21"/>
      <c r="H92" s="21"/>
      <c r="I92" s="21"/>
      <c r="J92" s="21"/>
      <c r="K92" s="24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6"/>
      <c r="AQ92" s="27"/>
      <c r="AR92" s="21"/>
      <c r="AS92" s="21"/>
    </row>
    <row r="93" spans="1:49" s="23" customFormat="1" x14ac:dyDescent="0.35">
      <c r="A93" s="24"/>
      <c r="B93" s="21"/>
      <c r="C93" s="21"/>
      <c r="D93" s="21"/>
      <c r="E93" s="21"/>
      <c r="F93" s="21"/>
      <c r="G93" s="21"/>
      <c r="H93" s="21"/>
      <c r="I93" s="21"/>
      <c r="J93" s="21"/>
      <c r="K93" s="24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6"/>
      <c r="AQ93" s="27"/>
      <c r="AR93" s="21"/>
      <c r="AS93" s="21"/>
      <c r="AT93" s="28"/>
      <c r="AU93" s="22"/>
      <c r="AV93" s="22"/>
      <c r="AW93" s="22"/>
    </row>
    <row r="94" spans="1:49" x14ac:dyDescent="0.35">
      <c r="A94" s="24"/>
      <c r="B94" s="21"/>
      <c r="C94" s="21"/>
      <c r="D94" s="21"/>
      <c r="E94" s="21"/>
      <c r="F94" s="21"/>
      <c r="G94" s="21"/>
      <c r="H94" s="21"/>
      <c r="I94" s="21"/>
      <c r="J94" s="21"/>
      <c r="K94" s="24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6"/>
      <c r="AQ94" s="27"/>
      <c r="AR94" s="21"/>
      <c r="AS94" s="21"/>
    </row>
    <row r="95" spans="1:49" x14ac:dyDescent="0.35">
      <c r="A95" s="24"/>
      <c r="B95" s="21"/>
      <c r="C95" s="21"/>
      <c r="D95" s="21"/>
      <c r="E95" s="21"/>
      <c r="F95" s="21"/>
      <c r="G95" s="21"/>
      <c r="H95" s="21"/>
      <c r="I95" s="21"/>
      <c r="J95" s="21"/>
      <c r="K95" s="24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6"/>
      <c r="AQ95" s="27"/>
      <c r="AR95" s="21"/>
      <c r="AS95" s="21"/>
    </row>
    <row r="96" spans="1:49" x14ac:dyDescent="0.35">
      <c r="A96" s="24"/>
      <c r="B96" s="21"/>
      <c r="C96" s="21"/>
      <c r="D96" s="21"/>
      <c r="E96" s="21"/>
      <c r="F96" s="21"/>
      <c r="G96" s="21"/>
      <c r="H96" s="21"/>
      <c r="I96" s="21"/>
      <c r="J96" s="21"/>
      <c r="K96" s="24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6"/>
      <c r="AQ96" s="27"/>
      <c r="AR96" s="21"/>
      <c r="AS96" s="21"/>
    </row>
    <row r="97" spans="1:49" x14ac:dyDescent="0.35">
      <c r="A97" s="24"/>
      <c r="B97" s="21"/>
      <c r="C97" s="21"/>
      <c r="D97" s="21"/>
      <c r="E97" s="21"/>
      <c r="F97" s="21"/>
      <c r="G97" s="21"/>
      <c r="H97" s="21"/>
      <c r="I97" s="21"/>
      <c r="J97" s="21"/>
      <c r="K97" s="24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6"/>
      <c r="AQ97" s="27"/>
      <c r="AR97" s="21"/>
      <c r="AS97" s="21"/>
    </row>
    <row r="98" spans="1:49" x14ac:dyDescent="0.35">
      <c r="A98" s="24"/>
      <c r="B98" s="21"/>
      <c r="C98" s="21"/>
      <c r="D98" s="21"/>
      <c r="E98" s="21"/>
      <c r="F98" s="21"/>
      <c r="G98" s="21"/>
      <c r="H98" s="21"/>
      <c r="I98" s="21"/>
      <c r="J98" s="21"/>
      <c r="K98" s="24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6"/>
      <c r="AQ98" s="27"/>
      <c r="AR98" s="21"/>
      <c r="AS98" s="21"/>
    </row>
    <row r="99" spans="1:49" x14ac:dyDescent="0.35">
      <c r="A99" s="24"/>
      <c r="B99" s="21"/>
      <c r="C99" s="21"/>
      <c r="D99" s="21"/>
      <c r="E99" s="21"/>
      <c r="F99" s="21"/>
      <c r="G99" s="21"/>
      <c r="H99" s="21"/>
      <c r="I99" s="21"/>
      <c r="J99" s="21"/>
      <c r="K99" s="24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6"/>
      <c r="AQ99" s="27"/>
      <c r="AR99" s="21"/>
      <c r="AS99" s="21"/>
    </row>
    <row r="100" spans="1:49" s="23" customFormat="1" x14ac:dyDescent="0.35">
      <c r="A100" s="24"/>
      <c r="B100" s="21"/>
      <c r="C100" s="21"/>
      <c r="D100" s="21"/>
      <c r="E100" s="21"/>
      <c r="F100" s="21"/>
      <c r="G100" s="21"/>
      <c r="H100" s="21"/>
      <c r="I100" s="21"/>
      <c r="J100" s="21"/>
      <c r="K100" s="24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6"/>
      <c r="AQ100" s="27"/>
      <c r="AR100" s="21"/>
      <c r="AS100" s="21"/>
      <c r="AT100" s="64"/>
      <c r="AU100" s="22"/>
      <c r="AV100" s="22"/>
      <c r="AW100" s="22"/>
    </row>
    <row r="101" spans="1:49" s="23" customFormat="1" x14ac:dyDescent="0.35">
      <c r="A101" s="24"/>
      <c r="B101" s="21"/>
      <c r="C101" s="21"/>
      <c r="D101" s="21"/>
      <c r="E101" s="21"/>
      <c r="F101" s="21"/>
      <c r="G101" s="21"/>
      <c r="H101" s="21"/>
      <c r="I101" s="21"/>
      <c r="J101" s="21"/>
      <c r="K101" s="24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6"/>
      <c r="AQ101" s="27"/>
      <c r="AR101" s="21"/>
      <c r="AS101" s="21"/>
      <c r="AT101" s="28"/>
      <c r="AU101" s="22"/>
      <c r="AV101" s="22"/>
      <c r="AW101" s="22"/>
    </row>
    <row r="102" spans="1:49" x14ac:dyDescent="0.35">
      <c r="A102" s="24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6"/>
      <c r="AQ102" s="27"/>
      <c r="AR102" s="21"/>
      <c r="AS102" s="21"/>
    </row>
    <row r="103" spans="1:49" x14ac:dyDescent="0.35">
      <c r="A103" s="24"/>
      <c r="B103" s="21"/>
      <c r="C103" s="21"/>
      <c r="D103" s="21"/>
      <c r="E103" s="21"/>
      <c r="F103" s="21"/>
      <c r="G103" s="21"/>
      <c r="H103" s="21"/>
      <c r="I103" s="21"/>
      <c r="J103" s="21"/>
      <c r="K103" s="24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6"/>
      <c r="AQ103" s="27"/>
      <c r="AR103" s="21"/>
      <c r="AS103" s="21"/>
    </row>
    <row r="104" spans="1:49" x14ac:dyDescent="0.35">
      <c r="A104" s="24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6"/>
      <c r="AQ104" s="27"/>
      <c r="AR104" s="21"/>
      <c r="AS104" s="21"/>
    </row>
    <row r="105" spans="1:49" x14ac:dyDescent="0.35">
      <c r="A105" s="24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6"/>
      <c r="AQ105" s="27"/>
      <c r="AR105" s="21"/>
      <c r="AS105" s="21"/>
    </row>
    <row r="106" spans="1:49" x14ac:dyDescent="0.35">
      <c r="A106" s="24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6"/>
      <c r="AQ106" s="27"/>
      <c r="AR106" s="21"/>
      <c r="AS106" s="21"/>
    </row>
    <row r="107" spans="1:49" x14ac:dyDescent="0.35">
      <c r="A107" s="24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6"/>
      <c r="AQ107" s="27"/>
      <c r="AR107" s="21"/>
      <c r="AS107" s="21"/>
    </row>
    <row r="108" spans="1:49" x14ac:dyDescent="0.35">
      <c r="A108" s="24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6"/>
      <c r="AQ108" s="27"/>
      <c r="AR108" s="21"/>
      <c r="AS108" s="21"/>
    </row>
    <row r="109" spans="1:49" x14ac:dyDescent="0.35">
      <c r="A109" s="24"/>
      <c r="B109" s="21"/>
      <c r="C109" s="21"/>
      <c r="D109" s="21"/>
      <c r="E109" s="21"/>
      <c r="F109" s="21"/>
      <c r="G109" s="21"/>
      <c r="H109" s="21"/>
      <c r="I109" s="21"/>
      <c r="J109" s="21"/>
      <c r="K109" s="24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6"/>
      <c r="AQ109" s="27"/>
      <c r="AR109" s="21"/>
      <c r="AS109" s="21"/>
    </row>
    <row r="110" spans="1:49" x14ac:dyDescent="0.35">
      <c r="A110" s="24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6"/>
      <c r="AQ110" s="27"/>
      <c r="AR110" s="21"/>
      <c r="AS110" s="21"/>
      <c r="AT110" s="64"/>
    </row>
    <row r="111" spans="1:49" x14ac:dyDescent="0.35">
      <c r="A111" s="24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6"/>
      <c r="AQ111" s="27"/>
      <c r="AR111" s="21"/>
      <c r="AS111" s="21"/>
    </row>
    <row r="112" spans="1:49" x14ac:dyDescent="0.35">
      <c r="A112" s="24"/>
      <c r="B112" s="21"/>
      <c r="C112" s="21"/>
      <c r="D112" s="21"/>
      <c r="E112" s="21"/>
      <c r="F112" s="21"/>
      <c r="G112" s="21"/>
      <c r="H112" s="21"/>
      <c r="I112" s="21"/>
      <c r="J112" s="21"/>
      <c r="K112" s="24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6"/>
      <c r="AQ112" s="27"/>
      <c r="AR112" s="21"/>
      <c r="AS112" s="21"/>
    </row>
    <row r="113" spans="1:46" x14ac:dyDescent="0.35">
      <c r="A113" s="24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6"/>
      <c r="AQ113" s="27"/>
      <c r="AR113" s="21"/>
      <c r="AS113" s="21"/>
    </row>
    <row r="114" spans="1:46" x14ac:dyDescent="0.35">
      <c r="A114" s="24"/>
      <c r="B114" s="21"/>
      <c r="C114" s="21"/>
      <c r="D114" s="21"/>
      <c r="E114" s="21"/>
      <c r="F114" s="21"/>
      <c r="G114" s="21"/>
      <c r="H114" s="21"/>
      <c r="I114" s="21"/>
      <c r="J114" s="21"/>
      <c r="K114" s="24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6"/>
      <c r="AQ114" s="27"/>
      <c r="AR114" s="21"/>
      <c r="AS114" s="21"/>
    </row>
    <row r="115" spans="1:46" x14ac:dyDescent="0.35">
      <c r="A115" s="24"/>
      <c r="B115" s="21"/>
      <c r="C115" s="21"/>
      <c r="D115" s="21"/>
      <c r="E115" s="21"/>
      <c r="F115" s="21"/>
      <c r="G115" s="21"/>
      <c r="H115" s="21"/>
      <c r="I115" s="21"/>
      <c r="J115" s="21"/>
      <c r="K115" s="24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6"/>
      <c r="AQ115" s="27"/>
      <c r="AR115" s="21"/>
      <c r="AS115" s="21"/>
    </row>
    <row r="116" spans="1:46" x14ac:dyDescent="0.35">
      <c r="A116" s="24"/>
      <c r="B116" s="21"/>
      <c r="C116" s="21"/>
      <c r="D116" s="21"/>
      <c r="E116" s="21"/>
      <c r="F116" s="21"/>
      <c r="G116" s="21"/>
      <c r="H116" s="21"/>
      <c r="I116" s="21"/>
      <c r="J116" s="21"/>
      <c r="K116" s="24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6"/>
      <c r="AQ116" s="27"/>
      <c r="AR116" s="21"/>
      <c r="AS116" s="21"/>
    </row>
    <row r="117" spans="1:46" ht="15.5" customHeight="1" x14ac:dyDescent="0.35">
      <c r="A117" s="24"/>
      <c r="B117" s="21"/>
      <c r="C117" s="21"/>
      <c r="D117" s="21"/>
      <c r="E117" s="21"/>
      <c r="F117" s="21"/>
      <c r="G117" s="21"/>
      <c r="H117" s="21"/>
      <c r="I117" s="21"/>
      <c r="J117" s="21"/>
      <c r="K117" s="24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6"/>
      <c r="AQ117" s="27"/>
      <c r="AR117" s="21"/>
      <c r="AS117" s="21"/>
    </row>
    <row r="118" spans="1:46" x14ac:dyDescent="0.35">
      <c r="A118" s="24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6"/>
      <c r="AQ118" s="27"/>
      <c r="AR118" s="21"/>
      <c r="AS118" s="21"/>
      <c r="AT118" s="64"/>
    </row>
    <row r="119" spans="1:46" x14ac:dyDescent="0.35">
      <c r="A119" s="24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6"/>
      <c r="AQ119" s="27"/>
      <c r="AR119" s="21"/>
      <c r="AS119" s="21"/>
    </row>
    <row r="120" spans="1:46" x14ac:dyDescent="0.35">
      <c r="A120" s="24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6"/>
      <c r="AQ120" s="27"/>
      <c r="AR120" s="21"/>
      <c r="AS120" s="21"/>
    </row>
    <row r="121" spans="1:46" x14ac:dyDescent="0.35">
      <c r="A121" s="24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6"/>
      <c r="AQ121" s="27"/>
      <c r="AR121" s="21"/>
      <c r="AS121" s="21"/>
    </row>
    <row r="122" spans="1:46" ht="18.5" customHeight="1" x14ac:dyDescent="0.35">
      <c r="A122" s="24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6"/>
      <c r="AQ122" s="27"/>
      <c r="AR122" s="21"/>
      <c r="AS122" s="21"/>
    </row>
    <row r="123" spans="1:46" x14ac:dyDescent="0.35">
      <c r="A123" s="24"/>
      <c r="B123" s="21"/>
      <c r="C123" s="21"/>
      <c r="D123" s="21"/>
      <c r="E123" s="21"/>
      <c r="F123" s="21"/>
      <c r="G123" s="21"/>
      <c r="H123" s="21"/>
      <c r="I123" s="21"/>
      <c r="J123" s="21"/>
      <c r="K123" s="24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6"/>
      <c r="AQ123" s="27"/>
      <c r="AR123" s="21"/>
      <c r="AS123" s="21"/>
    </row>
    <row r="124" spans="1:46" x14ac:dyDescent="0.35">
      <c r="A124" s="24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6"/>
      <c r="AQ124" s="27"/>
      <c r="AR124" s="21"/>
      <c r="AS124" s="21"/>
    </row>
    <row r="125" spans="1:46" x14ac:dyDescent="0.35">
      <c r="A125" s="24"/>
      <c r="B125" s="21"/>
      <c r="C125" s="21"/>
      <c r="D125" s="21"/>
      <c r="E125" s="21"/>
      <c r="F125" s="21"/>
      <c r="G125" s="21"/>
      <c r="H125" s="21"/>
      <c r="I125" s="21"/>
      <c r="J125" s="21"/>
      <c r="K125" s="24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6"/>
      <c r="AQ125" s="27"/>
      <c r="AR125" s="21"/>
      <c r="AS125" s="21"/>
    </row>
    <row r="126" spans="1:46" x14ac:dyDescent="0.35">
      <c r="A126" s="24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6"/>
      <c r="AQ126" s="27"/>
      <c r="AR126" s="21"/>
      <c r="AS126" s="21"/>
    </row>
    <row r="127" spans="1:46" x14ac:dyDescent="0.35">
      <c r="A127" s="24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6"/>
      <c r="AQ127" s="27"/>
      <c r="AR127" s="21"/>
      <c r="AS127" s="21"/>
    </row>
    <row r="128" spans="1:46" x14ac:dyDescent="0.35">
      <c r="A128" s="24"/>
      <c r="B128" s="21"/>
      <c r="C128" s="21"/>
      <c r="D128" s="21"/>
      <c r="E128" s="21"/>
      <c r="F128" s="21"/>
      <c r="G128" s="21"/>
      <c r="H128" s="21"/>
      <c r="I128" s="21"/>
      <c r="J128" s="21"/>
      <c r="K128" s="24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6"/>
      <c r="AQ128" s="27"/>
      <c r="AR128" s="21"/>
      <c r="AS128" s="21"/>
    </row>
    <row r="129" spans="1:45" x14ac:dyDescent="0.35">
      <c r="A129" s="24"/>
      <c r="B129" s="21"/>
      <c r="C129" s="21"/>
      <c r="D129" s="21"/>
      <c r="E129" s="21"/>
      <c r="F129" s="21"/>
      <c r="G129" s="21"/>
      <c r="H129" s="21"/>
      <c r="I129" s="21"/>
      <c r="J129" s="21"/>
      <c r="K129" s="24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6"/>
      <c r="AQ129" s="27"/>
      <c r="AR129" s="21"/>
      <c r="AS129" s="21"/>
    </row>
    <row r="130" spans="1:45" ht="15" customHeight="1" x14ac:dyDescent="0.35">
      <c r="A130" s="24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6"/>
      <c r="AQ130" s="27"/>
      <c r="AR130" s="21"/>
      <c r="AS130" s="21"/>
    </row>
    <row r="131" spans="1:45" x14ac:dyDescent="0.35">
      <c r="A131" s="24"/>
      <c r="B131" s="21"/>
      <c r="C131" s="21"/>
      <c r="D131" s="21"/>
      <c r="E131" s="21"/>
      <c r="F131" s="21"/>
      <c r="G131" s="21"/>
      <c r="H131" s="21"/>
      <c r="I131" s="21"/>
      <c r="J131" s="21"/>
      <c r="K131" s="24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6"/>
      <c r="AQ131" s="27"/>
      <c r="AR131" s="21"/>
      <c r="AS131" s="21"/>
    </row>
    <row r="132" spans="1:45" x14ac:dyDescent="0.35">
      <c r="A132" s="24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6"/>
      <c r="AQ132" s="27"/>
      <c r="AR132" s="21"/>
      <c r="AS132" s="21"/>
    </row>
    <row r="133" spans="1:45" ht="32.5" customHeight="1" x14ac:dyDescent="0.35">
      <c r="A133" s="24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6"/>
      <c r="AQ133" s="27"/>
      <c r="AR133" s="21"/>
      <c r="AS133" s="21"/>
    </row>
    <row r="134" spans="1:45" x14ac:dyDescent="0.35">
      <c r="A134" s="24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6"/>
      <c r="AQ134" s="27"/>
      <c r="AR134" s="21"/>
      <c r="AS134" s="21"/>
    </row>
    <row r="135" spans="1:45" x14ac:dyDescent="0.35">
      <c r="A135" s="24"/>
      <c r="B135" s="21"/>
      <c r="C135" s="21"/>
      <c r="D135" s="21"/>
      <c r="E135" s="21"/>
      <c r="F135" s="21"/>
      <c r="G135" s="21"/>
      <c r="H135" s="21"/>
      <c r="I135" s="21"/>
      <c r="J135" s="21"/>
      <c r="K135" s="24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6"/>
      <c r="AQ135" s="27"/>
      <c r="AR135" s="21"/>
      <c r="AS135" s="21"/>
    </row>
    <row r="136" spans="1:45" x14ac:dyDescent="0.35">
      <c r="A136" s="24"/>
      <c r="B136" s="21"/>
      <c r="C136" s="21"/>
      <c r="D136" s="21"/>
      <c r="E136" s="21"/>
      <c r="F136" s="21"/>
      <c r="G136" s="21"/>
      <c r="H136" s="21"/>
      <c r="I136" s="21"/>
      <c r="J136" s="21"/>
      <c r="K136" s="24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6"/>
      <c r="AQ136" s="27"/>
      <c r="AR136" s="21"/>
      <c r="AS136" s="21"/>
    </row>
    <row r="137" spans="1:45" x14ac:dyDescent="0.35">
      <c r="A137" s="24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6"/>
      <c r="AQ137" s="27"/>
      <c r="AR137" s="21"/>
      <c r="AS137" s="21"/>
    </row>
    <row r="138" spans="1:45" x14ac:dyDescent="0.35">
      <c r="A138" s="24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6"/>
      <c r="AQ138" s="27"/>
      <c r="AR138" s="21"/>
      <c r="AS138" s="21"/>
    </row>
    <row r="139" spans="1:45" x14ac:dyDescent="0.35">
      <c r="A139" s="24"/>
      <c r="B139" s="21"/>
      <c r="C139" s="21"/>
      <c r="D139" s="21"/>
      <c r="E139" s="21"/>
      <c r="F139" s="21"/>
      <c r="G139" s="21"/>
      <c r="H139" s="21"/>
      <c r="I139" s="21"/>
      <c r="J139" s="21"/>
      <c r="K139" s="24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6"/>
      <c r="AQ139" s="27"/>
      <c r="AR139" s="21"/>
      <c r="AS139" s="21"/>
    </row>
    <row r="140" spans="1:45" x14ac:dyDescent="0.35">
      <c r="A140" s="24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6"/>
      <c r="AQ140" s="27"/>
      <c r="AR140" s="21"/>
      <c r="AS140" s="21"/>
    </row>
    <row r="141" spans="1:45" x14ac:dyDescent="0.35">
      <c r="A141" s="24"/>
      <c r="B141" s="21"/>
      <c r="C141" s="21"/>
      <c r="D141" s="21"/>
      <c r="E141" s="21"/>
      <c r="F141" s="21"/>
      <c r="G141" s="21"/>
      <c r="H141" s="21"/>
      <c r="I141" s="21"/>
      <c r="J141" s="21"/>
      <c r="K141" s="24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6"/>
      <c r="AQ141" s="27"/>
      <c r="AR141" s="21"/>
      <c r="AS141" s="21"/>
    </row>
    <row r="142" spans="1:45" x14ac:dyDescent="0.35">
      <c r="A142" s="24"/>
      <c r="B142" s="21"/>
      <c r="C142" s="21"/>
      <c r="D142" s="21"/>
      <c r="E142" s="21"/>
      <c r="F142" s="21"/>
      <c r="G142" s="21"/>
      <c r="H142" s="21"/>
      <c r="I142" s="21"/>
      <c r="J142" s="21"/>
      <c r="K142" s="24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6"/>
      <c r="AQ142" s="27"/>
      <c r="AR142" s="21"/>
      <c r="AS142" s="21"/>
    </row>
    <row r="143" spans="1:45" x14ac:dyDescent="0.35">
      <c r="A143" s="24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6"/>
      <c r="AQ143" s="27"/>
      <c r="AR143" s="21"/>
      <c r="AS143" s="21"/>
    </row>
    <row r="144" spans="1:45" x14ac:dyDescent="0.35">
      <c r="A144" s="24"/>
      <c r="B144" s="21"/>
      <c r="C144" s="21"/>
      <c r="D144" s="21"/>
      <c r="E144" s="21"/>
      <c r="F144" s="21"/>
      <c r="G144" s="21"/>
      <c r="H144" s="21"/>
      <c r="I144" s="21"/>
      <c r="J144" s="21"/>
      <c r="K144" s="24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6"/>
      <c r="AQ144" s="27"/>
      <c r="AR144" s="21"/>
      <c r="AS144" s="21"/>
    </row>
    <row r="145" spans="1:45" x14ac:dyDescent="0.35">
      <c r="A145" s="24"/>
      <c r="B145" s="21"/>
      <c r="C145" s="21"/>
      <c r="D145" s="21"/>
      <c r="E145" s="21"/>
      <c r="F145" s="21"/>
      <c r="G145" s="21"/>
      <c r="H145" s="21"/>
      <c r="I145" s="21"/>
      <c r="J145" s="21"/>
      <c r="K145" s="24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6"/>
      <c r="AQ145" s="27"/>
      <c r="AR145" s="21"/>
      <c r="AS145" s="21"/>
    </row>
    <row r="146" spans="1:45" x14ac:dyDescent="0.35">
      <c r="A146" s="24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6"/>
      <c r="AQ146" s="27"/>
      <c r="AR146" s="21"/>
      <c r="AS146" s="21"/>
    </row>
    <row r="147" spans="1:45" x14ac:dyDescent="0.35">
      <c r="A147" s="24"/>
      <c r="B147" s="21"/>
      <c r="C147" s="21"/>
      <c r="D147" s="21"/>
      <c r="E147" s="21"/>
      <c r="F147" s="21"/>
      <c r="G147" s="21"/>
      <c r="H147" s="21"/>
      <c r="I147" s="21"/>
      <c r="J147" s="21"/>
      <c r="K147" s="24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6"/>
      <c r="AQ147" s="27"/>
      <c r="AR147" s="21"/>
      <c r="AS147" s="21"/>
    </row>
    <row r="148" spans="1:45" x14ac:dyDescent="0.35">
      <c r="A148" s="24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6"/>
      <c r="AQ148" s="27"/>
      <c r="AR148" s="21"/>
      <c r="AS148" s="21"/>
    </row>
    <row r="149" spans="1:45" x14ac:dyDescent="0.35">
      <c r="A149" s="24"/>
      <c r="B149" s="21"/>
      <c r="C149" s="21"/>
      <c r="D149" s="21"/>
      <c r="E149" s="21"/>
      <c r="F149" s="21"/>
      <c r="G149" s="21"/>
      <c r="H149" s="21"/>
      <c r="I149" s="21"/>
      <c r="J149" s="21"/>
      <c r="K149" s="24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6"/>
      <c r="AQ149" s="27"/>
      <c r="AR149" s="21"/>
      <c r="AS149" s="21"/>
    </row>
    <row r="150" spans="1:45" x14ac:dyDescent="0.35">
      <c r="A150" s="24"/>
      <c r="B150" s="21"/>
      <c r="C150" s="21"/>
      <c r="D150" s="21"/>
      <c r="E150" s="21"/>
      <c r="F150" s="21"/>
      <c r="G150" s="21"/>
      <c r="H150" s="21"/>
      <c r="I150" s="21"/>
      <c r="J150" s="21"/>
      <c r="K150" s="24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6"/>
      <c r="AQ150" s="27"/>
      <c r="AR150" s="21"/>
      <c r="AS150" s="21"/>
    </row>
    <row r="151" spans="1:45" x14ac:dyDescent="0.35">
      <c r="A151" s="24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6"/>
      <c r="AQ151" s="27"/>
      <c r="AR151" s="21"/>
      <c r="AS151" s="21"/>
    </row>
    <row r="152" spans="1:45" x14ac:dyDescent="0.35">
      <c r="A152" s="24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6"/>
      <c r="AQ152" s="27"/>
      <c r="AR152" s="21"/>
      <c r="AS152" s="21"/>
    </row>
    <row r="153" spans="1:45" x14ac:dyDescent="0.35">
      <c r="A153" s="24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6"/>
      <c r="AQ153" s="27"/>
      <c r="AR153" s="21"/>
      <c r="AS153" s="21"/>
    </row>
    <row r="154" spans="1:45" x14ac:dyDescent="0.35">
      <c r="A154" s="24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6"/>
      <c r="AQ154" s="27"/>
      <c r="AR154" s="21"/>
      <c r="AS154" s="21"/>
    </row>
    <row r="155" spans="1:45" x14ac:dyDescent="0.35">
      <c r="A155" s="24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6"/>
      <c r="AQ155" s="27"/>
      <c r="AR155" s="21"/>
      <c r="AS155" s="21"/>
    </row>
    <row r="156" spans="1:45" x14ac:dyDescent="0.35">
      <c r="A156" s="31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  <c r="AL156" s="32"/>
      <c r="AM156" s="32"/>
      <c r="AN156" s="32"/>
      <c r="AO156" s="21"/>
      <c r="AP156" s="26"/>
      <c r="AQ156" s="27"/>
      <c r="AR156" s="21"/>
      <c r="AS156" s="21"/>
    </row>
    <row r="157" spans="1:45" x14ac:dyDescent="0.35">
      <c r="A157" s="24"/>
      <c r="B157" s="21"/>
      <c r="C157" s="21"/>
      <c r="D157" s="21"/>
      <c r="E157" s="21"/>
      <c r="F157" s="21"/>
      <c r="G157" s="21"/>
      <c r="H157" s="21"/>
      <c r="I157" s="21"/>
      <c r="J157" s="21"/>
      <c r="K157" s="24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6"/>
      <c r="AQ157" s="27"/>
      <c r="AR157" s="21"/>
      <c r="AS157" s="21"/>
    </row>
    <row r="158" spans="1:45" x14ac:dyDescent="0.35">
      <c r="A158" s="24"/>
      <c r="B158" s="21"/>
      <c r="C158" s="21"/>
      <c r="D158" s="21"/>
      <c r="E158" s="21"/>
      <c r="F158" s="21"/>
      <c r="G158" s="21"/>
      <c r="H158" s="21"/>
      <c r="I158" s="21"/>
      <c r="J158" s="21"/>
      <c r="K158" s="24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6"/>
      <c r="AQ158" s="27"/>
      <c r="AR158" s="21"/>
      <c r="AS158" s="21"/>
    </row>
    <row r="159" spans="1:45" x14ac:dyDescent="0.35">
      <c r="A159" s="24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6"/>
      <c r="AQ159" s="27"/>
      <c r="AR159" s="21"/>
      <c r="AS159" s="21"/>
    </row>
    <row r="160" spans="1:45" x14ac:dyDescent="0.35">
      <c r="A160" s="24"/>
      <c r="B160" s="21"/>
      <c r="C160" s="21"/>
      <c r="D160" s="21"/>
      <c r="E160" s="21"/>
      <c r="F160" s="21"/>
      <c r="G160" s="21"/>
      <c r="H160" s="21"/>
      <c r="I160" s="21"/>
      <c r="J160" s="21"/>
      <c r="K160" s="24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6"/>
      <c r="AQ160" s="27"/>
      <c r="AR160" s="21"/>
      <c r="AS160" s="21"/>
    </row>
    <row r="161" spans="1:45" x14ac:dyDescent="0.35">
      <c r="A161" s="24"/>
      <c r="B161" s="21"/>
      <c r="C161" s="21"/>
      <c r="D161" s="21"/>
      <c r="E161" s="21"/>
      <c r="F161" s="21"/>
      <c r="G161" s="21"/>
      <c r="H161" s="21"/>
      <c r="I161" s="21"/>
      <c r="J161" s="21"/>
      <c r="K161" s="24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6"/>
      <c r="AQ161" s="27"/>
      <c r="AR161" s="21"/>
      <c r="AS161" s="21"/>
    </row>
    <row r="162" spans="1:45" x14ac:dyDescent="0.35">
      <c r="A162" s="24"/>
      <c r="B162" s="21"/>
      <c r="C162" s="21"/>
      <c r="D162" s="21"/>
      <c r="E162" s="21"/>
      <c r="F162" s="21"/>
      <c r="G162" s="21"/>
      <c r="H162" s="21"/>
      <c r="I162" s="21"/>
      <c r="J162" s="21"/>
      <c r="K162" s="24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6"/>
      <c r="AQ162" s="27"/>
      <c r="AR162" s="21"/>
      <c r="AS162" s="21"/>
    </row>
    <row r="163" spans="1:45" x14ac:dyDescent="0.35">
      <c r="A163" s="24"/>
      <c r="B163" s="21"/>
      <c r="C163" s="21"/>
      <c r="D163" s="21"/>
      <c r="E163" s="21"/>
      <c r="F163" s="21"/>
      <c r="G163" s="21"/>
      <c r="H163" s="21"/>
      <c r="I163" s="21"/>
      <c r="J163" s="21"/>
      <c r="K163" s="24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6"/>
      <c r="AQ163" s="27"/>
      <c r="AR163" s="21"/>
      <c r="AS163" s="21"/>
    </row>
    <row r="164" spans="1:45" x14ac:dyDescent="0.35">
      <c r="A164" s="24"/>
      <c r="B164" s="21"/>
      <c r="C164" s="21"/>
      <c r="D164" s="21"/>
      <c r="E164" s="21"/>
      <c r="F164" s="21"/>
      <c r="G164" s="21"/>
      <c r="H164" s="21"/>
      <c r="I164" s="21"/>
      <c r="J164" s="21"/>
      <c r="K164" s="24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6"/>
      <c r="AQ164" s="27"/>
      <c r="AR164" s="21"/>
      <c r="AS164" s="21"/>
    </row>
    <row r="165" spans="1:45" x14ac:dyDescent="0.35">
      <c r="A165" s="24"/>
      <c r="B165" s="21"/>
      <c r="C165" s="21"/>
      <c r="D165" s="21"/>
      <c r="E165" s="21"/>
      <c r="F165" s="21"/>
      <c r="G165" s="21"/>
      <c r="H165" s="21"/>
      <c r="I165" s="21"/>
      <c r="J165" s="21"/>
      <c r="K165" s="24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6"/>
      <c r="AQ165" s="27"/>
      <c r="AR165" s="21"/>
      <c r="AS165" s="21"/>
    </row>
    <row r="166" spans="1:45" x14ac:dyDescent="0.35">
      <c r="A166" s="24"/>
      <c r="B166" s="21"/>
      <c r="C166" s="21"/>
      <c r="D166" s="21"/>
      <c r="E166" s="21"/>
      <c r="F166" s="21"/>
      <c r="G166" s="21"/>
      <c r="H166" s="21"/>
      <c r="I166" s="21"/>
      <c r="J166" s="21"/>
      <c r="K166" s="24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6"/>
      <c r="AQ166" s="27"/>
      <c r="AR166" s="21"/>
      <c r="AS166" s="21"/>
    </row>
    <row r="167" spans="1:45" x14ac:dyDescent="0.35">
      <c r="A167" s="24"/>
      <c r="B167" s="21"/>
      <c r="C167" s="21"/>
      <c r="D167" s="21"/>
      <c r="E167" s="21"/>
      <c r="F167" s="21"/>
      <c r="G167" s="21"/>
      <c r="H167" s="21"/>
      <c r="I167" s="21"/>
      <c r="J167" s="21"/>
      <c r="K167" s="24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6"/>
      <c r="AQ167" s="27"/>
      <c r="AR167" s="21"/>
      <c r="AS167" s="21"/>
    </row>
    <row r="168" spans="1:45" x14ac:dyDescent="0.35">
      <c r="A168" s="24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6"/>
      <c r="AQ168" s="27"/>
      <c r="AR168" s="21"/>
      <c r="AS168" s="21"/>
    </row>
    <row r="169" spans="1:45" x14ac:dyDescent="0.35">
      <c r="A169" s="24"/>
      <c r="B169" s="21"/>
      <c r="C169" s="21"/>
      <c r="D169" s="21"/>
      <c r="E169" s="21"/>
      <c r="F169" s="21"/>
      <c r="G169" s="21"/>
      <c r="H169" s="21"/>
      <c r="I169" s="21"/>
      <c r="J169" s="21"/>
      <c r="K169" s="24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6"/>
      <c r="AQ169" s="27"/>
      <c r="AR169" s="21"/>
      <c r="AS169" s="21"/>
    </row>
    <row r="170" spans="1:45" x14ac:dyDescent="0.35">
      <c r="A170" s="24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6"/>
      <c r="AQ170" s="27"/>
      <c r="AR170" s="21"/>
      <c r="AS170" s="21"/>
    </row>
    <row r="171" spans="1:45" x14ac:dyDescent="0.35">
      <c r="A171" s="24"/>
      <c r="B171" s="21"/>
      <c r="C171" s="21"/>
      <c r="D171" s="21"/>
      <c r="E171" s="21"/>
      <c r="F171" s="21"/>
      <c r="G171" s="21"/>
      <c r="H171" s="21"/>
      <c r="I171" s="21"/>
      <c r="J171" s="21"/>
      <c r="K171" s="24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6"/>
      <c r="AQ171" s="27"/>
      <c r="AR171" s="21"/>
      <c r="AS171" s="21"/>
    </row>
    <row r="172" spans="1:45" x14ac:dyDescent="0.35">
      <c r="A172" s="24"/>
      <c r="B172" s="21"/>
      <c r="C172" s="21"/>
      <c r="D172" s="21"/>
      <c r="E172" s="21"/>
      <c r="F172" s="21"/>
      <c r="G172" s="21"/>
      <c r="H172" s="21"/>
      <c r="I172" s="21"/>
      <c r="J172" s="21"/>
      <c r="K172" s="24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6"/>
      <c r="AQ172" s="27"/>
      <c r="AR172" s="21"/>
      <c r="AS172" s="21"/>
    </row>
    <row r="173" spans="1:45" x14ac:dyDescent="0.35">
      <c r="A173" s="24"/>
      <c r="B173" s="21"/>
      <c r="C173" s="21"/>
      <c r="D173" s="21"/>
      <c r="E173" s="21"/>
      <c r="F173" s="21"/>
      <c r="G173" s="21"/>
      <c r="H173" s="21"/>
      <c r="I173" s="21"/>
      <c r="J173" s="21"/>
      <c r="K173" s="24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6"/>
      <c r="AQ173" s="27"/>
      <c r="AR173" s="21"/>
      <c r="AS173" s="21"/>
    </row>
    <row r="174" spans="1:45" x14ac:dyDescent="0.35">
      <c r="A174" s="24"/>
      <c r="B174" s="21"/>
      <c r="C174" s="21"/>
      <c r="D174" s="21"/>
      <c r="E174" s="21"/>
      <c r="F174" s="21"/>
      <c r="G174" s="21"/>
      <c r="H174" s="21"/>
      <c r="I174" s="21"/>
      <c r="J174" s="21"/>
      <c r="K174" s="24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6"/>
      <c r="AQ174" s="27"/>
      <c r="AR174" s="21"/>
      <c r="AS174" s="21"/>
    </row>
    <row r="175" spans="1:45" x14ac:dyDescent="0.35">
      <c r="A175" s="24"/>
      <c r="B175" s="21"/>
      <c r="C175" s="21"/>
      <c r="D175" s="21"/>
      <c r="E175" s="21"/>
      <c r="F175" s="21"/>
      <c r="G175" s="21"/>
      <c r="H175" s="21"/>
      <c r="I175" s="21"/>
      <c r="J175" s="21"/>
      <c r="K175" s="24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6"/>
      <c r="AQ175" s="27"/>
      <c r="AR175" s="21"/>
      <c r="AS175" s="21"/>
    </row>
    <row r="176" spans="1:45" x14ac:dyDescent="0.35">
      <c r="A176" s="24"/>
      <c r="B176" s="21"/>
      <c r="C176" s="21"/>
      <c r="D176" s="21"/>
      <c r="E176" s="21"/>
      <c r="F176" s="21"/>
      <c r="G176" s="21"/>
      <c r="H176" s="21"/>
      <c r="I176" s="21"/>
      <c r="J176" s="21"/>
      <c r="K176" s="24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6"/>
      <c r="AQ176" s="27"/>
      <c r="AR176" s="21"/>
      <c r="AS176" s="21"/>
    </row>
    <row r="177" spans="1:45" x14ac:dyDescent="0.35">
      <c r="A177" s="24"/>
      <c r="B177" s="21"/>
      <c r="C177" s="21"/>
      <c r="D177" s="21"/>
      <c r="E177" s="21"/>
      <c r="F177" s="21"/>
      <c r="G177" s="21"/>
      <c r="H177" s="21"/>
      <c r="I177" s="21"/>
      <c r="J177" s="21"/>
      <c r="K177" s="24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6"/>
      <c r="AQ177" s="27"/>
      <c r="AR177" s="21"/>
      <c r="AS177" s="21"/>
    </row>
    <row r="178" spans="1:45" x14ac:dyDescent="0.35">
      <c r="A178" s="24"/>
      <c r="B178" s="21"/>
      <c r="C178" s="21"/>
      <c r="D178" s="21"/>
      <c r="E178" s="21"/>
      <c r="F178" s="21"/>
      <c r="G178" s="21"/>
      <c r="H178" s="21"/>
      <c r="I178" s="21"/>
      <c r="J178" s="21"/>
      <c r="K178" s="24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6"/>
      <c r="AQ178" s="27"/>
      <c r="AR178" s="21"/>
      <c r="AS178" s="21"/>
    </row>
    <row r="179" spans="1:45" x14ac:dyDescent="0.35">
      <c r="A179" s="24"/>
      <c r="B179" s="21"/>
      <c r="C179" s="21"/>
      <c r="D179" s="21"/>
      <c r="E179" s="21"/>
      <c r="F179" s="21"/>
      <c r="G179" s="21"/>
      <c r="H179" s="21"/>
      <c r="I179" s="21"/>
      <c r="J179" s="21"/>
      <c r="K179" s="24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6"/>
      <c r="AQ179" s="27"/>
      <c r="AR179" s="21"/>
      <c r="AS179" s="21"/>
    </row>
    <row r="180" spans="1:45" x14ac:dyDescent="0.35">
      <c r="A180" s="24"/>
      <c r="B180" s="21"/>
      <c r="C180" s="21"/>
      <c r="D180" s="21"/>
      <c r="E180" s="21"/>
      <c r="F180" s="21"/>
      <c r="G180" s="21"/>
      <c r="H180" s="21"/>
      <c r="I180" s="21"/>
      <c r="J180" s="21"/>
      <c r="K180" s="24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6"/>
      <c r="AQ180" s="27"/>
      <c r="AR180" s="21"/>
      <c r="AS180" s="21"/>
    </row>
    <row r="181" spans="1:45" x14ac:dyDescent="0.35">
      <c r="A181" s="24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6"/>
      <c r="AQ181" s="27"/>
      <c r="AR181" s="21"/>
      <c r="AS181" s="21"/>
    </row>
    <row r="182" spans="1:45" x14ac:dyDescent="0.35">
      <c r="A182" s="24"/>
      <c r="B182" s="21"/>
      <c r="C182" s="21"/>
      <c r="D182" s="21"/>
      <c r="E182" s="21"/>
      <c r="F182" s="21"/>
      <c r="G182" s="21"/>
      <c r="H182" s="21"/>
      <c r="I182" s="21"/>
      <c r="J182" s="21"/>
      <c r="K182" s="24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6"/>
      <c r="AQ182" s="27"/>
      <c r="AR182" s="21"/>
      <c r="AS182" s="21"/>
    </row>
    <row r="183" spans="1:45" x14ac:dyDescent="0.35">
      <c r="A183" s="24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6"/>
      <c r="AQ183" s="27"/>
      <c r="AR183" s="21"/>
      <c r="AS183" s="21"/>
    </row>
    <row r="184" spans="1:45" x14ac:dyDescent="0.35">
      <c r="A184" s="24"/>
      <c r="B184" s="21"/>
      <c r="C184" s="21"/>
      <c r="D184" s="21"/>
      <c r="E184" s="21"/>
      <c r="F184" s="21"/>
      <c r="G184" s="21"/>
      <c r="H184" s="21"/>
      <c r="I184" s="21"/>
      <c r="J184" s="21"/>
      <c r="K184" s="24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6"/>
      <c r="AQ184" s="27"/>
      <c r="AR184" s="21"/>
      <c r="AS184" s="21"/>
    </row>
    <row r="185" spans="1:45" x14ac:dyDescent="0.35">
      <c r="A185" s="24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6"/>
      <c r="AQ185" s="27"/>
      <c r="AR185" s="21"/>
      <c r="AS185" s="21"/>
    </row>
    <row r="186" spans="1:45" x14ac:dyDescent="0.35">
      <c r="A186" s="24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6"/>
      <c r="AQ186" s="27"/>
      <c r="AR186" s="21"/>
      <c r="AS186" s="21"/>
    </row>
    <row r="187" spans="1:45" x14ac:dyDescent="0.35">
      <c r="A187" s="24"/>
      <c r="B187" s="21"/>
      <c r="C187" s="21"/>
      <c r="D187" s="21"/>
      <c r="E187" s="21"/>
      <c r="F187" s="21"/>
      <c r="G187" s="21"/>
      <c r="H187" s="21"/>
      <c r="I187" s="21"/>
      <c r="J187" s="21"/>
      <c r="K187" s="24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6"/>
      <c r="AQ187" s="27"/>
      <c r="AR187" s="21"/>
      <c r="AS187" s="21"/>
    </row>
    <row r="188" spans="1:45" x14ac:dyDescent="0.35">
      <c r="A188" s="24"/>
      <c r="B188" s="21"/>
      <c r="C188" s="21"/>
      <c r="D188" s="21"/>
      <c r="E188" s="21"/>
      <c r="F188" s="21"/>
      <c r="G188" s="21"/>
      <c r="H188" s="21"/>
      <c r="I188" s="21"/>
      <c r="J188" s="21"/>
      <c r="K188" s="24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6"/>
      <c r="AQ188" s="27"/>
      <c r="AR188" s="21"/>
      <c r="AS188" s="21"/>
    </row>
    <row r="189" spans="1:45" x14ac:dyDescent="0.35">
      <c r="A189" s="24"/>
      <c r="B189" s="21"/>
      <c r="C189" s="21"/>
      <c r="D189" s="21"/>
      <c r="E189" s="21"/>
      <c r="F189" s="21"/>
      <c r="G189" s="21"/>
      <c r="H189" s="21"/>
      <c r="I189" s="21"/>
      <c r="J189" s="21"/>
      <c r="K189" s="24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6"/>
      <c r="AQ189" s="27"/>
      <c r="AR189" s="21"/>
      <c r="AS189" s="21"/>
    </row>
    <row r="190" spans="1:45" x14ac:dyDescent="0.35">
      <c r="A190" s="24"/>
      <c r="B190" s="21"/>
      <c r="C190" s="21"/>
      <c r="D190" s="21"/>
      <c r="E190" s="21"/>
      <c r="F190" s="21"/>
      <c r="G190" s="21"/>
      <c r="H190" s="21"/>
      <c r="I190" s="21"/>
      <c r="J190" s="21"/>
      <c r="K190" s="24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6"/>
      <c r="AQ190" s="27"/>
      <c r="AR190" s="21"/>
      <c r="AS190" s="21"/>
    </row>
    <row r="191" spans="1:45" x14ac:dyDescent="0.35">
      <c r="A191" s="24"/>
      <c r="B191" s="21"/>
      <c r="C191" s="21"/>
      <c r="D191" s="21"/>
      <c r="E191" s="21"/>
      <c r="F191" s="21"/>
      <c r="G191" s="21"/>
      <c r="H191" s="21"/>
      <c r="I191" s="21"/>
      <c r="J191" s="21"/>
      <c r="K191" s="24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6"/>
      <c r="AQ191" s="27"/>
      <c r="AR191" s="21"/>
      <c r="AS191" s="21"/>
    </row>
    <row r="192" spans="1:45" x14ac:dyDescent="0.35">
      <c r="A192" s="24"/>
      <c r="B192" s="21"/>
      <c r="C192" s="21"/>
      <c r="D192" s="21"/>
      <c r="E192" s="21"/>
      <c r="F192" s="21"/>
      <c r="G192" s="21"/>
      <c r="H192" s="21"/>
      <c r="I192" s="21"/>
      <c r="J192" s="21"/>
      <c r="K192" s="24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6"/>
      <c r="AQ192" s="27"/>
      <c r="AR192" s="21"/>
      <c r="AS192" s="21"/>
    </row>
    <row r="193" spans="1:45" x14ac:dyDescent="0.35">
      <c r="A193" s="24"/>
      <c r="B193" s="21"/>
      <c r="C193" s="21"/>
      <c r="D193" s="21"/>
      <c r="E193" s="21"/>
      <c r="F193" s="21"/>
      <c r="G193" s="21"/>
      <c r="H193" s="21"/>
      <c r="I193" s="21"/>
      <c r="J193" s="21"/>
      <c r="K193" s="24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6"/>
      <c r="AQ193" s="27"/>
      <c r="AR193" s="21"/>
      <c r="AS193" s="21"/>
    </row>
    <row r="194" spans="1:45" x14ac:dyDescent="0.35">
      <c r="A194" s="24"/>
      <c r="B194" s="21"/>
      <c r="C194" s="21"/>
      <c r="D194" s="21"/>
      <c r="E194" s="21"/>
      <c r="F194" s="21"/>
      <c r="G194" s="21"/>
      <c r="H194" s="21"/>
      <c r="I194" s="21"/>
      <c r="J194" s="21"/>
      <c r="K194" s="24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6"/>
      <c r="AQ194" s="27"/>
      <c r="AR194" s="21"/>
      <c r="AS194" s="21"/>
    </row>
    <row r="195" spans="1:45" x14ac:dyDescent="0.35">
      <c r="A195" s="24"/>
      <c r="B195" s="21"/>
      <c r="C195" s="21"/>
      <c r="D195" s="21"/>
      <c r="E195" s="21"/>
      <c r="F195" s="21"/>
      <c r="G195" s="21"/>
      <c r="H195" s="21"/>
      <c r="I195" s="21"/>
      <c r="J195" s="21"/>
      <c r="K195" s="24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6"/>
      <c r="AQ195" s="27"/>
      <c r="AR195" s="21"/>
      <c r="AS195" s="21"/>
    </row>
    <row r="196" spans="1:45" x14ac:dyDescent="0.35">
      <c r="A196" s="24"/>
      <c r="B196" s="21"/>
      <c r="C196" s="21"/>
      <c r="D196" s="21"/>
      <c r="E196" s="21"/>
      <c r="F196" s="21"/>
      <c r="G196" s="21"/>
      <c r="H196" s="21"/>
      <c r="I196" s="21"/>
      <c r="J196" s="21"/>
      <c r="K196" s="24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6"/>
      <c r="AQ196" s="27"/>
      <c r="AR196" s="21"/>
      <c r="AS196" s="21"/>
    </row>
    <row r="197" spans="1:45" x14ac:dyDescent="0.35">
      <c r="A197" s="24"/>
      <c r="B197" s="21"/>
      <c r="C197" s="21"/>
      <c r="D197" s="21"/>
      <c r="E197" s="21"/>
      <c r="F197" s="21"/>
      <c r="G197" s="21"/>
      <c r="H197" s="21"/>
      <c r="I197" s="21"/>
      <c r="J197" s="21"/>
      <c r="K197" s="24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6"/>
      <c r="AQ197" s="27"/>
      <c r="AR197" s="21"/>
      <c r="AS197" s="21"/>
    </row>
    <row r="198" spans="1:45" x14ac:dyDescent="0.35">
      <c r="A198" s="24"/>
      <c r="B198" s="21"/>
      <c r="C198" s="21"/>
      <c r="D198" s="21"/>
      <c r="E198" s="21"/>
      <c r="F198" s="21"/>
      <c r="G198" s="21"/>
      <c r="H198" s="21"/>
      <c r="I198" s="21"/>
      <c r="J198" s="21"/>
      <c r="K198" s="24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6"/>
      <c r="AQ198" s="27"/>
      <c r="AR198" s="21"/>
      <c r="AS198" s="21"/>
    </row>
    <row r="199" spans="1:45" x14ac:dyDescent="0.35">
      <c r="A199" s="24"/>
      <c r="B199" s="21"/>
      <c r="C199" s="21"/>
      <c r="D199" s="21"/>
      <c r="E199" s="21"/>
      <c r="F199" s="21"/>
      <c r="G199" s="21"/>
      <c r="H199" s="21"/>
      <c r="I199" s="21"/>
      <c r="J199" s="21"/>
      <c r="K199" s="24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6"/>
      <c r="AQ199" s="27"/>
      <c r="AR199" s="21"/>
      <c r="AS199" s="21"/>
    </row>
    <row r="200" spans="1:45" x14ac:dyDescent="0.35">
      <c r="A200" s="24"/>
      <c r="B200" s="21"/>
      <c r="C200" s="21"/>
      <c r="D200" s="21"/>
      <c r="E200" s="21"/>
      <c r="F200" s="21"/>
      <c r="G200" s="21"/>
      <c r="H200" s="21"/>
      <c r="I200" s="21"/>
      <c r="J200" s="21"/>
      <c r="K200" s="24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6"/>
      <c r="AQ200" s="27"/>
      <c r="AR200" s="21"/>
      <c r="AS200" s="21"/>
    </row>
    <row r="201" spans="1:45" x14ac:dyDescent="0.35">
      <c r="A201" s="24"/>
      <c r="B201" s="21"/>
      <c r="C201" s="21"/>
      <c r="D201" s="21"/>
      <c r="E201" s="21"/>
      <c r="F201" s="21"/>
      <c r="G201" s="21"/>
      <c r="H201" s="21"/>
      <c r="I201" s="21"/>
      <c r="J201" s="21"/>
      <c r="K201" s="24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6"/>
      <c r="AQ201" s="27"/>
      <c r="AR201" s="21"/>
      <c r="AS201" s="21"/>
    </row>
    <row r="202" spans="1:45" x14ac:dyDescent="0.35">
      <c r="A202" s="24"/>
      <c r="B202" s="21"/>
      <c r="C202" s="21"/>
      <c r="D202" s="21"/>
      <c r="E202" s="21"/>
      <c r="F202" s="21"/>
      <c r="G202" s="21"/>
      <c r="H202" s="21"/>
      <c r="I202" s="21"/>
      <c r="J202" s="21"/>
      <c r="K202" s="24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6"/>
      <c r="AQ202" s="27"/>
      <c r="AR202" s="21"/>
      <c r="AS202" s="21"/>
    </row>
    <row r="203" spans="1:45" x14ac:dyDescent="0.35">
      <c r="A203" s="24"/>
      <c r="B203" s="21"/>
      <c r="C203" s="21"/>
      <c r="D203" s="21"/>
      <c r="E203" s="21"/>
      <c r="F203" s="21"/>
      <c r="G203" s="21"/>
      <c r="H203" s="21"/>
      <c r="I203" s="21"/>
      <c r="J203" s="21"/>
      <c r="K203" s="24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6"/>
      <c r="AQ203" s="27"/>
      <c r="AR203" s="21"/>
      <c r="AS203" s="21"/>
    </row>
    <row r="204" spans="1:45" x14ac:dyDescent="0.35">
      <c r="A204" s="24"/>
      <c r="B204" s="21"/>
      <c r="C204" s="21"/>
      <c r="D204" s="21"/>
      <c r="E204" s="21"/>
      <c r="F204" s="21"/>
      <c r="G204" s="21"/>
      <c r="H204" s="21"/>
      <c r="I204" s="21"/>
      <c r="J204" s="21"/>
      <c r="K204" s="24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6"/>
      <c r="AQ204" s="27"/>
      <c r="AR204" s="21"/>
      <c r="AS204" s="21"/>
    </row>
    <row r="205" spans="1:45" x14ac:dyDescent="0.35">
      <c r="A205" s="24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6"/>
      <c r="AQ205" s="27"/>
      <c r="AR205" s="21"/>
      <c r="AS205" s="21"/>
    </row>
    <row r="206" spans="1:45" x14ac:dyDescent="0.35">
      <c r="A206" s="24"/>
      <c r="B206" s="21"/>
      <c r="C206" s="21"/>
      <c r="D206" s="21"/>
      <c r="E206" s="21"/>
      <c r="F206" s="21"/>
      <c r="G206" s="21"/>
      <c r="H206" s="21"/>
      <c r="I206" s="21"/>
      <c r="J206" s="21"/>
      <c r="K206" s="24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6"/>
      <c r="AQ206" s="27"/>
      <c r="AR206" s="21"/>
      <c r="AS206" s="21"/>
    </row>
    <row r="207" spans="1:45" x14ac:dyDescent="0.35">
      <c r="A207" s="24"/>
      <c r="B207" s="21"/>
      <c r="C207" s="21"/>
      <c r="D207" s="21"/>
      <c r="E207" s="21"/>
      <c r="F207" s="21"/>
      <c r="G207" s="21"/>
      <c r="H207" s="21"/>
      <c r="I207" s="21"/>
      <c r="J207" s="21"/>
      <c r="K207" s="24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6"/>
      <c r="AQ207" s="27"/>
      <c r="AR207" s="21"/>
      <c r="AS207" s="21"/>
    </row>
    <row r="208" spans="1:45" x14ac:dyDescent="0.35">
      <c r="A208" s="24"/>
      <c r="B208" s="21"/>
      <c r="C208" s="21"/>
      <c r="D208" s="21"/>
      <c r="E208" s="21"/>
      <c r="F208" s="21"/>
      <c r="G208" s="21"/>
      <c r="H208" s="21"/>
      <c r="I208" s="21"/>
      <c r="J208" s="21"/>
      <c r="K208" s="24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6"/>
      <c r="AQ208" s="27"/>
      <c r="AR208" s="21"/>
      <c r="AS208" s="21"/>
    </row>
    <row r="209" spans="1:45" x14ac:dyDescent="0.35">
      <c r="A209" s="24"/>
      <c r="B209" s="21"/>
      <c r="C209" s="21"/>
      <c r="D209" s="21"/>
      <c r="E209" s="21"/>
      <c r="F209" s="21"/>
      <c r="G209" s="21"/>
      <c r="H209" s="21"/>
      <c r="I209" s="21"/>
      <c r="J209" s="21"/>
      <c r="K209" s="24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6"/>
      <c r="AQ209" s="27"/>
      <c r="AR209" s="21"/>
      <c r="AS209" s="21"/>
    </row>
    <row r="210" spans="1:45" x14ac:dyDescent="0.35">
      <c r="A210" s="24"/>
      <c r="B210" s="21"/>
      <c r="C210" s="21"/>
      <c r="D210" s="21"/>
      <c r="E210" s="21"/>
      <c r="F210" s="21"/>
      <c r="G210" s="21"/>
      <c r="H210" s="21"/>
      <c r="I210" s="21"/>
      <c r="J210" s="21"/>
      <c r="K210" s="24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6"/>
      <c r="AQ210" s="27"/>
      <c r="AR210" s="21"/>
      <c r="AS210" s="21"/>
    </row>
    <row r="211" spans="1:45" x14ac:dyDescent="0.35">
      <c r="A211" s="24"/>
      <c r="B211" s="21"/>
      <c r="C211" s="21"/>
      <c r="D211" s="21"/>
      <c r="E211" s="21"/>
      <c r="F211" s="21"/>
      <c r="G211" s="21"/>
      <c r="H211" s="21"/>
      <c r="I211" s="21"/>
      <c r="J211" s="21"/>
      <c r="K211" s="24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6"/>
      <c r="AQ211" s="27"/>
      <c r="AR211" s="21"/>
      <c r="AS211" s="21"/>
    </row>
    <row r="212" spans="1:45" x14ac:dyDescent="0.35">
      <c r="A212" s="24"/>
      <c r="B212" s="21"/>
      <c r="C212" s="21"/>
      <c r="D212" s="21"/>
      <c r="E212" s="21"/>
      <c r="F212" s="21"/>
      <c r="G212" s="21"/>
      <c r="H212" s="21"/>
      <c r="I212" s="21"/>
      <c r="J212" s="21"/>
      <c r="K212" s="24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6"/>
      <c r="AQ212" s="27"/>
      <c r="AR212" s="21"/>
      <c r="AS212" s="21"/>
    </row>
    <row r="213" spans="1:45" x14ac:dyDescent="0.35">
      <c r="A213" s="24"/>
      <c r="B213" s="21"/>
      <c r="C213" s="21"/>
      <c r="D213" s="21"/>
      <c r="E213" s="21"/>
      <c r="F213" s="21"/>
      <c r="G213" s="21"/>
      <c r="H213" s="21"/>
      <c r="I213" s="21"/>
      <c r="J213" s="21"/>
      <c r="K213" s="24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6"/>
      <c r="AQ213" s="27"/>
      <c r="AR213" s="21"/>
      <c r="AS213" s="21"/>
    </row>
    <row r="214" spans="1:45" x14ac:dyDescent="0.35">
      <c r="A214" s="24"/>
      <c r="B214" s="21"/>
      <c r="C214" s="21"/>
      <c r="D214" s="21"/>
      <c r="E214" s="21"/>
      <c r="F214" s="21"/>
      <c r="G214" s="21"/>
      <c r="H214" s="21"/>
      <c r="I214" s="21"/>
      <c r="J214" s="21"/>
      <c r="K214" s="24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6"/>
      <c r="AQ214" s="27"/>
      <c r="AR214" s="21"/>
      <c r="AS214" s="21"/>
    </row>
    <row r="215" spans="1:45" x14ac:dyDescent="0.35">
      <c r="A215" s="24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6"/>
      <c r="AQ215" s="27"/>
      <c r="AR215" s="21"/>
      <c r="AS215" s="21"/>
    </row>
    <row r="216" spans="1:45" x14ac:dyDescent="0.35">
      <c r="A216" s="24"/>
      <c r="B216" s="21"/>
      <c r="C216" s="21"/>
      <c r="D216" s="21"/>
      <c r="E216" s="21"/>
      <c r="F216" s="21"/>
      <c r="G216" s="21"/>
      <c r="H216" s="21"/>
      <c r="I216" s="21"/>
      <c r="J216" s="21"/>
      <c r="K216" s="24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6"/>
      <c r="AQ216" s="27"/>
      <c r="AR216" s="21"/>
      <c r="AS216" s="21"/>
    </row>
    <row r="217" spans="1:45" x14ac:dyDescent="0.35">
      <c r="A217" s="24"/>
      <c r="B217" s="21"/>
      <c r="C217" s="21"/>
      <c r="D217" s="21"/>
      <c r="E217" s="21"/>
      <c r="F217" s="21"/>
      <c r="G217" s="21"/>
      <c r="H217" s="21"/>
      <c r="I217" s="21"/>
      <c r="J217" s="21"/>
      <c r="K217" s="24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6"/>
      <c r="AQ217" s="27"/>
      <c r="AR217" s="21"/>
      <c r="AS217" s="21"/>
    </row>
    <row r="218" spans="1:45" x14ac:dyDescent="0.35">
      <c r="A218" s="24"/>
      <c r="B218" s="21"/>
      <c r="C218" s="21"/>
      <c r="D218" s="21"/>
      <c r="E218" s="21"/>
      <c r="F218" s="21"/>
      <c r="G218" s="21"/>
      <c r="H218" s="21"/>
      <c r="I218" s="21"/>
      <c r="J218" s="21"/>
      <c r="K218" s="24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6"/>
      <c r="AQ218" s="27"/>
      <c r="AR218" s="21"/>
      <c r="AS218" s="21"/>
    </row>
    <row r="219" spans="1:45" x14ac:dyDescent="0.35">
      <c r="A219" s="24"/>
      <c r="B219" s="21"/>
      <c r="C219" s="21"/>
      <c r="D219" s="21"/>
      <c r="E219" s="21"/>
      <c r="F219" s="21"/>
      <c r="G219" s="21"/>
      <c r="H219" s="21"/>
      <c r="I219" s="21"/>
      <c r="J219" s="21"/>
      <c r="K219" s="24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6"/>
      <c r="AQ219" s="27"/>
      <c r="AR219" s="21"/>
      <c r="AS219" s="21"/>
    </row>
    <row r="220" spans="1:45" x14ac:dyDescent="0.35">
      <c r="A220" s="24"/>
      <c r="B220" s="21"/>
      <c r="C220" s="21"/>
      <c r="D220" s="21"/>
      <c r="E220" s="21"/>
      <c r="F220" s="21"/>
      <c r="G220" s="21"/>
      <c r="H220" s="21"/>
      <c r="I220" s="21"/>
      <c r="J220" s="21"/>
      <c r="K220" s="24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6"/>
      <c r="AQ220" s="27"/>
      <c r="AR220" s="21"/>
      <c r="AS220" s="21"/>
    </row>
    <row r="221" spans="1:45" x14ac:dyDescent="0.35">
      <c r="A221" s="24"/>
      <c r="B221" s="21"/>
      <c r="C221" s="21"/>
      <c r="D221" s="21"/>
      <c r="E221" s="21"/>
      <c r="F221" s="21"/>
      <c r="G221" s="21"/>
      <c r="H221" s="21"/>
      <c r="I221" s="21"/>
      <c r="J221" s="21"/>
      <c r="K221" s="24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6"/>
      <c r="AQ221" s="27"/>
      <c r="AR221" s="21"/>
      <c r="AS221" s="21"/>
    </row>
    <row r="222" spans="1:45" x14ac:dyDescent="0.35">
      <c r="A222" s="24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6"/>
      <c r="AQ222" s="27"/>
      <c r="AR222" s="21"/>
      <c r="AS222" s="21"/>
    </row>
    <row r="223" spans="1:45" x14ac:dyDescent="0.35">
      <c r="A223" s="24"/>
      <c r="B223" s="21"/>
      <c r="C223" s="21"/>
      <c r="D223" s="21"/>
      <c r="E223" s="21"/>
      <c r="F223" s="21"/>
      <c r="G223" s="21"/>
      <c r="H223" s="21"/>
      <c r="I223" s="21"/>
      <c r="J223" s="21"/>
      <c r="K223" s="24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6"/>
      <c r="AQ223" s="27"/>
      <c r="AR223" s="21"/>
      <c r="AS223" s="21"/>
    </row>
    <row r="224" spans="1:45" x14ac:dyDescent="0.35">
      <c r="A224" s="24"/>
      <c r="B224" s="21"/>
      <c r="C224" s="21"/>
      <c r="D224" s="21"/>
      <c r="E224" s="21"/>
      <c r="F224" s="21"/>
      <c r="G224" s="21"/>
      <c r="H224" s="21"/>
      <c r="I224" s="21"/>
      <c r="J224" s="21"/>
      <c r="K224" s="24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6"/>
      <c r="AQ224" s="27"/>
      <c r="AR224" s="21"/>
      <c r="AS224" s="21"/>
    </row>
    <row r="225" spans="1:45" x14ac:dyDescent="0.35">
      <c r="A225" s="24"/>
      <c r="B225" s="21"/>
      <c r="C225" s="21"/>
      <c r="D225" s="21"/>
      <c r="E225" s="21"/>
      <c r="F225" s="21"/>
      <c r="G225" s="21"/>
      <c r="H225" s="21"/>
      <c r="I225" s="21"/>
      <c r="J225" s="21"/>
      <c r="K225" s="24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6"/>
      <c r="AQ225" s="27"/>
      <c r="AR225" s="21"/>
      <c r="AS225" s="21"/>
    </row>
    <row r="226" spans="1:45" x14ac:dyDescent="0.35">
      <c r="A226" s="24"/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6"/>
      <c r="AQ226" s="27"/>
      <c r="AR226" s="21"/>
      <c r="AS226" s="21"/>
    </row>
    <row r="227" spans="1:45" x14ac:dyDescent="0.35">
      <c r="A227" s="24"/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6"/>
      <c r="AQ227" s="27"/>
      <c r="AR227" s="21"/>
      <c r="AS227" s="21"/>
    </row>
    <row r="228" spans="1:45" x14ac:dyDescent="0.35">
      <c r="A228" s="24"/>
      <c r="B228" s="21"/>
      <c r="C228" s="21"/>
      <c r="D228" s="21"/>
      <c r="E228" s="21"/>
      <c r="F228" s="21"/>
      <c r="G228" s="21"/>
      <c r="H228" s="21"/>
      <c r="I228" s="21"/>
      <c r="J228" s="21"/>
      <c r="K228" s="24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6"/>
      <c r="AQ228" s="27"/>
      <c r="AR228" s="21"/>
      <c r="AS228" s="21"/>
    </row>
    <row r="229" spans="1:45" x14ac:dyDescent="0.35">
      <c r="A229" s="24"/>
      <c r="B229" s="21"/>
      <c r="C229" s="21"/>
      <c r="D229" s="21"/>
      <c r="E229" s="21"/>
      <c r="F229" s="21"/>
      <c r="G229" s="21"/>
      <c r="H229" s="21"/>
      <c r="I229" s="21"/>
      <c r="J229" s="21"/>
      <c r="K229" s="24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6"/>
      <c r="AQ229" s="27"/>
      <c r="AR229" s="21"/>
      <c r="AS229" s="21"/>
    </row>
    <row r="230" spans="1:45" x14ac:dyDescent="0.35">
      <c r="A230" s="24"/>
      <c r="B230" s="21"/>
      <c r="C230" s="21"/>
      <c r="D230" s="21"/>
      <c r="E230" s="21"/>
      <c r="F230" s="21"/>
      <c r="G230" s="21"/>
      <c r="H230" s="21"/>
      <c r="I230" s="21"/>
      <c r="J230" s="21"/>
      <c r="K230" s="24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6"/>
      <c r="AQ230" s="27"/>
      <c r="AR230" s="21"/>
      <c r="AS230" s="21"/>
    </row>
    <row r="231" spans="1:45" x14ac:dyDescent="0.35">
      <c r="A231" s="24"/>
      <c r="B231" s="21"/>
      <c r="C231" s="21"/>
      <c r="D231" s="21"/>
      <c r="E231" s="21"/>
      <c r="F231" s="21"/>
      <c r="G231" s="21"/>
      <c r="H231" s="21"/>
      <c r="I231" s="21"/>
      <c r="J231" s="21"/>
      <c r="K231" s="24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6"/>
      <c r="AQ231" s="27"/>
      <c r="AR231" s="21"/>
      <c r="AS231" s="21"/>
    </row>
    <row r="232" spans="1:45" x14ac:dyDescent="0.35">
      <c r="A232" s="24"/>
      <c r="B232" s="21"/>
      <c r="C232" s="21"/>
      <c r="D232" s="21"/>
      <c r="E232" s="21"/>
      <c r="F232" s="21"/>
      <c r="G232" s="21"/>
      <c r="H232" s="21"/>
      <c r="I232" s="21"/>
      <c r="J232" s="21"/>
      <c r="K232" s="24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6"/>
      <c r="AQ232" s="27"/>
      <c r="AR232" s="21"/>
      <c r="AS232" s="21"/>
    </row>
    <row r="233" spans="1:45" x14ac:dyDescent="0.35">
      <c r="A233" s="24"/>
      <c r="B233" s="21"/>
      <c r="C233" s="21"/>
      <c r="D233" s="21"/>
      <c r="E233" s="21"/>
      <c r="F233" s="21"/>
      <c r="G233" s="21"/>
      <c r="H233" s="21"/>
      <c r="I233" s="21"/>
      <c r="J233" s="21"/>
      <c r="K233" s="24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6"/>
      <c r="AQ233" s="27"/>
      <c r="AR233" s="21"/>
      <c r="AS233" s="21"/>
    </row>
    <row r="234" spans="1:45" x14ac:dyDescent="0.35">
      <c r="A234" s="24"/>
      <c r="B234" s="21"/>
      <c r="C234" s="21"/>
      <c r="D234" s="21"/>
      <c r="E234" s="21"/>
      <c r="F234" s="21"/>
      <c r="G234" s="21"/>
      <c r="H234" s="21"/>
      <c r="I234" s="21"/>
      <c r="J234" s="21"/>
      <c r="K234" s="24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6"/>
      <c r="AQ234" s="27"/>
      <c r="AR234" s="21"/>
      <c r="AS234" s="21"/>
    </row>
    <row r="235" spans="1:45" x14ac:dyDescent="0.35">
      <c r="A235" s="24"/>
      <c r="B235" s="21"/>
      <c r="C235" s="21"/>
      <c r="D235" s="21"/>
      <c r="E235" s="21"/>
      <c r="F235" s="21"/>
      <c r="G235" s="21"/>
      <c r="H235" s="21"/>
      <c r="I235" s="21"/>
      <c r="J235" s="21"/>
      <c r="K235" s="24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6"/>
      <c r="AQ235" s="27"/>
      <c r="AR235" s="21"/>
      <c r="AS235" s="21"/>
    </row>
    <row r="236" spans="1:45" x14ac:dyDescent="0.35">
      <c r="A236" s="24"/>
      <c r="B236" s="21"/>
      <c r="C236" s="21"/>
      <c r="D236" s="21"/>
      <c r="E236" s="21"/>
      <c r="F236" s="21"/>
      <c r="G236" s="21"/>
      <c r="H236" s="21"/>
      <c r="I236" s="21"/>
      <c r="J236" s="21"/>
      <c r="K236" s="24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6"/>
      <c r="AQ236" s="27"/>
      <c r="AR236" s="21"/>
      <c r="AS236" s="21"/>
    </row>
    <row r="237" spans="1:45" x14ac:dyDescent="0.35">
      <c r="A237" s="24"/>
      <c r="B237" s="21"/>
      <c r="C237" s="21"/>
      <c r="D237" s="21"/>
      <c r="E237" s="21"/>
      <c r="F237" s="21"/>
      <c r="G237" s="21"/>
      <c r="H237" s="21"/>
      <c r="I237" s="21"/>
      <c r="J237" s="21"/>
      <c r="K237" s="24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6"/>
      <c r="AQ237" s="27"/>
      <c r="AR237" s="21"/>
      <c r="AS237" s="21"/>
    </row>
    <row r="238" spans="1:45" x14ac:dyDescent="0.35">
      <c r="A238" s="24"/>
      <c r="B238" s="21"/>
      <c r="C238" s="21"/>
      <c r="D238" s="21"/>
      <c r="E238" s="21"/>
      <c r="F238" s="21"/>
      <c r="G238" s="21"/>
      <c r="H238" s="21"/>
      <c r="I238" s="21"/>
      <c r="J238" s="21"/>
      <c r="K238" s="24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6"/>
      <c r="AQ238" s="27"/>
      <c r="AR238" s="21"/>
      <c r="AS238" s="21"/>
    </row>
    <row r="239" spans="1:45" x14ac:dyDescent="0.35">
      <c r="A239" s="24"/>
      <c r="B239" s="21"/>
      <c r="C239" s="21"/>
      <c r="D239" s="21"/>
      <c r="E239" s="21"/>
      <c r="F239" s="21"/>
      <c r="G239" s="21"/>
      <c r="H239" s="21"/>
      <c r="I239" s="21"/>
      <c r="J239" s="21"/>
      <c r="K239" s="24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6"/>
      <c r="AQ239" s="27"/>
      <c r="AR239" s="21"/>
      <c r="AS239" s="21"/>
    </row>
    <row r="240" spans="1:45" x14ac:dyDescent="0.35">
      <c r="A240" s="24"/>
      <c r="B240" s="21"/>
      <c r="C240" s="21"/>
      <c r="D240" s="21"/>
      <c r="E240" s="21"/>
      <c r="F240" s="21"/>
      <c r="G240" s="21"/>
      <c r="H240" s="21"/>
      <c r="I240" s="21"/>
      <c r="J240" s="21"/>
      <c r="K240" s="24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6"/>
      <c r="AQ240" s="27"/>
      <c r="AR240" s="21"/>
      <c r="AS240" s="21"/>
    </row>
    <row r="241" spans="1:45" x14ac:dyDescent="0.35">
      <c r="A241" s="24"/>
      <c r="B241" s="21"/>
      <c r="C241" s="21"/>
      <c r="D241" s="21"/>
      <c r="E241" s="21"/>
      <c r="F241" s="21"/>
      <c r="G241" s="21"/>
      <c r="H241" s="21"/>
      <c r="I241" s="21"/>
      <c r="J241" s="21"/>
      <c r="K241" s="24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6"/>
      <c r="AQ241" s="27"/>
      <c r="AR241" s="21"/>
      <c r="AS241" s="21"/>
    </row>
    <row r="242" spans="1:45" x14ac:dyDescent="0.35">
      <c r="A242" s="24"/>
      <c r="B242" s="21"/>
      <c r="C242" s="21"/>
      <c r="D242" s="21"/>
      <c r="E242" s="21"/>
      <c r="F242" s="21"/>
      <c r="G242" s="21"/>
      <c r="H242" s="21"/>
      <c r="I242" s="21"/>
      <c r="J242" s="21"/>
      <c r="K242" s="24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6"/>
      <c r="AQ242" s="27"/>
      <c r="AR242" s="21"/>
      <c r="AS242" s="21"/>
    </row>
    <row r="243" spans="1:45" x14ac:dyDescent="0.35">
      <c r="A243" s="24"/>
      <c r="B243" s="21"/>
      <c r="C243" s="21"/>
      <c r="D243" s="21"/>
      <c r="E243" s="21"/>
      <c r="F243" s="21"/>
      <c r="G243" s="21"/>
      <c r="H243" s="21"/>
      <c r="I243" s="21"/>
      <c r="J243" s="21"/>
      <c r="K243" s="24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6"/>
      <c r="AQ243" s="27"/>
      <c r="AR243" s="21"/>
      <c r="AS243" s="21"/>
    </row>
    <row r="244" spans="1:45" x14ac:dyDescent="0.35">
      <c r="A244" s="24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6"/>
      <c r="AQ244" s="27"/>
      <c r="AR244" s="21"/>
      <c r="AS244" s="21"/>
    </row>
    <row r="245" spans="1:45" x14ac:dyDescent="0.35">
      <c r="A245" s="24"/>
      <c r="B245" s="21"/>
      <c r="C245" s="21"/>
      <c r="D245" s="21"/>
      <c r="E245" s="21"/>
      <c r="F245" s="21"/>
      <c r="G245" s="21"/>
      <c r="H245" s="21"/>
      <c r="I245" s="21"/>
      <c r="J245" s="21"/>
      <c r="K245" s="24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6"/>
      <c r="AQ245" s="27"/>
      <c r="AR245" s="21"/>
      <c r="AS245" s="21"/>
    </row>
    <row r="246" spans="1:45" x14ac:dyDescent="0.35">
      <c r="A246" s="24"/>
      <c r="B246" s="21"/>
      <c r="C246" s="21"/>
      <c r="D246" s="21"/>
      <c r="E246" s="21"/>
      <c r="F246" s="21"/>
      <c r="G246" s="21"/>
      <c r="H246" s="21"/>
      <c r="I246" s="21"/>
      <c r="J246" s="21"/>
      <c r="K246" s="24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6"/>
      <c r="AQ246" s="27"/>
      <c r="AR246" s="21"/>
      <c r="AS246" s="21"/>
    </row>
    <row r="247" spans="1:45" x14ac:dyDescent="0.35">
      <c r="A247" s="24"/>
      <c r="B247" s="21"/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6"/>
      <c r="AQ247" s="27"/>
      <c r="AR247" s="21"/>
      <c r="AS247" s="21"/>
    </row>
    <row r="248" spans="1:45" x14ac:dyDescent="0.35">
      <c r="A248" s="24"/>
      <c r="B248" s="21"/>
      <c r="C248" s="21"/>
      <c r="D248" s="21"/>
      <c r="E248" s="21"/>
      <c r="F248" s="21"/>
      <c r="G248" s="21"/>
      <c r="H248" s="21"/>
      <c r="I248" s="21"/>
      <c r="J248" s="21"/>
      <c r="K248" s="24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6"/>
      <c r="AQ248" s="27"/>
      <c r="AR248" s="21"/>
      <c r="AS248" s="21"/>
    </row>
    <row r="249" spans="1:45" x14ac:dyDescent="0.35">
      <c r="A249" s="24"/>
      <c r="B249" s="21"/>
      <c r="C249" s="21"/>
      <c r="D249" s="21"/>
      <c r="E249" s="21"/>
      <c r="F249" s="21"/>
      <c r="G249" s="21"/>
      <c r="H249" s="21"/>
      <c r="I249" s="21"/>
      <c r="J249" s="21"/>
      <c r="K249" s="24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6"/>
      <c r="AQ249" s="27"/>
      <c r="AR249" s="21"/>
      <c r="AS249" s="21"/>
    </row>
    <row r="250" spans="1:45" x14ac:dyDescent="0.35">
      <c r="A250" s="24"/>
      <c r="B250" s="21"/>
      <c r="C250" s="21"/>
      <c r="D250" s="21"/>
      <c r="E250" s="21"/>
      <c r="F250" s="21"/>
      <c r="G250" s="21"/>
      <c r="H250" s="21"/>
      <c r="I250" s="21"/>
      <c r="J250" s="21"/>
      <c r="K250" s="24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6"/>
      <c r="AQ250" s="27"/>
      <c r="AR250" s="21"/>
      <c r="AS250" s="21"/>
    </row>
    <row r="251" spans="1:45" x14ac:dyDescent="0.35">
      <c r="A251" s="24"/>
      <c r="B251" s="21"/>
      <c r="C251" s="21"/>
      <c r="D251" s="21"/>
      <c r="E251" s="21"/>
      <c r="F251" s="21"/>
      <c r="G251" s="21"/>
      <c r="H251" s="21"/>
      <c r="I251" s="21"/>
      <c r="J251" s="21"/>
      <c r="K251" s="24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6"/>
      <c r="AQ251" s="27"/>
      <c r="AR251" s="21"/>
      <c r="AS251" s="21"/>
    </row>
    <row r="252" spans="1:45" x14ac:dyDescent="0.35">
      <c r="A252" s="24"/>
      <c r="B252" s="21"/>
      <c r="C252" s="21"/>
      <c r="D252" s="21"/>
      <c r="E252" s="21"/>
      <c r="F252" s="21"/>
      <c r="G252" s="21"/>
      <c r="H252" s="21"/>
      <c r="I252" s="21"/>
      <c r="J252" s="21"/>
      <c r="K252" s="24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6"/>
      <c r="AQ252" s="27"/>
      <c r="AR252" s="21"/>
      <c r="AS252" s="21"/>
    </row>
    <row r="253" spans="1:45" x14ac:dyDescent="0.35">
      <c r="A253" s="24"/>
      <c r="B253" s="21"/>
      <c r="C253" s="21"/>
      <c r="D253" s="21"/>
      <c r="E253" s="21"/>
      <c r="F253" s="21"/>
      <c r="G253" s="21"/>
      <c r="H253" s="21"/>
      <c r="I253" s="21"/>
      <c r="J253" s="21"/>
      <c r="K253" s="24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6"/>
      <c r="AQ253" s="27"/>
      <c r="AR253" s="21"/>
      <c r="AS253" s="21"/>
    </row>
    <row r="254" spans="1:45" x14ac:dyDescent="0.35">
      <c r="A254" s="24"/>
      <c r="B254" s="21"/>
      <c r="C254" s="21"/>
      <c r="D254" s="21"/>
      <c r="E254" s="21"/>
      <c r="F254" s="21"/>
      <c r="G254" s="21"/>
      <c r="H254" s="21"/>
      <c r="I254" s="21"/>
      <c r="J254" s="21"/>
      <c r="K254" s="24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6"/>
      <c r="AQ254" s="27"/>
      <c r="AR254" s="21"/>
      <c r="AS254" s="21"/>
    </row>
    <row r="255" spans="1:45" x14ac:dyDescent="0.35">
      <c r="A255" s="24"/>
      <c r="B255" s="21"/>
      <c r="C255" s="21"/>
      <c r="D255" s="21"/>
      <c r="E255" s="21"/>
      <c r="F255" s="21"/>
      <c r="G255" s="21"/>
      <c r="H255" s="21"/>
      <c r="I255" s="21"/>
      <c r="J255" s="21"/>
      <c r="K255" s="24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6"/>
      <c r="AQ255" s="27"/>
      <c r="AR255" s="21"/>
      <c r="AS255" s="21"/>
    </row>
    <row r="256" spans="1:45" x14ac:dyDescent="0.35">
      <c r="A256" s="24"/>
      <c r="B256" s="21"/>
      <c r="C256" s="21"/>
      <c r="D256" s="21"/>
      <c r="E256" s="21"/>
      <c r="F256" s="21"/>
      <c r="G256" s="21"/>
      <c r="H256" s="21"/>
      <c r="I256" s="21"/>
      <c r="J256" s="21"/>
      <c r="K256" s="24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6"/>
      <c r="AQ256" s="27"/>
      <c r="AR256" s="21"/>
      <c r="AS256" s="21"/>
    </row>
    <row r="257" spans="1:45" x14ac:dyDescent="0.35">
      <c r="A257" s="24"/>
      <c r="B257" s="21"/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6"/>
      <c r="AQ257" s="27"/>
      <c r="AR257" s="21"/>
      <c r="AS257" s="21"/>
    </row>
    <row r="258" spans="1:45" x14ac:dyDescent="0.35">
      <c r="A258" s="24"/>
      <c r="B258" s="21"/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6"/>
      <c r="AQ258" s="27"/>
      <c r="AR258" s="21"/>
      <c r="AS258" s="21"/>
    </row>
    <row r="259" spans="1:45" x14ac:dyDescent="0.35">
      <c r="A259" s="24"/>
      <c r="B259" s="21"/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6"/>
      <c r="AQ259" s="27"/>
      <c r="AR259" s="21"/>
      <c r="AS259" s="21"/>
    </row>
    <row r="260" spans="1:45" x14ac:dyDescent="0.35">
      <c r="A260" s="24"/>
      <c r="B260" s="21"/>
      <c r="C260" s="21"/>
      <c r="D260" s="21"/>
      <c r="E260" s="21"/>
      <c r="F260" s="21"/>
      <c r="G260" s="21"/>
      <c r="H260" s="21"/>
      <c r="I260" s="21"/>
      <c r="J260" s="21"/>
      <c r="K260" s="24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6"/>
      <c r="AQ260" s="27"/>
      <c r="AR260" s="21"/>
      <c r="AS260" s="21"/>
    </row>
    <row r="261" spans="1:45" x14ac:dyDescent="0.35">
      <c r="A261" s="24"/>
      <c r="B261" s="21"/>
      <c r="C261" s="21"/>
      <c r="D261" s="21"/>
      <c r="E261" s="21"/>
      <c r="F261" s="21"/>
      <c r="G261" s="21"/>
      <c r="H261" s="21"/>
      <c r="I261" s="21"/>
      <c r="J261" s="21"/>
      <c r="K261" s="24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6"/>
      <c r="AQ261" s="27"/>
      <c r="AR261" s="21"/>
      <c r="AS261" s="21"/>
    </row>
    <row r="262" spans="1:45" x14ac:dyDescent="0.35">
      <c r="A262" s="24"/>
      <c r="B262" s="21"/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6"/>
      <c r="AQ262" s="27"/>
      <c r="AR262" s="21"/>
      <c r="AS262" s="21"/>
    </row>
    <row r="263" spans="1:45" x14ac:dyDescent="0.35">
      <c r="A263" s="24"/>
      <c r="B263" s="21"/>
      <c r="C263" s="21"/>
      <c r="D263" s="21"/>
      <c r="E263" s="21"/>
      <c r="F263" s="21"/>
      <c r="G263" s="21"/>
      <c r="H263" s="21"/>
      <c r="I263" s="21"/>
      <c r="J263" s="21"/>
      <c r="K263" s="24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6"/>
      <c r="AQ263" s="27"/>
      <c r="AR263" s="21"/>
      <c r="AS263" s="21"/>
    </row>
    <row r="264" spans="1:45" x14ac:dyDescent="0.35">
      <c r="A264" s="24"/>
      <c r="B264" s="21"/>
      <c r="C264" s="21"/>
      <c r="D264" s="21"/>
      <c r="E264" s="21"/>
      <c r="F264" s="21"/>
      <c r="G264" s="21"/>
      <c r="H264" s="21"/>
      <c r="I264" s="21"/>
      <c r="J264" s="21"/>
      <c r="K264" s="24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6"/>
      <c r="AQ264" s="27"/>
      <c r="AR264" s="21"/>
      <c r="AS264" s="21"/>
    </row>
    <row r="265" spans="1:45" x14ac:dyDescent="0.35">
      <c r="A265" s="24"/>
      <c r="B265" s="21"/>
      <c r="C265" s="21"/>
      <c r="D265" s="21"/>
      <c r="E265" s="21"/>
      <c r="F265" s="21"/>
      <c r="G265" s="21"/>
      <c r="H265" s="21"/>
      <c r="I265" s="21"/>
      <c r="J265" s="21"/>
      <c r="K265" s="24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6"/>
      <c r="AQ265" s="27"/>
      <c r="AR265" s="21"/>
      <c r="AS265" s="21"/>
    </row>
    <row r="266" spans="1:45" x14ac:dyDescent="0.35">
      <c r="A266" s="24"/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6"/>
      <c r="AQ266" s="27"/>
      <c r="AR266" s="21"/>
      <c r="AS266" s="21"/>
    </row>
    <row r="267" spans="1:45" x14ac:dyDescent="0.35">
      <c r="A267" s="24"/>
      <c r="B267" s="21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6"/>
      <c r="AQ267" s="27"/>
      <c r="AR267" s="21"/>
      <c r="AS267" s="21"/>
    </row>
    <row r="268" spans="1:45" x14ac:dyDescent="0.35">
      <c r="A268" s="24"/>
      <c r="B268" s="21"/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6"/>
      <c r="AQ268" s="27"/>
      <c r="AR268" s="21"/>
      <c r="AS268" s="21"/>
    </row>
    <row r="269" spans="1:45" x14ac:dyDescent="0.35">
      <c r="A269" s="24"/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6"/>
      <c r="AQ269" s="27"/>
      <c r="AR269" s="21"/>
      <c r="AS269" s="21"/>
    </row>
    <row r="270" spans="1:45" x14ac:dyDescent="0.35">
      <c r="A270" s="24"/>
      <c r="B270" s="21"/>
      <c r="C270" s="21"/>
      <c r="D270" s="21"/>
      <c r="E270" s="21"/>
      <c r="F270" s="21"/>
      <c r="G270" s="21"/>
      <c r="H270" s="21"/>
      <c r="I270" s="21"/>
      <c r="J270" s="21"/>
      <c r="K270" s="24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6"/>
      <c r="AQ270" s="27"/>
      <c r="AR270" s="21"/>
      <c r="AS270" s="21"/>
    </row>
    <row r="271" spans="1:45" x14ac:dyDescent="0.35">
      <c r="A271" s="24"/>
      <c r="B271" s="21"/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6"/>
      <c r="AQ271" s="27"/>
      <c r="AR271" s="21"/>
      <c r="AS271" s="21"/>
    </row>
    <row r="272" spans="1:45" x14ac:dyDescent="0.35">
      <c r="A272" s="24"/>
      <c r="B272" s="21"/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6"/>
      <c r="AQ272" s="27"/>
      <c r="AR272" s="21"/>
      <c r="AS272" s="21"/>
    </row>
    <row r="273" spans="1:45" x14ac:dyDescent="0.35">
      <c r="A273" s="24"/>
      <c r="B273" s="21"/>
      <c r="C273" s="21"/>
      <c r="D273" s="21"/>
      <c r="E273" s="21"/>
      <c r="F273" s="21"/>
      <c r="G273" s="21"/>
      <c r="H273" s="21"/>
      <c r="I273" s="21"/>
      <c r="J273" s="21"/>
      <c r="K273" s="24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6"/>
      <c r="AQ273" s="27"/>
      <c r="AR273" s="21"/>
      <c r="AS273" s="21"/>
    </row>
    <row r="274" spans="1:45" x14ac:dyDescent="0.35">
      <c r="A274" s="24"/>
      <c r="B274" s="21"/>
      <c r="C274" s="21"/>
      <c r="D274" s="21"/>
      <c r="E274" s="21"/>
      <c r="F274" s="21"/>
      <c r="G274" s="21"/>
      <c r="H274" s="21"/>
      <c r="I274" s="21"/>
      <c r="J274" s="21"/>
      <c r="K274" s="24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6"/>
      <c r="AQ274" s="27"/>
      <c r="AR274" s="21"/>
      <c r="AS274" s="21"/>
    </row>
    <row r="275" spans="1:45" x14ac:dyDescent="0.35">
      <c r="A275" s="24"/>
      <c r="B275" s="21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6"/>
      <c r="AQ275" s="27"/>
      <c r="AR275" s="21"/>
      <c r="AS275" s="21"/>
    </row>
    <row r="276" spans="1:45" x14ac:dyDescent="0.35">
      <c r="A276" s="24"/>
      <c r="B276" s="21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6"/>
      <c r="AQ276" s="27"/>
      <c r="AR276" s="21"/>
      <c r="AS276" s="21"/>
    </row>
    <row r="277" spans="1:45" x14ac:dyDescent="0.35">
      <c r="A277" s="24"/>
      <c r="B277" s="21"/>
      <c r="C277" s="21"/>
      <c r="D277" s="21"/>
      <c r="E277" s="21"/>
      <c r="F277" s="21"/>
      <c r="G277" s="21"/>
      <c r="H277" s="21"/>
      <c r="I277" s="21"/>
      <c r="J277" s="21"/>
      <c r="K277" s="24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6"/>
      <c r="AQ277" s="27"/>
      <c r="AR277" s="21"/>
      <c r="AS277" s="21"/>
    </row>
    <row r="278" spans="1:45" x14ac:dyDescent="0.35">
      <c r="A278" s="24"/>
      <c r="B278" s="21"/>
      <c r="C278" s="21"/>
      <c r="D278" s="21"/>
      <c r="E278" s="21"/>
      <c r="F278" s="21"/>
      <c r="G278" s="21"/>
      <c r="H278" s="21"/>
      <c r="I278" s="21"/>
      <c r="J278" s="21"/>
      <c r="K278" s="24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6"/>
      <c r="AQ278" s="27"/>
      <c r="AR278" s="21"/>
      <c r="AS278" s="21"/>
    </row>
    <row r="279" spans="1:45" x14ac:dyDescent="0.35">
      <c r="A279" s="24"/>
      <c r="B279" s="21"/>
      <c r="C279" s="21"/>
      <c r="D279" s="21"/>
      <c r="E279" s="21"/>
      <c r="F279" s="21"/>
      <c r="G279" s="21"/>
      <c r="H279" s="21"/>
      <c r="I279" s="21"/>
      <c r="J279" s="21"/>
      <c r="K279" s="24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6"/>
      <c r="AQ279" s="27"/>
      <c r="AR279" s="21"/>
      <c r="AS279" s="21"/>
    </row>
    <row r="280" spans="1:45" x14ac:dyDescent="0.35">
      <c r="A280" s="24"/>
      <c r="B280" s="21"/>
      <c r="C280" s="21"/>
      <c r="D280" s="21"/>
      <c r="E280" s="21"/>
      <c r="F280" s="21"/>
      <c r="G280" s="21"/>
      <c r="H280" s="21"/>
      <c r="I280" s="21"/>
      <c r="J280" s="21"/>
      <c r="K280" s="24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6"/>
      <c r="AQ280" s="27"/>
      <c r="AR280" s="21"/>
      <c r="AS280" s="21"/>
    </row>
    <row r="281" spans="1:45" x14ac:dyDescent="0.35">
      <c r="A281" s="24"/>
      <c r="B281" s="21"/>
      <c r="C281" s="21"/>
      <c r="D281" s="21"/>
      <c r="E281" s="21"/>
      <c r="F281" s="21"/>
      <c r="G281" s="21"/>
      <c r="H281" s="21"/>
      <c r="I281" s="21"/>
      <c r="J281" s="21"/>
      <c r="K281" s="24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6"/>
      <c r="AQ281" s="27"/>
      <c r="AR281" s="21"/>
      <c r="AS281" s="21"/>
    </row>
    <row r="282" spans="1:45" x14ac:dyDescent="0.35">
      <c r="A282" s="24"/>
      <c r="B282" s="21"/>
      <c r="C282" s="21"/>
      <c r="D282" s="21"/>
      <c r="E282" s="21"/>
      <c r="F282" s="21"/>
      <c r="G282" s="21"/>
      <c r="H282" s="21"/>
      <c r="I282" s="21"/>
      <c r="J282" s="21"/>
      <c r="K282" s="24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6"/>
      <c r="AQ282" s="27"/>
      <c r="AR282" s="21"/>
      <c r="AS282" s="21"/>
    </row>
    <row r="283" spans="1:45" x14ac:dyDescent="0.35">
      <c r="A283" s="24"/>
      <c r="B283" s="21"/>
      <c r="C283" s="21"/>
      <c r="D283" s="21"/>
      <c r="E283" s="21"/>
      <c r="F283" s="21"/>
      <c r="G283" s="21"/>
      <c r="H283" s="21"/>
      <c r="I283" s="21"/>
      <c r="J283" s="21"/>
      <c r="K283" s="24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6"/>
      <c r="AQ283" s="27"/>
      <c r="AR283" s="21"/>
      <c r="AS283" s="21"/>
    </row>
    <row r="284" spans="1:45" x14ac:dyDescent="0.35">
      <c r="A284" s="24"/>
      <c r="B284" s="21"/>
      <c r="C284" s="21"/>
      <c r="D284" s="21"/>
      <c r="E284" s="21"/>
      <c r="F284" s="21"/>
      <c r="G284" s="21"/>
      <c r="H284" s="21"/>
      <c r="I284" s="21"/>
      <c r="J284" s="21"/>
      <c r="K284" s="24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6"/>
      <c r="AQ284" s="27"/>
      <c r="AR284" s="21"/>
      <c r="AS284" s="21"/>
    </row>
    <row r="285" spans="1:45" x14ac:dyDescent="0.35">
      <c r="A285" s="24"/>
      <c r="B285" s="21"/>
      <c r="C285" s="21"/>
      <c r="D285" s="21"/>
      <c r="E285" s="21"/>
      <c r="F285" s="21"/>
      <c r="G285" s="21"/>
      <c r="H285" s="21"/>
      <c r="I285" s="21"/>
      <c r="J285" s="21"/>
      <c r="K285" s="24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6"/>
      <c r="AQ285" s="27"/>
      <c r="AR285" s="21"/>
      <c r="AS285" s="21"/>
    </row>
    <row r="286" spans="1:45" x14ac:dyDescent="0.35">
      <c r="A286" s="24"/>
      <c r="B286" s="21"/>
      <c r="C286" s="21"/>
      <c r="D286" s="21"/>
      <c r="E286" s="21"/>
      <c r="F286" s="21"/>
      <c r="G286" s="21"/>
      <c r="H286" s="21"/>
      <c r="I286" s="21"/>
      <c r="J286" s="21"/>
      <c r="K286" s="24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6"/>
      <c r="AQ286" s="27"/>
      <c r="AR286" s="21"/>
      <c r="AS286" s="21"/>
    </row>
    <row r="287" spans="1:45" x14ac:dyDescent="0.35">
      <c r="A287" s="24"/>
      <c r="B287" s="21"/>
      <c r="C287" s="21"/>
      <c r="D287" s="21"/>
      <c r="E287" s="21"/>
      <c r="F287" s="21"/>
      <c r="G287" s="21"/>
      <c r="H287" s="21"/>
      <c r="I287" s="21"/>
      <c r="J287" s="21"/>
      <c r="K287" s="24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6"/>
      <c r="AQ287" s="27"/>
      <c r="AR287" s="21"/>
      <c r="AS287" s="21"/>
    </row>
    <row r="288" spans="1:45" x14ac:dyDescent="0.35">
      <c r="A288" s="24"/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6"/>
      <c r="AQ288" s="27"/>
      <c r="AR288" s="21"/>
      <c r="AS288" s="21"/>
    </row>
    <row r="289" spans="1:45" x14ac:dyDescent="0.35">
      <c r="A289" s="24"/>
      <c r="B289" s="21"/>
      <c r="C289" s="21"/>
      <c r="D289" s="21"/>
      <c r="E289" s="21"/>
      <c r="F289" s="21"/>
      <c r="G289" s="21"/>
      <c r="H289" s="21"/>
      <c r="I289" s="21"/>
      <c r="J289" s="21"/>
      <c r="K289" s="24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6"/>
      <c r="AQ289" s="27"/>
      <c r="AR289" s="21"/>
      <c r="AS289" s="21"/>
    </row>
    <row r="290" spans="1:45" x14ac:dyDescent="0.35">
      <c r="A290" s="24"/>
      <c r="B290" s="21"/>
      <c r="C290" s="21"/>
      <c r="D290" s="21"/>
      <c r="E290" s="21"/>
      <c r="F290" s="21"/>
      <c r="G290" s="21"/>
      <c r="H290" s="21"/>
      <c r="I290" s="21"/>
      <c r="J290" s="21"/>
      <c r="K290" s="24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6"/>
      <c r="AQ290" s="27"/>
      <c r="AR290" s="21"/>
      <c r="AS290" s="21"/>
    </row>
    <row r="291" spans="1:45" x14ac:dyDescent="0.35">
      <c r="A291" s="24"/>
      <c r="B291" s="21"/>
      <c r="C291" s="21"/>
      <c r="D291" s="21"/>
      <c r="E291" s="21"/>
      <c r="F291" s="21"/>
      <c r="G291" s="21"/>
      <c r="H291" s="21"/>
      <c r="I291" s="21"/>
      <c r="J291" s="21"/>
      <c r="K291" s="24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6"/>
      <c r="AQ291" s="27"/>
      <c r="AR291" s="21"/>
      <c r="AS291" s="21"/>
    </row>
    <row r="292" spans="1:45" x14ac:dyDescent="0.35">
      <c r="A292" s="24"/>
      <c r="B292" s="21"/>
      <c r="C292" s="21"/>
      <c r="D292" s="21"/>
      <c r="E292" s="21"/>
      <c r="F292" s="21"/>
      <c r="G292" s="21"/>
      <c r="H292" s="21"/>
      <c r="I292" s="21"/>
      <c r="J292" s="21"/>
      <c r="K292" s="24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6"/>
      <c r="AQ292" s="27"/>
      <c r="AR292" s="21"/>
      <c r="AS292" s="21"/>
    </row>
    <row r="293" spans="1:45" x14ac:dyDescent="0.35">
      <c r="A293" s="24"/>
      <c r="B293" s="21"/>
      <c r="C293" s="21"/>
      <c r="D293" s="21"/>
      <c r="E293" s="21"/>
      <c r="F293" s="21"/>
      <c r="G293" s="21"/>
      <c r="H293" s="21"/>
      <c r="I293" s="21"/>
      <c r="J293" s="21"/>
      <c r="K293" s="24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6"/>
      <c r="AQ293" s="27"/>
      <c r="AR293" s="21"/>
      <c r="AS293" s="21"/>
    </row>
    <row r="294" spans="1:45" x14ac:dyDescent="0.35">
      <c r="A294" s="24"/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6"/>
      <c r="AQ294" s="27"/>
      <c r="AR294" s="21"/>
      <c r="AS294" s="21"/>
    </row>
    <row r="295" spans="1:45" x14ac:dyDescent="0.35">
      <c r="A295" s="24"/>
      <c r="B295" s="21"/>
      <c r="C295" s="21"/>
      <c r="D295" s="21"/>
      <c r="E295" s="21"/>
      <c r="F295" s="21"/>
      <c r="G295" s="21"/>
      <c r="H295" s="21"/>
      <c r="I295" s="21"/>
      <c r="J295" s="21"/>
      <c r="K295" s="24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6"/>
      <c r="AQ295" s="27"/>
      <c r="AR295" s="21"/>
      <c r="AS295" s="21"/>
    </row>
    <row r="296" spans="1:45" x14ac:dyDescent="0.35">
      <c r="A296" s="24"/>
      <c r="B296" s="21"/>
      <c r="C296" s="21"/>
      <c r="D296" s="21"/>
      <c r="E296" s="21"/>
      <c r="F296" s="21"/>
      <c r="G296" s="21"/>
      <c r="H296" s="21"/>
      <c r="I296" s="21"/>
      <c r="J296" s="21"/>
      <c r="K296" s="24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6"/>
      <c r="AQ296" s="27"/>
      <c r="AR296" s="21"/>
      <c r="AS296" s="21"/>
    </row>
    <row r="297" spans="1:45" x14ac:dyDescent="0.35">
      <c r="A297" s="24"/>
      <c r="B297" s="21"/>
      <c r="C297" s="21"/>
      <c r="D297" s="21"/>
      <c r="E297" s="21"/>
      <c r="F297" s="21"/>
      <c r="G297" s="21"/>
      <c r="H297" s="21"/>
      <c r="I297" s="21"/>
      <c r="J297" s="21"/>
      <c r="K297" s="24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6"/>
      <c r="AQ297" s="27"/>
      <c r="AR297" s="21"/>
      <c r="AS297" s="21"/>
    </row>
    <row r="298" spans="1:45" x14ac:dyDescent="0.35">
      <c r="A298" s="24"/>
      <c r="B298" s="21"/>
      <c r="C298" s="21"/>
      <c r="D298" s="21"/>
      <c r="E298" s="21"/>
      <c r="F298" s="21"/>
      <c r="G298" s="21"/>
      <c r="H298" s="21"/>
      <c r="I298" s="21"/>
      <c r="J298" s="21"/>
      <c r="K298" s="24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6"/>
      <c r="AQ298" s="27"/>
      <c r="AR298" s="21"/>
      <c r="AS298" s="21"/>
    </row>
    <row r="299" spans="1:45" x14ac:dyDescent="0.35">
      <c r="A299" s="24"/>
      <c r="B299" s="21"/>
      <c r="C299" s="21"/>
      <c r="D299" s="21"/>
      <c r="E299" s="21"/>
      <c r="F299" s="21"/>
      <c r="G299" s="21"/>
      <c r="H299" s="21"/>
      <c r="I299" s="21"/>
      <c r="J299" s="21"/>
      <c r="K299" s="24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6"/>
      <c r="AQ299" s="27"/>
      <c r="AR299" s="21"/>
      <c r="AS299" s="21"/>
    </row>
    <row r="300" spans="1:45" x14ac:dyDescent="0.35">
      <c r="A300" s="24"/>
      <c r="B300" s="21"/>
      <c r="C300" s="21"/>
      <c r="D300" s="21"/>
      <c r="E300" s="21"/>
      <c r="F300" s="21"/>
      <c r="G300" s="21"/>
      <c r="H300" s="21"/>
      <c r="I300" s="21"/>
      <c r="J300" s="21"/>
      <c r="K300" s="24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6"/>
      <c r="AQ300" s="27"/>
      <c r="AR300" s="21"/>
      <c r="AS300" s="21"/>
    </row>
    <row r="301" spans="1:45" x14ac:dyDescent="0.35">
      <c r="A301" s="24"/>
      <c r="B301" s="21"/>
      <c r="C301" s="21"/>
      <c r="D301" s="21"/>
      <c r="E301" s="21"/>
      <c r="F301" s="21"/>
      <c r="G301" s="21"/>
      <c r="H301" s="21"/>
      <c r="I301" s="21"/>
      <c r="J301" s="21"/>
      <c r="K301" s="24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6"/>
      <c r="AQ301" s="27"/>
      <c r="AR301" s="21"/>
      <c r="AS301" s="21"/>
    </row>
    <row r="302" spans="1:45" x14ac:dyDescent="0.35">
      <c r="A302" s="31"/>
      <c r="B302" s="32"/>
      <c r="C302" s="32"/>
      <c r="D302" s="32"/>
      <c r="E302" s="32"/>
      <c r="F302" s="32"/>
      <c r="G302" s="32"/>
      <c r="H302" s="32"/>
      <c r="I302" s="32"/>
      <c r="J302" s="32"/>
      <c r="K302" s="31"/>
      <c r="L302" s="32"/>
      <c r="M302" s="32"/>
      <c r="N302" s="32"/>
      <c r="O302" s="32"/>
      <c r="P302" s="32"/>
      <c r="Q302" s="32"/>
      <c r="R302" s="32"/>
      <c r="S302" s="32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  <c r="AD302" s="32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21"/>
      <c r="AP302" s="26"/>
      <c r="AQ302" s="27"/>
      <c r="AR302" s="21"/>
      <c r="AS302" s="21"/>
    </row>
    <row r="303" spans="1:45" x14ac:dyDescent="0.35">
      <c r="A303" s="24"/>
      <c r="B303" s="21"/>
      <c r="C303" s="21"/>
      <c r="D303" s="21"/>
      <c r="E303" s="21"/>
      <c r="F303" s="21"/>
      <c r="G303" s="21"/>
      <c r="H303" s="21"/>
      <c r="I303" s="21"/>
      <c r="J303" s="21"/>
      <c r="K303" s="24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6"/>
      <c r="AQ303" s="27"/>
      <c r="AR303" s="21"/>
      <c r="AS303" s="21"/>
    </row>
    <row r="304" spans="1:45" x14ac:dyDescent="0.35">
      <c r="A304" s="24"/>
      <c r="B304" s="21"/>
      <c r="C304" s="21"/>
      <c r="D304" s="21"/>
      <c r="E304" s="21"/>
      <c r="F304" s="21"/>
      <c r="G304" s="21"/>
      <c r="H304" s="21"/>
      <c r="I304" s="21"/>
      <c r="J304" s="21"/>
      <c r="K304" s="24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6"/>
      <c r="AQ304" s="27"/>
      <c r="AR304" s="21"/>
      <c r="AS304" s="21"/>
    </row>
    <row r="305" spans="1:45" x14ac:dyDescent="0.35">
      <c r="A305" s="24"/>
      <c r="B305" s="21"/>
      <c r="C305" s="21"/>
      <c r="D305" s="21"/>
      <c r="E305" s="21"/>
      <c r="F305" s="21"/>
      <c r="G305" s="21"/>
      <c r="H305" s="21"/>
      <c r="I305" s="21"/>
      <c r="J305" s="21"/>
      <c r="K305" s="24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6"/>
      <c r="AQ305" s="27"/>
      <c r="AR305" s="21"/>
      <c r="AS305" s="21"/>
    </row>
    <row r="306" spans="1:45" x14ac:dyDescent="0.35">
      <c r="A306" s="24"/>
      <c r="B306" s="21"/>
      <c r="C306" s="21"/>
      <c r="D306" s="21"/>
      <c r="E306" s="21"/>
      <c r="F306" s="21"/>
      <c r="G306" s="21"/>
      <c r="H306" s="21"/>
      <c r="I306" s="21"/>
      <c r="J306" s="21"/>
      <c r="K306" s="24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6"/>
      <c r="AQ306" s="27"/>
      <c r="AR306" s="21"/>
      <c r="AS306" s="21"/>
    </row>
    <row r="307" spans="1:45" x14ac:dyDescent="0.35">
      <c r="A307" s="24"/>
      <c r="B307" s="21"/>
      <c r="C307" s="21"/>
      <c r="D307" s="21"/>
      <c r="E307" s="21"/>
      <c r="F307" s="21"/>
      <c r="G307" s="21"/>
      <c r="H307" s="21"/>
      <c r="I307" s="21"/>
      <c r="J307" s="21"/>
      <c r="K307" s="24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6"/>
      <c r="AQ307" s="27"/>
      <c r="AR307" s="21"/>
      <c r="AS307" s="21"/>
    </row>
    <row r="308" spans="1:45" x14ac:dyDescent="0.35">
      <c r="A308" s="24"/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6"/>
      <c r="AQ308" s="27"/>
      <c r="AR308" s="21"/>
      <c r="AS308" s="21"/>
    </row>
    <row r="309" spans="1:45" x14ac:dyDescent="0.35">
      <c r="A309" s="24"/>
      <c r="B309" s="21"/>
      <c r="C309" s="21"/>
      <c r="D309" s="21"/>
      <c r="E309" s="21"/>
      <c r="F309" s="21"/>
      <c r="G309" s="21"/>
      <c r="H309" s="21"/>
      <c r="I309" s="21"/>
      <c r="J309" s="21"/>
      <c r="K309" s="24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6"/>
      <c r="AQ309" s="27"/>
      <c r="AR309" s="21"/>
      <c r="AS309" s="21"/>
    </row>
    <row r="310" spans="1:45" x14ac:dyDescent="0.35">
      <c r="A310" s="24"/>
      <c r="B310" s="21"/>
      <c r="C310" s="21"/>
      <c r="D310" s="21"/>
      <c r="E310" s="21"/>
      <c r="F310" s="21"/>
      <c r="G310" s="21"/>
      <c r="H310" s="21"/>
      <c r="I310" s="21"/>
      <c r="J310" s="21"/>
      <c r="K310" s="24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6"/>
      <c r="AQ310" s="27"/>
      <c r="AR310" s="21"/>
      <c r="AS310" s="21"/>
    </row>
    <row r="311" spans="1:45" x14ac:dyDescent="0.35">
      <c r="A311" s="24"/>
      <c r="B311" s="21"/>
      <c r="C311" s="21"/>
      <c r="D311" s="21"/>
      <c r="E311" s="21"/>
      <c r="F311" s="21"/>
      <c r="G311" s="21"/>
      <c r="H311" s="21"/>
      <c r="I311" s="21"/>
      <c r="J311" s="21"/>
      <c r="K311" s="24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6"/>
      <c r="AQ311" s="27"/>
      <c r="AR311" s="21"/>
      <c r="AS311" s="21"/>
    </row>
    <row r="312" spans="1:45" x14ac:dyDescent="0.35">
      <c r="A312" s="24"/>
      <c r="B312" s="21"/>
      <c r="C312" s="21"/>
      <c r="D312" s="21"/>
      <c r="E312" s="21"/>
      <c r="F312" s="21"/>
      <c r="G312" s="21"/>
      <c r="H312" s="21"/>
      <c r="I312" s="21"/>
      <c r="J312" s="21"/>
      <c r="K312" s="24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6"/>
      <c r="AQ312" s="27"/>
      <c r="AR312" s="21"/>
      <c r="AS312" s="21"/>
    </row>
    <row r="313" spans="1:45" x14ac:dyDescent="0.35">
      <c r="A313" s="24"/>
      <c r="B313" s="21"/>
      <c r="C313" s="21"/>
      <c r="D313" s="21"/>
      <c r="E313" s="21"/>
      <c r="F313" s="21"/>
      <c r="G313" s="21"/>
      <c r="H313" s="21"/>
      <c r="I313" s="21"/>
      <c r="J313" s="21"/>
      <c r="K313" s="24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6"/>
      <c r="AQ313" s="27"/>
      <c r="AR313" s="21"/>
      <c r="AS313" s="21"/>
    </row>
    <row r="314" spans="1:45" x14ac:dyDescent="0.35">
      <c r="A314" s="24"/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6"/>
      <c r="AQ314" s="27"/>
      <c r="AR314" s="21"/>
      <c r="AS314" s="21"/>
    </row>
    <row r="315" spans="1:45" x14ac:dyDescent="0.35">
      <c r="A315" s="24"/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6"/>
      <c r="AQ315" s="27"/>
      <c r="AR315" s="21"/>
      <c r="AS315" s="21"/>
    </row>
    <row r="316" spans="1:45" x14ac:dyDescent="0.35">
      <c r="A316" s="24"/>
      <c r="B316" s="21"/>
      <c r="C316" s="21"/>
      <c r="D316" s="21"/>
      <c r="E316" s="21"/>
      <c r="F316" s="21"/>
      <c r="G316" s="21"/>
      <c r="H316" s="21"/>
      <c r="I316" s="21"/>
      <c r="J316" s="21"/>
      <c r="K316" s="24"/>
      <c r="L316" s="21"/>
      <c r="M316" s="25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6"/>
      <c r="AQ316" s="27"/>
      <c r="AR316" s="21"/>
      <c r="AS316" s="28"/>
    </row>
    <row r="317" spans="1:45" x14ac:dyDescent="0.35">
      <c r="A317" s="24"/>
      <c r="B317" s="21"/>
      <c r="C317" s="21"/>
      <c r="D317" s="21"/>
      <c r="E317" s="21"/>
      <c r="F317" s="21"/>
      <c r="G317" s="21"/>
      <c r="H317" s="21"/>
      <c r="I317" s="21"/>
      <c r="J317" s="21"/>
      <c r="K317" s="24"/>
      <c r="L317" s="21"/>
      <c r="M317" s="25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6"/>
      <c r="AQ317" s="27"/>
      <c r="AR317" s="21"/>
      <c r="AS317" s="28"/>
    </row>
    <row r="318" spans="1:45" x14ac:dyDescent="0.35">
      <c r="A318" s="24"/>
      <c r="B318" s="21"/>
      <c r="C318" s="21"/>
      <c r="D318" s="21"/>
      <c r="E318" s="21"/>
      <c r="F318" s="21"/>
      <c r="G318" s="21"/>
      <c r="H318" s="21"/>
      <c r="I318" s="21"/>
      <c r="J318" s="21"/>
      <c r="K318" s="24"/>
      <c r="L318" s="21"/>
      <c r="M318" s="25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6"/>
      <c r="AQ318" s="27"/>
      <c r="AR318" s="21"/>
      <c r="AS318" s="28"/>
    </row>
    <row r="319" spans="1:45" x14ac:dyDescent="0.35">
      <c r="A319" s="24"/>
      <c r="B319" s="21"/>
      <c r="C319" s="21"/>
      <c r="D319" s="21"/>
      <c r="E319" s="21"/>
      <c r="F319" s="21"/>
      <c r="G319" s="21"/>
      <c r="H319" s="21"/>
      <c r="I319" s="21"/>
      <c r="J319" s="21"/>
      <c r="K319" s="24"/>
      <c r="L319" s="21"/>
      <c r="M319" s="25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6"/>
      <c r="AQ319" s="27"/>
      <c r="AR319" s="21"/>
      <c r="AS319" s="28"/>
    </row>
    <row r="320" spans="1:45" x14ac:dyDescent="0.35">
      <c r="A320" s="24"/>
      <c r="B320" s="21"/>
      <c r="C320" s="21"/>
      <c r="D320" s="21"/>
      <c r="E320" s="21"/>
      <c r="F320" s="21"/>
      <c r="G320" s="21"/>
      <c r="H320" s="21"/>
      <c r="I320" s="21"/>
      <c r="J320" s="21"/>
      <c r="K320" s="24"/>
      <c r="L320" s="21"/>
      <c r="M320" s="25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6"/>
      <c r="AQ320" s="27"/>
      <c r="AR320" s="21"/>
      <c r="AS320" s="28"/>
    </row>
    <row r="321" spans="1:45" x14ac:dyDescent="0.35">
      <c r="A321" s="24"/>
      <c r="B321" s="21"/>
      <c r="C321" s="21"/>
      <c r="D321" s="21"/>
      <c r="E321" s="21"/>
      <c r="F321" s="21"/>
      <c r="G321" s="21"/>
      <c r="H321" s="21"/>
      <c r="I321" s="21"/>
      <c r="J321" s="21"/>
      <c r="K321" s="24"/>
      <c r="L321" s="21"/>
      <c r="M321" s="25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6"/>
      <c r="AQ321" s="27"/>
      <c r="AR321" s="21"/>
      <c r="AS321" s="28"/>
    </row>
    <row r="322" spans="1:45" x14ac:dyDescent="0.35">
      <c r="A322" s="24"/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5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6"/>
      <c r="AQ322" s="27"/>
      <c r="AR322" s="21"/>
      <c r="AS322" s="28"/>
    </row>
    <row r="323" spans="1:45" x14ac:dyDescent="0.35">
      <c r="A323" s="29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30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1"/>
      <c r="AP323" s="26"/>
      <c r="AQ323" s="27"/>
      <c r="AR323" s="21"/>
      <c r="AS323" s="28"/>
    </row>
    <row r="324" spans="1:45" x14ac:dyDescent="0.35">
      <c r="A324" s="24"/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5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6"/>
      <c r="AQ324" s="27"/>
      <c r="AR324" s="21"/>
      <c r="AS324" s="28"/>
    </row>
    <row r="325" spans="1:45" x14ac:dyDescent="0.35">
      <c r="A325" s="29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30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1"/>
      <c r="AP325" s="26"/>
      <c r="AQ325" s="27"/>
      <c r="AR325" s="21"/>
      <c r="AS325" s="28"/>
    </row>
    <row r="326" spans="1:45" x14ac:dyDescent="0.35">
      <c r="A326" s="24"/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5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6"/>
      <c r="AQ326" s="27"/>
      <c r="AR326" s="21"/>
      <c r="AS326" s="28"/>
    </row>
    <row r="327" spans="1:45" x14ac:dyDescent="0.35">
      <c r="A327" s="24"/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5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6"/>
      <c r="AQ327" s="27"/>
      <c r="AR327" s="21"/>
      <c r="AS327" s="28"/>
    </row>
    <row r="328" spans="1:45" x14ac:dyDescent="0.35">
      <c r="A328" s="29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30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  <c r="AO328" s="21"/>
      <c r="AP328" s="26"/>
      <c r="AQ328" s="27"/>
      <c r="AR328" s="21"/>
      <c r="AS328" s="28"/>
    </row>
    <row r="329" spans="1:45" x14ac:dyDescent="0.35">
      <c r="A329" s="24"/>
      <c r="B329" s="21"/>
      <c r="C329" s="21"/>
      <c r="D329" s="21"/>
      <c r="E329" s="21"/>
      <c r="F329" s="21"/>
      <c r="G329" s="21"/>
      <c r="H329" s="21"/>
      <c r="I329" s="21"/>
      <c r="J329" s="21"/>
      <c r="K329" s="24"/>
      <c r="L329" s="21"/>
      <c r="M329" s="25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6"/>
      <c r="AQ329" s="27"/>
      <c r="AR329" s="21"/>
      <c r="AS329" s="28"/>
    </row>
    <row r="330" spans="1:45" x14ac:dyDescent="0.35">
      <c r="A330" s="24"/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5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6"/>
      <c r="AQ330" s="27"/>
      <c r="AR330" s="21"/>
      <c r="AS330" s="28"/>
    </row>
    <row r="331" spans="1:45" x14ac:dyDescent="0.35">
      <c r="A331" s="24"/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5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6"/>
      <c r="AQ331" s="27"/>
      <c r="AR331" s="21"/>
      <c r="AS331" s="28"/>
    </row>
    <row r="332" spans="1:45" x14ac:dyDescent="0.35">
      <c r="A332" s="24"/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5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6"/>
      <c r="AQ332" s="27"/>
      <c r="AR332" s="21"/>
      <c r="AS332" s="28"/>
    </row>
    <row r="333" spans="1:45" x14ac:dyDescent="0.35">
      <c r="A333" s="24"/>
      <c r="B333" s="21"/>
      <c r="C333" s="21"/>
      <c r="D333" s="21"/>
      <c r="E333" s="21"/>
      <c r="F333" s="21"/>
      <c r="G333" s="21"/>
      <c r="H333" s="21"/>
      <c r="I333" s="21"/>
      <c r="J333" s="21"/>
      <c r="K333" s="24"/>
      <c r="L333" s="21"/>
      <c r="M333" s="25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6"/>
      <c r="AQ333" s="27"/>
      <c r="AR333" s="21"/>
      <c r="AS333" s="28"/>
    </row>
    <row r="334" spans="1:45" x14ac:dyDescent="0.35">
      <c r="A334" s="24"/>
      <c r="B334" s="21"/>
      <c r="C334" s="21"/>
      <c r="D334" s="21"/>
      <c r="E334" s="21"/>
      <c r="F334" s="21"/>
      <c r="G334" s="21"/>
      <c r="H334" s="21"/>
      <c r="I334" s="21"/>
      <c r="J334" s="21"/>
      <c r="K334" s="24"/>
      <c r="L334" s="21"/>
      <c r="M334" s="25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6"/>
      <c r="AQ334" s="27"/>
      <c r="AR334" s="21"/>
      <c r="AS334" s="28"/>
    </row>
    <row r="335" spans="1:45" x14ac:dyDescent="0.35">
      <c r="A335" s="24"/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5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6"/>
      <c r="AQ335" s="27"/>
      <c r="AR335" s="21"/>
      <c r="AS335" s="28"/>
    </row>
    <row r="336" spans="1:45" x14ac:dyDescent="0.35">
      <c r="A336" s="24"/>
      <c r="B336" s="21"/>
      <c r="C336" s="21"/>
      <c r="D336" s="21"/>
      <c r="E336" s="21"/>
      <c r="F336" s="21"/>
      <c r="G336" s="21"/>
      <c r="H336" s="21"/>
      <c r="I336" s="21"/>
      <c r="J336" s="21"/>
      <c r="K336" s="24"/>
      <c r="L336" s="21"/>
      <c r="M336" s="25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6"/>
      <c r="AQ336" s="27"/>
      <c r="AR336" s="21"/>
      <c r="AS336" s="28"/>
    </row>
    <row r="337" spans="1:45" x14ac:dyDescent="0.35">
      <c r="A337" s="24"/>
      <c r="B337" s="21"/>
      <c r="C337" s="21"/>
      <c r="D337" s="21"/>
      <c r="E337" s="21"/>
      <c r="F337" s="21"/>
      <c r="G337" s="21"/>
      <c r="H337" s="21"/>
      <c r="I337" s="21"/>
      <c r="J337" s="21"/>
      <c r="K337" s="24"/>
      <c r="L337" s="21"/>
      <c r="M337" s="25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6"/>
      <c r="AQ337" s="27"/>
      <c r="AR337" s="21"/>
      <c r="AS337" s="28"/>
    </row>
    <row r="338" spans="1:45" x14ac:dyDescent="0.35">
      <c r="A338" s="24"/>
      <c r="B338" s="21"/>
      <c r="C338" s="21"/>
      <c r="D338" s="21"/>
      <c r="E338" s="21"/>
      <c r="F338" s="21"/>
      <c r="G338" s="21"/>
      <c r="H338" s="21"/>
      <c r="I338" s="21"/>
      <c r="J338" s="21"/>
      <c r="K338" s="24"/>
      <c r="L338" s="21"/>
      <c r="M338" s="25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6"/>
      <c r="AQ338" s="27"/>
      <c r="AR338" s="21"/>
      <c r="AS338" s="28"/>
    </row>
    <row r="339" spans="1:45" x14ac:dyDescent="0.35">
      <c r="A339" s="24"/>
      <c r="B339" s="21"/>
      <c r="C339" s="21"/>
      <c r="D339" s="21"/>
      <c r="E339" s="21"/>
      <c r="F339" s="21"/>
      <c r="G339" s="21"/>
      <c r="H339" s="21"/>
      <c r="I339" s="21"/>
      <c r="J339" s="21"/>
      <c r="K339" s="24"/>
      <c r="L339" s="21"/>
      <c r="M339" s="25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6"/>
      <c r="AQ339" s="27"/>
      <c r="AR339" s="21"/>
      <c r="AS339" s="28"/>
    </row>
    <row r="340" spans="1:45" x14ac:dyDescent="0.35">
      <c r="A340" s="29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30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  <c r="AO340" s="21"/>
      <c r="AP340" s="26"/>
      <c r="AQ340" s="27"/>
      <c r="AR340" s="21"/>
      <c r="AS340" s="28"/>
    </row>
    <row r="341" spans="1:45" x14ac:dyDescent="0.35">
      <c r="A341" s="29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30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  <c r="AO341" s="21"/>
      <c r="AP341" s="26"/>
      <c r="AQ341" s="27"/>
      <c r="AR341" s="21"/>
      <c r="AS341" s="28"/>
    </row>
    <row r="342" spans="1:45" x14ac:dyDescent="0.35">
      <c r="A342" s="24"/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5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6"/>
      <c r="AQ342" s="27"/>
      <c r="AR342" s="21"/>
      <c r="AS342" s="28"/>
    </row>
    <row r="343" spans="1:45" x14ac:dyDescent="0.35">
      <c r="A343" s="24"/>
      <c r="B343" s="21"/>
      <c r="C343" s="21"/>
      <c r="D343" s="21"/>
      <c r="E343" s="21"/>
      <c r="F343" s="21"/>
      <c r="G343" s="21"/>
      <c r="H343" s="21"/>
      <c r="I343" s="21"/>
      <c r="J343" s="21"/>
      <c r="K343" s="24"/>
      <c r="L343" s="21"/>
      <c r="M343" s="25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6"/>
      <c r="AQ343" s="27"/>
      <c r="AR343" s="21"/>
      <c r="AS343" s="28"/>
    </row>
    <row r="344" spans="1:45" x14ac:dyDescent="0.35">
      <c r="A344" s="24"/>
      <c r="B344" s="21"/>
      <c r="C344" s="21"/>
      <c r="D344" s="21"/>
      <c r="E344" s="21"/>
      <c r="F344" s="21"/>
      <c r="G344" s="21"/>
      <c r="H344" s="21"/>
      <c r="I344" s="21"/>
      <c r="J344" s="21"/>
      <c r="K344" s="24"/>
      <c r="L344" s="21"/>
      <c r="M344" s="25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6"/>
      <c r="AQ344" s="27"/>
      <c r="AR344" s="21"/>
      <c r="AS344" s="28"/>
    </row>
    <row r="345" spans="1:45" x14ac:dyDescent="0.35">
      <c r="A345" s="24"/>
      <c r="B345" s="21"/>
      <c r="C345" s="21"/>
      <c r="D345" s="21"/>
      <c r="E345" s="21"/>
      <c r="F345" s="21"/>
      <c r="G345" s="21"/>
      <c r="H345" s="21"/>
      <c r="I345" s="21"/>
      <c r="J345" s="21"/>
      <c r="K345" s="24"/>
      <c r="L345" s="21"/>
      <c r="M345" s="25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6"/>
      <c r="AQ345" s="27"/>
      <c r="AR345" s="21"/>
      <c r="AS345" s="28"/>
    </row>
    <row r="346" spans="1:45" x14ac:dyDescent="0.35">
      <c r="A346" s="24"/>
      <c r="B346" s="21"/>
      <c r="C346" s="21"/>
      <c r="D346" s="21"/>
      <c r="E346" s="21"/>
      <c r="F346" s="21"/>
      <c r="G346" s="21"/>
      <c r="H346" s="21"/>
      <c r="I346" s="21"/>
      <c r="J346" s="21"/>
      <c r="K346" s="24"/>
      <c r="L346" s="21"/>
      <c r="M346" s="25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6"/>
      <c r="AQ346" s="27"/>
      <c r="AR346" s="21"/>
      <c r="AS346" s="28"/>
    </row>
    <row r="347" spans="1:45" x14ac:dyDescent="0.35">
      <c r="A347" s="24"/>
      <c r="B347" s="21"/>
      <c r="C347" s="21"/>
      <c r="D347" s="21"/>
      <c r="E347" s="21"/>
      <c r="F347" s="21"/>
      <c r="G347" s="21"/>
      <c r="H347" s="21"/>
      <c r="I347" s="21"/>
      <c r="J347" s="21"/>
      <c r="K347" s="24"/>
      <c r="L347" s="21"/>
      <c r="M347" s="25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6"/>
      <c r="AQ347" s="27"/>
      <c r="AR347" s="21"/>
      <c r="AS347" s="28"/>
    </row>
    <row r="348" spans="1:45" x14ac:dyDescent="0.35">
      <c r="A348" s="24"/>
      <c r="B348" s="21"/>
      <c r="C348" s="21"/>
      <c r="D348" s="21"/>
      <c r="E348" s="21"/>
      <c r="F348" s="21"/>
      <c r="G348" s="21"/>
      <c r="H348" s="21"/>
      <c r="I348" s="21"/>
      <c r="J348" s="21"/>
      <c r="K348" s="24"/>
      <c r="L348" s="21"/>
      <c r="M348" s="25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6"/>
      <c r="AQ348" s="27"/>
      <c r="AR348" s="21"/>
      <c r="AS348" s="28"/>
    </row>
    <row r="349" spans="1:45" x14ac:dyDescent="0.35">
      <c r="A349" s="29"/>
      <c r="B349" s="22"/>
      <c r="C349" s="22"/>
      <c r="D349" s="22"/>
      <c r="E349" s="22"/>
      <c r="F349" s="22"/>
      <c r="G349" s="22"/>
      <c r="H349" s="22"/>
      <c r="I349" s="22"/>
      <c r="J349" s="22"/>
      <c r="K349" s="29"/>
      <c r="L349" s="22"/>
      <c r="M349" s="30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  <c r="AO349" s="21"/>
      <c r="AP349" s="26"/>
      <c r="AQ349" s="27"/>
      <c r="AR349" s="21"/>
      <c r="AS349" s="28"/>
    </row>
    <row r="350" spans="1:45" x14ac:dyDescent="0.35">
      <c r="A350" s="24"/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5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6"/>
      <c r="AQ350" s="27"/>
      <c r="AR350" s="21"/>
      <c r="AS350" s="28"/>
    </row>
    <row r="351" spans="1:45" x14ac:dyDescent="0.35">
      <c r="A351" s="24"/>
      <c r="B351" s="21"/>
      <c r="C351" s="21"/>
      <c r="D351" s="21"/>
      <c r="E351" s="21"/>
      <c r="F351" s="21"/>
      <c r="G351" s="21"/>
      <c r="H351" s="21"/>
      <c r="I351" s="21"/>
      <c r="J351" s="21"/>
      <c r="K351" s="24"/>
      <c r="L351" s="21"/>
      <c r="M351" s="25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6"/>
      <c r="AQ351" s="27"/>
      <c r="AR351" s="21"/>
      <c r="AS351" s="28"/>
    </row>
    <row r="352" spans="1:45" x14ac:dyDescent="0.35">
      <c r="A352" s="24"/>
      <c r="B352" s="21"/>
      <c r="C352" s="21"/>
      <c r="D352" s="21"/>
      <c r="E352" s="21"/>
      <c r="F352" s="21"/>
      <c r="G352" s="21"/>
      <c r="H352" s="21"/>
      <c r="I352" s="21"/>
      <c r="J352" s="21"/>
      <c r="K352" s="24"/>
      <c r="L352" s="21"/>
      <c r="M352" s="25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6"/>
      <c r="AQ352" s="27"/>
      <c r="AR352" s="21"/>
      <c r="AS352" s="28"/>
    </row>
    <row r="353" spans="1:45" x14ac:dyDescent="0.35">
      <c r="A353" s="24"/>
      <c r="B353" s="21"/>
      <c r="C353" s="21"/>
      <c r="D353" s="21"/>
      <c r="E353" s="21"/>
      <c r="F353" s="21"/>
      <c r="G353" s="21"/>
      <c r="H353" s="21"/>
      <c r="I353" s="21"/>
      <c r="J353" s="21"/>
      <c r="K353" s="24"/>
      <c r="L353" s="21"/>
      <c r="M353" s="25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6"/>
      <c r="AQ353" s="27"/>
      <c r="AR353" s="21"/>
      <c r="AS353" s="28"/>
    </row>
    <row r="354" spans="1:45" x14ac:dyDescent="0.35">
      <c r="A354" s="24"/>
      <c r="B354" s="21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5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6"/>
      <c r="AQ354" s="27"/>
      <c r="AR354" s="21"/>
      <c r="AS354" s="28"/>
    </row>
    <row r="355" spans="1:45" x14ac:dyDescent="0.35">
      <c r="A355" s="29"/>
      <c r="B355" s="22"/>
      <c r="C355" s="22"/>
      <c r="D355" s="22"/>
      <c r="E355" s="22"/>
      <c r="F355" s="22"/>
      <c r="G355" s="22"/>
      <c r="H355" s="22"/>
      <c r="I355" s="22"/>
      <c r="J355" s="22"/>
      <c r="K355" s="29"/>
      <c r="L355" s="22"/>
      <c r="M355" s="30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  <c r="AO355" s="21"/>
      <c r="AP355" s="26"/>
      <c r="AQ355" s="27"/>
      <c r="AR355" s="21"/>
      <c r="AS355" s="28"/>
    </row>
    <row r="356" spans="1:45" x14ac:dyDescent="0.35">
      <c r="A356" s="24"/>
      <c r="B356" s="21"/>
      <c r="C356" s="21"/>
      <c r="D356" s="21"/>
      <c r="E356" s="21"/>
      <c r="F356" s="21"/>
      <c r="G356" s="21"/>
      <c r="H356" s="21"/>
      <c r="I356" s="21"/>
      <c r="J356" s="21"/>
      <c r="K356" s="24"/>
      <c r="L356" s="21"/>
      <c r="M356" s="25"/>
      <c r="N356" s="21"/>
      <c r="O356" s="21"/>
      <c r="P356" s="21"/>
      <c r="Q356" s="21"/>
      <c r="R356" s="21"/>
      <c r="S356" s="21"/>
      <c r="T356" s="21"/>
      <c r="U356" s="21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6"/>
      <c r="AQ356" s="27"/>
      <c r="AR356" s="21"/>
      <c r="AS356" s="28"/>
    </row>
    <row r="357" spans="1:45" x14ac:dyDescent="0.35">
      <c r="A357" s="24"/>
      <c r="B357" s="21"/>
      <c r="C357" s="21"/>
      <c r="D357" s="21"/>
      <c r="E357" s="21"/>
      <c r="F357" s="21"/>
      <c r="G357" s="21"/>
      <c r="H357" s="21"/>
      <c r="I357" s="21"/>
      <c r="J357" s="21"/>
      <c r="K357" s="24"/>
      <c r="L357" s="21"/>
      <c r="M357" s="25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6"/>
      <c r="AQ357" s="27"/>
      <c r="AR357" s="21"/>
      <c r="AS357" s="28"/>
    </row>
    <row r="358" spans="1:45" x14ac:dyDescent="0.35">
      <c r="A358" s="29"/>
      <c r="B358" s="22"/>
      <c r="C358" s="22"/>
      <c r="D358" s="22"/>
      <c r="E358" s="22"/>
      <c r="F358" s="22"/>
      <c r="G358" s="22"/>
      <c r="H358" s="22"/>
      <c r="I358" s="22"/>
      <c r="J358" s="22"/>
      <c r="K358" s="29"/>
      <c r="L358" s="22"/>
      <c r="M358" s="30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  <c r="AO358" s="21"/>
      <c r="AP358" s="26"/>
      <c r="AQ358" s="27"/>
      <c r="AR358" s="21"/>
      <c r="AS358" s="28"/>
    </row>
    <row r="359" spans="1:45" x14ac:dyDescent="0.35">
      <c r="A359" s="29"/>
      <c r="B359" s="22"/>
      <c r="C359" s="22"/>
      <c r="D359" s="22"/>
      <c r="E359" s="22"/>
      <c r="F359" s="22"/>
      <c r="G359" s="22"/>
      <c r="H359" s="22"/>
      <c r="I359" s="22"/>
      <c r="J359" s="22"/>
      <c r="K359" s="29"/>
      <c r="L359" s="22"/>
      <c r="M359" s="30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1"/>
      <c r="AP359" s="26"/>
      <c r="AQ359" s="27"/>
      <c r="AR359" s="21"/>
      <c r="AS359" s="28"/>
    </row>
    <row r="360" spans="1:45" x14ac:dyDescent="0.35">
      <c r="A360" s="29"/>
      <c r="B360" s="22"/>
      <c r="C360" s="22"/>
      <c r="D360" s="22"/>
      <c r="E360" s="22"/>
      <c r="F360" s="22"/>
      <c r="G360" s="22"/>
      <c r="H360" s="22"/>
      <c r="I360" s="22"/>
      <c r="J360" s="22"/>
      <c r="K360" s="29"/>
      <c r="L360" s="22"/>
      <c r="M360" s="30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  <c r="AO360" s="21"/>
      <c r="AP360" s="26"/>
      <c r="AQ360" s="27"/>
      <c r="AR360" s="21"/>
      <c r="AS360" s="28"/>
    </row>
    <row r="361" spans="1:45" x14ac:dyDescent="0.35">
      <c r="A361" s="29"/>
      <c r="B361" s="22"/>
      <c r="C361" s="22"/>
      <c r="D361" s="22"/>
      <c r="E361" s="22"/>
      <c r="F361" s="22"/>
      <c r="G361" s="22"/>
      <c r="H361" s="22"/>
      <c r="I361" s="22"/>
      <c r="J361" s="22"/>
      <c r="K361" s="29"/>
      <c r="L361" s="22"/>
      <c r="M361" s="30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  <c r="AO361" s="21"/>
      <c r="AP361" s="26"/>
      <c r="AQ361" s="27"/>
      <c r="AR361" s="21"/>
      <c r="AS361" s="28"/>
    </row>
    <row r="362" spans="1:45" x14ac:dyDescent="0.35">
      <c r="A362" s="29"/>
      <c r="B362" s="22"/>
      <c r="C362" s="22"/>
      <c r="D362" s="22"/>
      <c r="E362" s="22"/>
      <c r="F362" s="22"/>
      <c r="G362" s="22"/>
      <c r="H362" s="22"/>
      <c r="I362" s="22"/>
      <c r="J362" s="22"/>
      <c r="K362" s="29"/>
      <c r="L362" s="22"/>
      <c r="M362" s="30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  <c r="AO362" s="21"/>
      <c r="AP362" s="26"/>
      <c r="AQ362" s="27"/>
      <c r="AR362" s="21"/>
      <c r="AS362" s="28"/>
    </row>
    <row r="363" spans="1:45" x14ac:dyDescent="0.35">
      <c r="A363" s="29"/>
      <c r="B363" s="22"/>
      <c r="C363" s="22"/>
      <c r="D363" s="22"/>
      <c r="E363" s="22"/>
      <c r="F363" s="22"/>
      <c r="G363" s="22"/>
      <c r="H363" s="22"/>
      <c r="I363" s="22"/>
      <c r="J363" s="22"/>
      <c r="K363" s="29"/>
      <c r="L363" s="22"/>
      <c r="M363" s="30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  <c r="AO363" s="21"/>
      <c r="AP363" s="26"/>
      <c r="AQ363" s="27"/>
      <c r="AR363" s="21"/>
      <c r="AS363" s="28"/>
    </row>
    <row r="364" spans="1:45" x14ac:dyDescent="0.35">
      <c r="A364" s="29"/>
      <c r="B364" s="22"/>
      <c r="C364" s="22"/>
      <c r="D364" s="22"/>
      <c r="E364" s="22"/>
      <c r="F364" s="22"/>
      <c r="G364" s="22"/>
      <c r="H364" s="22"/>
      <c r="I364" s="22"/>
      <c r="J364" s="22"/>
      <c r="K364" s="29"/>
      <c r="L364" s="22"/>
      <c r="M364" s="30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1"/>
      <c r="AP364" s="26"/>
      <c r="AQ364" s="27"/>
      <c r="AR364" s="21"/>
      <c r="AS364" s="28"/>
    </row>
    <row r="365" spans="1:45" x14ac:dyDescent="0.35">
      <c r="A365" s="29"/>
      <c r="B365" s="22"/>
      <c r="C365" s="22"/>
      <c r="D365" s="22"/>
      <c r="E365" s="22"/>
      <c r="F365" s="22"/>
      <c r="G365" s="22"/>
      <c r="H365" s="22"/>
      <c r="I365" s="22"/>
      <c r="J365" s="22"/>
      <c r="K365" s="29"/>
      <c r="L365" s="22"/>
      <c r="M365" s="30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1"/>
      <c r="AP365" s="26"/>
      <c r="AQ365" s="27"/>
      <c r="AR365" s="21"/>
      <c r="AS365" s="28"/>
    </row>
    <row r="366" spans="1:45" x14ac:dyDescent="0.35">
      <c r="A366" s="29"/>
      <c r="B366" s="22"/>
      <c r="C366" s="22"/>
      <c r="D366" s="22"/>
      <c r="E366" s="22"/>
      <c r="F366" s="22"/>
      <c r="G366" s="22"/>
      <c r="H366" s="22"/>
      <c r="I366" s="22"/>
      <c r="J366" s="22"/>
      <c r="K366" s="29"/>
      <c r="L366" s="22"/>
      <c r="M366" s="30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1"/>
      <c r="AP366" s="26"/>
      <c r="AQ366" s="27"/>
      <c r="AR366" s="21"/>
      <c r="AS366" s="28"/>
    </row>
    <row r="367" spans="1:45" x14ac:dyDescent="0.35">
      <c r="A367" s="29"/>
      <c r="B367" s="22"/>
      <c r="C367" s="22"/>
      <c r="D367" s="22"/>
      <c r="E367" s="22"/>
      <c r="F367" s="22"/>
      <c r="G367" s="22"/>
      <c r="H367" s="22"/>
      <c r="I367" s="22"/>
      <c r="J367" s="22"/>
      <c r="K367" s="29"/>
      <c r="L367" s="22"/>
      <c r="M367" s="30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1"/>
      <c r="AP367" s="26"/>
      <c r="AQ367" s="27"/>
      <c r="AR367" s="21"/>
      <c r="AS367" s="28"/>
    </row>
    <row r="368" spans="1:45" x14ac:dyDescent="0.35">
      <c r="A368" s="29"/>
      <c r="B368" s="22"/>
      <c r="C368" s="22"/>
      <c r="D368" s="22"/>
      <c r="E368" s="22"/>
      <c r="F368" s="22"/>
      <c r="G368" s="22"/>
      <c r="H368" s="22"/>
      <c r="I368" s="22"/>
      <c r="J368" s="22"/>
      <c r="K368" s="29"/>
      <c r="L368" s="22"/>
      <c r="M368" s="30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1"/>
      <c r="AP368" s="26"/>
      <c r="AQ368" s="27"/>
      <c r="AR368" s="21"/>
      <c r="AS368" s="28"/>
    </row>
    <row r="369" spans="1:45" x14ac:dyDescent="0.35">
      <c r="A369" s="29"/>
      <c r="B369" s="22"/>
      <c r="C369" s="22"/>
      <c r="D369" s="22"/>
      <c r="E369" s="22"/>
      <c r="F369" s="22"/>
      <c r="G369" s="22"/>
      <c r="H369" s="22"/>
      <c r="I369" s="22"/>
      <c r="J369" s="22"/>
      <c r="K369" s="29"/>
      <c r="L369" s="22"/>
      <c r="M369" s="30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1"/>
      <c r="AP369" s="26"/>
      <c r="AQ369" s="27"/>
      <c r="AR369" s="21"/>
      <c r="AS369" s="28"/>
    </row>
    <row r="370" spans="1:45" x14ac:dyDescent="0.35">
      <c r="A370" s="29"/>
      <c r="B370" s="22"/>
      <c r="C370" s="22"/>
      <c r="D370" s="22"/>
      <c r="E370" s="22"/>
      <c r="F370" s="22"/>
      <c r="G370" s="22"/>
      <c r="H370" s="22"/>
      <c r="I370" s="22"/>
      <c r="J370" s="22"/>
      <c r="K370" s="29"/>
      <c r="L370" s="22"/>
      <c r="M370" s="30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1"/>
      <c r="AP370" s="26"/>
      <c r="AQ370" s="27"/>
      <c r="AR370" s="21"/>
      <c r="AS370" s="28"/>
    </row>
    <row r="371" spans="1:45" x14ac:dyDescent="0.35">
      <c r="A371" s="29"/>
      <c r="B371" s="22"/>
      <c r="C371" s="22"/>
      <c r="D371" s="22"/>
      <c r="E371" s="22"/>
      <c r="F371" s="22"/>
      <c r="G371" s="22"/>
      <c r="H371" s="22"/>
      <c r="I371" s="22"/>
      <c r="J371" s="22"/>
      <c r="K371" s="29"/>
      <c r="L371" s="22"/>
      <c r="M371" s="30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1"/>
      <c r="AP371" s="26"/>
      <c r="AQ371" s="27"/>
      <c r="AR371" s="21"/>
      <c r="AS371" s="28"/>
    </row>
    <row r="372" spans="1:45" x14ac:dyDescent="0.35">
      <c r="A372" s="29"/>
      <c r="B372" s="22"/>
      <c r="C372" s="22"/>
      <c r="D372" s="22"/>
      <c r="E372" s="22"/>
      <c r="F372" s="22"/>
      <c r="G372" s="22"/>
      <c r="H372" s="22"/>
      <c r="I372" s="22"/>
      <c r="J372" s="22"/>
      <c r="K372" s="29"/>
      <c r="L372" s="22"/>
      <c r="M372" s="30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1"/>
      <c r="AP372" s="26"/>
      <c r="AQ372" s="27"/>
      <c r="AR372" s="21"/>
      <c r="AS372" s="28"/>
    </row>
    <row r="373" spans="1:45" x14ac:dyDescent="0.35">
      <c r="A373" s="29"/>
      <c r="B373" s="22"/>
      <c r="C373" s="22"/>
      <c r="D373" s="22"/>
      <c r="E373" s="22"/>
      <c r="F373" s="22"/>
      <c r="G373" s="22"/>
      <c r="H373" s="22"/>
      <c r="I373" s="22"/>
      <c r="J373" s="22"/>
      <c r="K373" s="29"/>
      <c r="L373" s="22"/>
      <c r="M373" s="30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1"/>
      <c r="AP373" s="26"/>
      <c r="AQ373" s="27"/>
      <c r="AR373" s="21"/>
      <c r="AS373" s="28"/>
    </row>
    <row r="374" spans="1:45" x14ac:dyDescent="0.35">
      <c r="A374" s="29"/>
      <c r="B374" s="22"/>
      <c r="C374" s="22"/>
      <c r="D374" s="22"/>
      <c r="E374" s="22"/>
      <c r="F374" s="22"/>
      <c r="G374" s="22"/>
      <c r="H374" s="22"/>
      <c r="I374" s="22"/>
      <c r="J374" s="22"/>
      <c r="K374" s="29"/>
      <c r="L374" s="22"/>
      <c r="M374" s="30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1"/>
      <c r="AP374" s="26"/>
      <c r="AQ374" s="27"/>
      <c r="AR374" s="21"/>
      <c r="AS374" s="28"/>
    </row>
    <row r="375" spans="1:45" x14ac:dyDescent="0.35">
      <c r="A375" s="29"/>
      <c r="B375" s="22"/>
      <c r="C375" s="22"/>
      <c r="D375" s="22"/>
      <c r="E375" s="22"/>
      <c r="F375" s="22"/>
      <c r="G375" s="22"/>
      <c r="H375" s="22"/>
      <c r="I375" s="22"/>
      <c r="J375" s="22"/>
      <c r="K375" s="29"/>
      <c r="L375" s="22"/>
      <c r="M375" s="30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1"/>
      <c r="AP375" s="26"/>
      <c r="AQ375" s="27"/>
      <c r="AR375" s="21"/>
      <c r="AS375" s="28"/>
    </row>
    <row r="376" spans="1:45" x14ac:dyDescent="0.35">
      <c r="A376" s="29"/>
      <c r="B376" s="22"/>
      <c r="C376" s="22"/>
      <c r="D376" s="22"/>
      <c r="E376" s="22"/>
      <c r="F376" s="22"/>
      <c r="G376" s="22"/>
      <c r="H376" s="22"/>
      <c r="I376" s="22"/>
      <c r="J376" s="22"/>
      <c r="K376" s="29"/>
      <c r="L376" s="22"/>
      <c r="M376" s="30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1"/>
      <c r="AP376" s="26"/>
      <c r="AQ376" s="27"/>
      <c r="AR376" s="21"/>
      <c r="AS376" s="28"/>
    </row>
    <row r="377" spans="1:45" x14ac:dyDescent="0.35">
      <c r="A377" s="29"/>
      <c r="B377" s="22"/>
      <c r="C377" s="22"/>
      <c r="D377" s="22"/>
      <c r="E377" s="22"/>
      <c r="F377" s="22"/>
      <c r="G377" s="22"/>
      <c r="H377" s="22"/>
      <c r="I377" s="22"/>
      <c r="J377" s="22"/>
      <c r="K377" s="29"/>
      <c r="L377" s="22"/>
      <c r="M377" s="30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1"/>
      <c r="AP377" s="26"/>
      <c r="AQ377" s="27"/>
      <c r="AR377" s="21"/>
      <c r="AS377" s="28"/>
    </row>
    <row r="378" spans="1:45" x14ac:dyDescent="0.35">
      <c r="A378" s="29"/>
      <c r="B378" s="22"/>
      <c r="C378" s="22"/>
      <c r="D378" s="22"/>
      <c r="E378" s="22"/>
      <c r="F378" s="22"/>
      <c r="G378" s="22"/>
      <c r="H378" s="22"/>
      <c r="I378" s="22"/>
      <c r="J378" s="22"/>
      <c r="K378" s="29"/>
      <c r="L378" s="22"/>
      <c r="M378" s="30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1"/>
      <c r="AP378" s="26"/>
      <c r="AQ378" s="27"/>
      <c r="AR378" s="21"/>
      <c r="AS378" s="28"/>
    </row>
    <row r="379" spans="1:45" x14ac:dyDescent="0.35">
      <c r="A379" s="29"/>
      <c r="B379" s="22"/>
      <c r="C379" s="22"/>
      <c r="D379" s="22"/>
      <c r="E379" s="22"/>
      <c r="F379" s="22"/>
      <c r="G379" s="22"/>
      <c r="H379" s="22"/>
      <c r="I379" s="22"/>
      <c r="J379" s="22"/>
      <c r="K379" s="29"/>
      <c r="L379" s="22"/>
      <c r="M379" s="30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1"/>
      <c r="AP379" s="26"/>
      <c r="AQ379" s="27"/>
      <c r="AR379" s="21"/>
      <c r="AS379" s="28"/>
    </row>
    <row r="380" spans="1:45" x14ac:dyDescent="0.35">
      <c r="A380" s="29"/>
      <c r="B380" s="22"/>
      <c r="C380" s="22"/>
      <c r="D380" s="22"/>
      <c r="E380" s="22"/>
      <c r="F380" s="22"/>
      <c r="G380" s="22"/>
      <c r="H380" s="22"/>
      <c r="I380" s="22"/>
      <c r="J380" s="22"/>
      <c r="K380" s="29"/>
      <c r="L380" s="22"/>
      <c r="M380" s="30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1"/>
      <c r="AP380" s="26"/>
      <c r="AQ380" s="27"/>
      <c r="AR380" s="21"/>
      <c r="AS380" s="28"/>
    </row>
    <row r="381" spans="1:45" x14ac:dyDescent="0.35">
      <c r="A381" s="29"/>
      <c r="B381" s="22"/>
      <c r="C381" s="22"/>
      <c r="D381" s="22"/>
      <c r="E381" s="22"/>
      <c r="F381" s="22"/>
      <c r="G381" s="22"/>
      <c r="H381" s="22"/>
      <c r="I381" s="22"/>
      <c r="J381" s="22"/>
      <c r="K381" s="29"/>
      <c r="L381" s="22"/>
      <c r="M381" s="30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1"/>
      <c r="AP381" s="26"/>
      <c r="AQ381" s="27"/>
      <c r="AR381" s="21"/>
      <c r="AS381" s="28"/>
    </row>
    <row r="382" spans="1:45" x14ac:dyDescent="0.35">
      <c r="A382" s="29"/>
      <c r="B382" s="22"/>
      <c r="C382" s="22"/>
      <c r="D382" s="22"/>
      <c r="E382" s="22"/>
      <c r="F382" s="22"/>
      <c r="G382" s="22"/>
      <c r="H382" s="22"/>
      <c r="I382" s="22"/>
      <c r="J382" s="22"/>
      <c r="K382" s="29"/>
      <c r="L382" s="22"/>
      <c r="M382" s="30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1"/>
      <c r="AP382" s="26"/>
      <c r="AQ382" s="27"/>
      <c r="AR382" s="21"/>
      <c r="AS382" s="28"/>
    </row>
    <row r="383" spans="1:45" x14ac:dyDescent="0.35">
      <c r="A383" s="29"/>
      <c r="B383" s="22"/>
      <c r="C383" s="22"/>
      <c r="D383" s="22"/>
      <c r="E383" s="22"/>
      <c r="F383" s="22"/>
      <c r="G383" s="22"/>
      <c r="H383" s="22"/>
      <c r="I383" s="22"/>
      <c r="J383" s="22"/>
      <c r="K383" s="29"/>
      <c r="L383" s="22"/>
      <c r="M383" s="30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1"/>
      <c r="AP383" s="26"/>
      <c r="AQ383" s="27"/>
      <c r="AR383" s="21"/>
      <c r="AS383" s="28"/>
    </row>
    <row r="384" spans="1:45" x14ac:dyDescent="0.35">
      <c r="A384" s="29"/>
      <c r="B384" s="22"/>
      <c r="C384" s="22"/>
      <c r="D384" s="22"/>
      <c r="E384" s="22"/>
      <c r="F384" s="22"/>
      <c r="G384" s="22"/>
      <c r="H384" s="22"/>
      <c r="I384" s="22"/>
      <c r="J384" s="22"/>
      <c r="K384" s="29"/>
      <c r="L384" s="22"/>
      <c r="M384" s="30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1"/>
      <c r="AP384" s="26"/>
      <c r="AQ384" s="27"/>
      <c r="AR384" s="21"/>
      <c r="AS384" s="28"/>
    </row>
    <row r="385" spans="1:45" x14ac:dyDescent="0.35">
      <c r="A385" s="29"/>
      <c r="B385" s="22"/>
      <c r="C385" s="22"/>
      <c r="D385" s="22"/>
      <c r="E385" s="22"/>
      <c r="F385" s="22"/>
      <c r="G385" s="22"/>
      <c r="H385" s="22"/>
      <c r="I385" s="22"/>
      <c r="J385" s="22"/>
      <c r="K385" s="29"/>
      <c r="L385" s="22"/>
      <c r="M385" s="30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1"/>
      <c r="AP385" s="26"/>
      <c r="AQ385" s="27"/>
      <c r="AR385" s="21"/>
      <c r="AS385" s="28"/>
    </row>
    <row r="386" spans="1:45" x14ac:dyDescent="0.35">
      <c r="A386" s="29"/>
      <c r="B386" s="22"/>
      <c r="C386" s="22"/>
      <c r="D386" s="22"/>
      <c r="E386" s="22"/>
      <c r="F386" s="22"/>
      <c r="G386" s="22"/>
      <c r="H386" s="22"/>
      <c r="I386" s="22"/>
      <c r="J386" s="22"/>
      <c r="K386" s="29"/>
      <c r="L386" s="22"/>
      <c r="M386" s="30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1"/>
      <c r="AP386" s="26"/>
      <c r="AQ386" s="27"/>
      <c r="AR386" s="21"/>
      <c r="AS386" s="28"/>
    </row>
    <row r="387" spans="1:45" x14ac:dyDescent="0.35">
      <c r="A387" s="29"/>
      <c r="B387" s="22"/>
      <c r="C387" s="22"/>
      <c r="D387" s="22"/>
      <c r="E387" s="22"/>
      <c r="F387" s="22"/>
      <c r="G387" s="22"/>
      <c r="H387" s="22"/>
      <c r="I387" s="22"/>
      <c r="J387" s="22"/>
      <c r="K387" s="29"/>
      <c r="L387" s="22"/>
      <c r="M387" s="30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1"/>
      <c r="AP387" s="26"/>
      <c r="AQ387" s="27"/>
      <c r="AR387" s="21"/>
      <c r="AS387" s="28"/>
    </row>
    <row r="388" spans="1:45" x14ac:dyDescent="0.35">
      <c r="A388" s="29"/>
      <c r="B388" s="22"/>
      <c r="C388" s="22"/>
      <c r="D388" s="22"/>
      <c r="E388" s="22"/>
      <c r="F388" s="22"/>
      <c r="G388" s="22"/>
      <c r="H388" s="22"/>
      <c r="I388" s="22"/>
      <c r="J388" s="22"/>
      <c r="K388" s="29"/>
      <c r="L388" s="22"/>
      <c r="M388" s="30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1"/>
      <c r="AP388" s="26"/>
      <c r="AQ388" s="27"/>
      <c r="AR388" s="21"/>
      <c r="AS388" s="28"/>
    </row>
    <row r="389" spans="1:45" x14ac:dyDescent="0.35">
      <c r="A389" s="29"/>
      <c r="B389" s="22"/>
      <c r="C389" s="22"/>
      <c r="D389" s="22"/>
      <c r="E389" s="22"/>
      <c r="F389" s="22"/>
      <c r="G389" s="22"/>
      <c r="H389" s="22"/>
      <c r="I389" s="22"/>
      <c r="J389" s="22"/>
      <c r="K389" s="29"/>
      <c r="L389" s="22"/>
      <c r="M389" s="30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1"/>
      <c r="AP389" s="26"/>
      <c r="AQ389" s="27"/>
      <c r="AR389" s="21"/>
      <c r="AS389" s="28"/>
    </row>
    <row r="390" spans="1:45" x14ac:dyDescent="0.35">
      <c r="A390" s="29"/>
      <c r="B390" s="22"/>
      <c r="C390" s="22"/>
      <c r="D390" s="22"/>
      <c r="E390" s="22"/>
      <c r="F390" s="22"/>
      <c r="G390" s="22"/>
      <c r="H390" s="22"/>
      <c r="I390" s="22"/>
      <c r="J390" s="22"/>
      <c r="K390" s="29"/>
      <c r="L390" s="22"/>
      <c r="M390" s="30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1"/>
      <c r="AP390" s="26"/>
      <c r="AQ390" s="27"/>
      <c r="AR390" s="21"/>
      <c r="AS390" s="28"/>
    </row>
    <row r="391" spans="1:45" x14ac:dyDescent="0.35">
      <c r="A391" s="29"/>
      <c r="B391" s="22"/>
      <c r="C391" s="22"/>
      <c r="D391" s="22"/>
      <c r="E391" s="22"/>
      <c r="F391" s="22"/>
      <c r="G391" s="22"/>
      <c r="H391" s="22"/>
      <c r="I391" s="22"/>
      <c r="J391" s="22"/>
      <c r="K391" s="29"/>
      <c r="L391" s="22"/>
      <c r="M391" s="30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1"/>
      <c r="AP391" s="26"/>
      <c r="AQ391" s="27"/>
      <c r="AR391" s="21"/>
      <c r="AS391" s="28"/>
    </row>
    <row r="392" spans="1:45" x14ac:dyDescent="0.35">
      <c r="A392" s="29"/>
      <c r="B392" s="22"/>
      <c r="C392" s="22"/>
      <c r="D392" s="22"/>
      <c r="E392" s="22"/>
      <c r="F392" s="22"/>
      <c r="G392" s="22"/>
      <c r="H392" s="22"/>
      <c r="I392" s="22"/>
      <c r="J392" s="22"/>
      <c r="K392" s="29"/>
      <c r="L392" s="22"/>
      <c r="M392" s="30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1"/>
      <c r="AP392" s="26"/>
      <c r="AQ392" s="27"/>
      <c r="AR392" s="21"/>
      <c r="AS392" s="28"/>
    </row>
    <row r="393" spans="1:45" x14ac:dyDescent="0.35">
      <c r="A393" s="29"/>
      <c r="B393" s="22"/>
      <c r="C393" s="22"/>
      <c r="D393" s="22"/>
      <c r="E393" s="22"/>
      <c r="F393" s="22"/>
      <c r="G393" s="22"/>
      <c r="H393" s="22"/>
      <c r="I393" s="22"/>
      <c r="J393" s="22"/>
      <c r="K393" s="29"/>
      <c r="L393" s="22"/>
      <c r="M393" s="30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1"/>
      <c r="AP393" s="26"/>
      <c r="AQ393" s="27"/>
      <c r="AR393" s="21"/>
      <c r="AS393" s="28"/>
    </row>
    <row r="394" spans="1:45" x14ac:dyDescent="0.35">
      <c r="A394" s="29"/>
      <c r="B394" s="22"/>
      <c r="C394" s="22"/>
      <c r="D394" s="22"/>
      <c r="E394" s="22"/>
      <c r="F394" s="22"/>
      <c r="G394" s="22"/>
      <c r="H394" s="22"/>
      <c r="I394" s="22"/>
      <c r="J394" s="22"/>
      <c r="K394" s="29"/>
      <c r="L394" s="22"/>
      <c r="M394" s="30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1"/>
      <c r="AP394" s="26"/>
      <c r="AQ394" s="27"/>
      <c r="AR394" s="21"/>
      <c r="AS394" s="28"/>
    </row>
    <row r="395" spans="1:45" x14ac:dyDescent="0.35">
      <c r="A395" s="29"/>
      <c r="B395" s="22"/>
      <c r="C395" s="22"/>
      <c r="D395" s="22"/>
      <c r="E395" s="22"/>
      <c r="F395" s="22"/>
      <c r="G395" s="22"/>
      <c r="H395" s="22"/>
      <c r="I395" s="22"/>
      <c r="J395" s="22"/>
      <c r="K395" s="29"/>
      <c r="L395" s="22"/>
      <c r="M395" s="30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1"/>
      <c r="AP395" s="26"/>
      <c r="AQ395" s="27"/>
      <c r="AR395" s="21"/>
      <c r="AS395" s="28"/>
    </row>
    <row r="396" spans="1:45" x14ac:dyDescent="0.35">
      <c r="A396" s="29"/>
      <c r="B396" s="22"/>
      <c r="C396" s="22"/>
      <c r="D396" s="22"/>
      <c r="E396" s="22"/>
      <c r="F396" s="22"/>
      <c r="G396" s="22"/>
      <c r="H396" s="22"/>
      <c r="I396" s="22"/>
      <c r="J396" s="22"/>
      <c r="K396" s="29"/>
      <c r="L396" s="22"/>
      <c r="M396" s="30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1"/>
      <c r="AP396" s="26"/>
      <c r="AQ396" s="27"/>
      <c r="AR396" s="21"/>
      <c r="AS396" s="28"/>
    </row>
    <row r="397" spans="1:45" x14ac:dyDescent="0.35">
      <c r="A397" s="29"/>
      <c r="B397" s="22"/>
      <c r="C397" s="22"/>
      <c r="D397" s="22"/>
      <c r="E397" s="22"/>
      <c r="F397" s="22"/>
      <c r="G397" s="22"/>
      <c r="H397" s="22"/>
      <c r="I397" s="22"/>
      <c r="J397" s="22"/>
      <c r="K397" s="29"/>
      <c r="L397" s="22"/>
      <c r="M397" s="30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1"/>
      <c r="AP397" s="26"/>
      <c r="AQ397" s="27"/>
      <c r="AR397" s="21"/>
      <c r="AS397" s="28"/>
    </row>
    <row r="398" spans="1:45" x14ac:dyDescent="0.35">
      <c r="A398" s="29"/>
      <c r="B398" s="22"/>
      <c r="C398" s="22"/>
      <c r="D398" s="22"/>
      <c r="E398" s="22"/>
      <c r="F398" s="22"/>
      <c r="G398" s="22"/>
      <c r="H398" s="22"/>
      <c r="I398" s="22"/>
      <c r="J398" s="22"/>
      <c r="K398" s="29"/>
      <c r="L398" s="22"/>
      <c r="M398" s="30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1"/>
      <c r="AP398" s="26"/>
      <c r="AQ398" s="27"/>
      <c r="AR398" s="21"/>
      <c r="AS398" s="28"/>
    </row>
    <row r="399" spans="1:45" x14ac:dyDescent="0.35">
      <c r="A399" s="29"/>
      <c r="B399" s="22"/>
      <c r="C399" s="22"/>
      <c r="D399" s="22"/>
      <c r="E399" s="22"/>
      <c r="F399" s="22"/>
      <c r="G399" s="22"/>
      <c r="H399" s="22"/>
      <c r="I399" s="22"/>
      <c r="J399" s="22"/>
      <c r="K399" s="29"/>
      <c r="L399" s="22"/>
      <c r="M399" s="30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1"/>
      <c r="AP399" s="26"/>
      <c r="AQ399" s="27"/>
      <c r="AR399" s="21"/>
      <c r="AS399" s="28"/>
    </row>
    <row r="400" spans="1:45" x14ac:dyDescent="0.35">
      <c r="A400" s="29"/>
      <c r="B400" s="22"/>
      <c r="C400" s="22"/>
      <c r="D400" s="22"/>
      <c r="E400" s="22"/>
      <c r="F400" s="22"/>
      <c r="G400" s="22"/>
      <c r="H400" s="22"/>
      <c r="I400" s="22"/>
      <c r="J400" s="22"/>
      <c r="K400" s="29"/>
      <c r="L400" s="22"/>
      <c r="M400" s="30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1"/>
      <c r="AP400" s="26"/>
      <c r="AQ400" s="27"/>
      <c r="AR400" s="21"/>
      <c r="AS400" s="28"/>
    </row>
    <row r="401" spans="1:45" x14ac:dyDescent="0.35">
      <c r="A401" s="29"/>
      <c r="B401" s="22"/>
      <c r="C401" s="22"/>
      <c r="D401" s="22"/>
      <c r="E401" s="22"/>
      <c r="F401" s="22"/>
      <c r="G401" s="22"/>
      <c r="H401" s="22"/>
      <c r="I401" s="22"/>
      <c r="J401" s="22"/>
      <c r="K401" s="29"/>
      <c r="L401" s="22"/>
      <c r="M401" s="30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1"/>
      <c r="AP401" s="26"/>
      <c r="AQ401" s="27"/>
      <c r="AR401" s="21"/>
      <c r="AS401" s="28"/>
    </row>
    <row r="402" spans="1:45" x14ac:dyDescent="0.35">
      <c r="A402" s="29"/>
      <c r="B402" s="22"/>
      <c r="C402" s="22"/>
      <c r="D402" s="22"/>
      <c r="E402" s="22"/>
      <c r="F402" s="22"/>
      <c r="G402" s="22"/>
      <c r="H402" s="22"/>
      <c r="I402" s="22"/>
      <c r="J402" s="22"/>
      <c r="K402" s="29"/>
      <c r="L402" s="22"/>
      <c r="M402" s="30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1"/>
      <c r="AP402" s="26"/>
      <c r="AQ402" s="27"/>
      <c r="AR402" s="21"/>
      <c r="AS402" s="28"/>
    </row>
    <row r="403" spans="1:45" x14ac:dyDescent="0.35">
      <c r="A403" s="29"/>
      <c r="B403" s="22"/>
      <c r="C403" s="22"/>
      <c r="D403" s="22"/>
      <c r="E403" s="22"/>
      <c r="F403" s="22"/>
      <c r="G403" s="22"/>
      <c r="H403" s="22"/>
      <c r="I403" s="22"/>
      <c r="J403" s="22"/>
      <c r="K403" s="29"/>
      <c r="L403" s="22"/>
      <c r="M403" s="30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1"/>
      <c r="AP403" s="26"/>
      <c r="AQ403" s="27"/>
      <c r="AR403" s="21"/>
      <c r="AS403" s="28"/>
    </row>
    <row r="404" spans="1:45" x14ac:dyDescent="0.35">
      <c r="A404" s="29"/>
      <c r="B404" s="22"/>
      <c r="C404" s="22"/>
      <c r="D404" s="22"/>
      <c r="E404" s="22"/>
      <c r="F404" s="22"/>
      <c r="G404" s="22"/>
      <c r="H404" s="22"/>
      <c r="I404" s="22"/>
      <c r="J404" s="22"/>
      <c r="K404" s="29"/>
      <c r="L404" s="22"/>
      <c r="M404" s="30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1"/>
      <c r="AP404" s="26"/>
      <c r="AQ404" s="27"/>
      <c r="AR404" s="21"/>
      <c r="AS404" s="28"/>
    </row>
    <row r="405" spans="1:45" x14ac:dyDescent="0.35">
      <c r="A405" s="29"/>
      <c r="B405" s="22"/>
      <c r="C405" s="22"/>
      <c r="D405" s="22"/>
      <c r="E405" s="22"/>
      <c r="F405" s="22"/>
      <c r="G405" s="22"/>
      <c r="H405" s="22"/>
      <c r="I405" s="22"/>
      <c r="J405" s="22"/>
      <c r="K405" s="29"/>
      <c r="L405" s="22"/>
      <c r="M405" s="30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1"/>
      <c r="AP405" s="26"/>
      <c r="AQ405" s="27"/>
      <c r="AR405" s="21"/>
      <c r="AS405" s="28"/>
    </row>
    <row r="406" spans="1:45" x14ac:dyDescent="0.35">
      <c r="A406" s="29"/>
      <c r="B406" s="22"/>
      <c r="C406" s="22"/>
      <c r="D406" s="22"/>
      <c r="E406" s="22"/>
      <c r="F406" s="22"/>
      <c r="G406" s="22"/>
      <c r="H406" s="22"/>
      <c r="I406" s="22"/>
      <c r="J406" s="22"/>
      <c r="K406" s="29"/>
      <c r="L406" s="22"/>
      <c r="M406" s="30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1"/>
      <c r="AP406" s="26"/>
      <c r="AQ406" s="27"/>
      <c r="AR406" s="21"/>
      <c r="AS406" s="28"/>
    </row>
    <row r="407" spans="1:45" x14ac:dyDescent="0.35">
      <c r="A407" s="29"/>
      <c r="B407" s="22"/>
      <c r="C407" s="22"/>
      <c r="D407" s="22"/>
      <c r="E407" s="22"/>
      <c r="F407" s="22"/>
      <c r="G407" s="22"/>
      <c r="H407" s="22"/>
      <c r="I407" s="22"/>
      <c r="J407" s="22"/>
      <c r="K407" s="29"/>
      <c r="L407" s="22"/>
      <c r="M407" s="30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1"/>
      <c r="AP407" s="26"/>
      <c r="AQ407" s="27"/>
      <c r="AR407" s="21"/>
      <c r="AS407" s="28"/>
    </row>
    <row r="408" spans="1:45" x14ac:dyDescent="0.35">
      <c r="A408" s="29"/>
      <c r="B408" s="22"/>
      <c r="C408" s="22"/>
      <c r="D408" s="22"/>
      <c r="E408" s="22"/>
      <c r="F408" s="22"/>
      <c r="G408" s="22"/>
      <c r="H408" s="22"/>
      <c r="I408" s="22"/>
      <c r="J408" s="22"/>
      <c r="K408" s="29"/>
      <c r="L408" s="22"/>
      <c r="M408" s="30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1"/>
      <c r="AP408" s="26"/>
      <c r="AQ408" s="27"/>
      <c r="AR408" s="21"/>
      <c r="AS408" s="28"/>
    </row>
    <row r="409" spans="1:45" x14ac:dyDescent="0.35">
      <c r="A409" s="29"/>
      <c r="B409" s="22"/>
      <c r="C409" s="22"/>
      <c r="D409" s="22"/>
      <c r="E409" s="22"/>
      <c r="F409" s="22"/>
      <c r="G409" s="22"/>
      <c r="H409" s="22"/>
      <c r="I409" s="22"/>
      <c r="J409" s="22"/>
      <c r="K409" s="29"/>
      <c r="L409" s="22"/>
      <c r="M409" s="30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1"/>
      <c r="AP409" s="26"/>
      <c r="AQ409" s="27"/>
      <c r="AR409" s="21"/>
      <c r="AS409" s="28"/>
    </row>
    <row r="410" spans="1:45" x14ac:dyDescent="0.35">
      <c r="A410" s="29"/>
      <c r="B410" s="22"/>
      <c r="C410" s="22"/>
      <c r="D410" s="22"/>
      <c r="E410" s="22"/>
      <c r="F410" s="22"/>
      <c r="G410" s="22"/>
      <c r="H410" s="22"/>
      <c r="I410" s="22"/>
      <c r="J410" s="22"/>
      <c r="K410" s="29"/>
      <c r="L410" s="22"/>
      <c r="M410" s="30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1"/>
      <c r="AP410" s="26"/>
      <c r="AQ410" s="27"/>
      <c r="AR410" s="21"/>
      <c r="AS410" s="28"/>
    </row>
    <row r="411" spans="1:45" x14ac:dyDescent="0.35">
      <c r="A411" s="29"/>
      <c r="B411" s="22"/>
      <c r="C411" s="22"/>
      <c r="D411" s="22"/>
      <c r="E411" s="22"/>
      <c r="F411" s="22"/>
      <c r="G411" s="22"/>
      <c r="H411" s="22"/>
      <c r="I411" s="22"/>
      <c r="J411" s="22"/>
      <c r="K411" s="29"/>
      <c r="L411" s="22"/>
      <c r="M411" s="30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1"/>
      <c r="AP411" s="26"/>
      <c r="AQ411" s="27"/>
      <c r="AR411" s="21"/>
      <c r="AS411" s="28"/>
    </row>
    <row r="412" spans="1:45" x14ac:dyDescent="0.35">
      <c r="A412" s="29"/>
      <c r="B412" s="22"/>
      <c r="C412" s="22"/>
      <c r="D412" s="22"/>
      <c r="E412" s="22"/>
      <c r="F412" s="22"/>
      <c r="G412" s="22"/>
      <c r="H412" s="22"/>
      <c r="I412" s="22"/>
      <c r="J412" s="22"/>
      <c r="K412" s="29"/>
      <c r="L412" s="22"/>
      <c r="M412" s="30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1"/>
      <c r="AP412" s="26"/>
      <c r="AQ412" s="27"/>
      <c r="AR412" s="21"/>
      <c r="AS412" s="28"/>
    </row>
    <row r="413" spans="1:45" x14ac:dyDescent="0.35">
      <c r="A413" s="29"/>
      <c r="B413" s="22"/>
      <c r="C413" s="22"/>
      <c r="D413" s="22"/>
      <c r="E413" s="22"/>
      <c r="F413" s="22"/>
      <c r="G413" s="22"/>
      <c r="H413" s="22"/>
      <c r="I413" s="22"/>
      <c r="J413" s="22"/>
      <c r="K413" s="29"/>
      <c r="L413" s="22"/>
      <c r="M413" s="30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1"/>
      <c r="AP413" s="26"/>
      <c r="AQ413" s="27"/>
      <c r="AR413" s="21"/>
      <c r="AS413" s="28"/>
    </row>
    <row r="414" spans="1:45" x14ac:dyDescent="0.35">
      <c r="A414" s="29"/>
      <c r="B414" s="22"/>
      <c r="C414" s="22"/>
      <c r="D414" s="22"/>
      <c r="E414" s="22"/>
      <c r="F414" s="22"/>
      <c r="G414" s="22"/>
      <c r="H414" s="22"/>
      <c r="I414" s="22"/>
      <c r="J414" s="22"/>
      <c r="K414" s="29"/>
      <c r="L414" s="22"/>
      <c r="M414" s="30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1"/>
      <c r="AP414" s="26"/>
      <c r="AQ414" s="27"/>
      <c r="AR414" s="21"/>
      <c r="AS414" s="28"/>
    </row>
    <row r="415" spans="1:45" x14ac:dyDescent="0.35">
      <c r="A415" s="29"/>
      <c r="B415" s="22"/>
      <c r="C415" s="22"/>
      <c r="D415" s="22"/>
      <c r="E415" s="22"/>
      <c r="F415" s="22"/>
      <c r="G415" s="22"/>
      <c r="H415" s="22"/>
      <c r="I415" s="22"/>
      <c r="J415" s="22"/>
      <c r="K415" s="29"/>
      <c r="L415" s="22"/>
      <c r="M415" s="30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1"/>
      <c r="AP415" s="26"/>
      <c r="AQ415" s="27"/>
      <c r="AR415" s="21"/>
      <c r="AS415" s="28"/>
    </row>
    <row r="416" spans="1:45" x14ac:dyDescent="0.35">
      <c r="A416" s="29"/>
      <c r="B416" s="22"/>
      <c r="C416" s="22"/>
      <c r="D416" s="22"/>
      <c r="E416" s="22"/>
      <c r="F416" s="22"/>
      <c r="G416" s="22"/>
      <c r="H416" s="22"/>
      <c r="I416" s="22"/>
      <c r="J416" s="22"/>
      <c r="K416" s="29"/>
      <c r="L416" s="22"/>
      <c r="M416" s="30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1"/>
      <c r="AP416" s="26"/>
      <c r="AQ416" s="27"/>
      <c r="AR416" s="21"/>
      <c r="AS416" s="28"/>
    </row>
    <row r="417" spans="1:45" x14ac:dyDescent="0.35">
      <c r="A417" s="29"/>
      <c r="B417" s="22"/>
      <c r="C417" s="22"/>
      <c r="D417" s="22"/>
      <c r="E417" s="22"/>
      <c r="F417" s="22"/>
      <c r="G417" s="22"/>
      <c r="H417" s="22"/>
      <c r="I417" s="22"/>
      <c r="J417" s="22"/>
      <c r="K417" s="29"/>
      <c r="L417" s="22"/>
      <c r="M417" s="30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1"/>
      <c r="AP417" s="26"/>
      <c r="AQ417" s="27"/>
      <c r="AR417" s="21"/>
      <c r="AS417" s="28"/>
    </row>
    <row r="418" spans="1:45" x14ac:dyDescent="0.35">
      <c r="A418" s="29"/>
      <c r="B418" s="22"/>
      <c r="C418" s="22"/>
      <c r="D418" s="22"/>
      <c r="E418" s="22"/>
      <c r="F418" s="22"/>
      <c r="G418" s="22"/>
      <c r="H418" s="22"/>
      <c r="I418" s="22"/>
      <c r="J418" s="22"/>
      <c r="K418" s="29"/>
      <c r="L418" s="22"/>
      <c r="M418" s="30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1"/>
      <c r="AP418" s="26"/>
      <c r="AQ418" s="27"/>
      <c r="AR418" s="21"/>
      <c r="AS418" s="28"/>
    </row>
    <row r="419" spans="1:45" x14ac:dyDescent="0.35">
      <c r="A419" s="29"/>
      <c r="B419" s="22"/>
      <c r="C419" s="22"/>
      <c r="D419" s="22"/>
      <c r="E419" s="22"/>
      <c r="F419" s="22"/>
      <c r="G419" s="22"/>
      <c r="H419" s="22"/>
      <c r="I419" s="22"/>
      <c r="J419" s="22"/>
      <c r="K419" s="29"/>
      <c r="L419" s="22"/>
      <c r="M419" s="30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1"/>
      <c r="AP419" s="26"/>
      <c r="AQ419" s="27"/>
      <c r="AR419" s="21"/>
      <c r="AS419" s="28"/>
    </row>
    <row r="420" spans="1:45" x14ac:dyDescent="0.35">
      <c r="A420" s="29"/>
      <c r="B420" s="22"/>
      <c r="C420" s="22"/>
      <c r="D420" s="22"/>
      <c r="E420" s="22"/>
      <c r="F420" s="22"/>
      <c r="G420" s="22"/>
      <c r="H420" s="22"/>
      <c r="I420" s="22"/>
      <c r="J420" s="22"/>
      <c r="K420" s="29"/>
      <c r="L420" s="22"/>
      <c r="M420" s="30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1"/>
      <c r="AP420" s="26"/>
      <c r="AQ420" s="27"/>
      <c r="AR420" s="21"/>
      <c r="AS420" s="28"/>
    </row>
    <row r="421" spans="1:45" x14ac:dyDescent="0.35">
      <c r="A421" s="29"/>
      <c r="B421" s="22"/>
      <c r="C421" s="22"/>
      <c r="D421" s="22"/>
      <c r="E421" s="22"/>
      <c r="F421" s="22"/>
      <c r="G421" s="22"/>
      <c r="H421" s="22"/>
      <c r="I421" s="22"/>
      <c r="J421" s="22"/>
      <c r="K421" s="29"/>
      <c r="L421" s="22"/>
      <c r="M421" s="30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1"/>
      <c r="AP421" s="26"/>
      <c r="AQ421" s="27"/>
      <c r="AR421" s="21"/>
      <c r="AS421" s="28"/>
    </row>
    <row r="422" spans="1:45" x14ac:dyDescent="0.35">
      <c r="A422" s="29"/>
      <c r="B422" s="22"/>
      <c r="C422" s="22"/>
      <c r="D422" s="22"/>
      <c r="E422" s="22"/>
      <c r="F422" s="22"/>
      <c r="G422" s="22"/>
      <c r="H422" s="22"/>
      <c r="I422" s="22"/>
      <c r="J422" s="22"/>
      <c r="K422" s="29"/>
      <c r="L422" s="22"/>
      <c r="M422" s="30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1"/>
      <c r="AP422" s="26"/>
      <c r="AQ422" s="27"/>
      <c r="AR422" s="21"/>
      <c r="AS422" s="28"/>
    </row>
    <row r="423" spans="1:45" x14ac:dyDescent="0.35">
      <c r="A423" s="29"/>
      <c r="B423" s="22"/>
      <c r="C423" s="22"/>
      <c r="D423" s="22"/>
      <c r="E423" s="22"/>
      <c r="F423" s="22"/>
      <c r="G423" s="22"/>
      <c r="H423" s="22"/>
      <c r="I423" s="22"/>
      <c r="J423" s="22"/>
      <c r="K423" s="29"/>
      <c r="L423" s="22"/>
      <c r="M423" s="30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1"/>
      <c r="AP423" s="26"/>
      <c r="AQ423" s="27"/>
      <c r="AR423" s="21"/>
      <c r="AS423" s="28"/>
    </row>
    <row r="424" spans="1:45" x14ac:dyDescent="0.35">
      <c r="A424" s="29"/>
      <c r="B424" s="22"/>
      <c r="C424" s="22"/>
      <c r="D424" s="22"/>
      <c r="E424" s="22"/>
      <c r="F424" s="22"/>
      <c r="G424" s="22"/>
      <c r="H424" s="22"/>
      <c r="I424" s="22"/>
      <c r="J424" s="22"/>
      <c r="K424" s="29"/>
      <c r="L424" s="22"/>
      <c r="M424" s="30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1"/>
      <c r="AP424" s="26"/>
      <c r="AQ424" s="27"/>
      <c r="AR424" s="21"/>
      <c r="AS424" s="28"/>
    </row>
    <row r="425" spans="1:45" x14ac:dyDescent="0.35">
      <c r="A425" s="29"/>
      <c r="B425" s="22"/>
      <c r="C425" s="22"/>
      <c r="D425" s="22"/>
      <c r="E425" s="22"/>
      <c r="F425" s="22"/>
      <c r="G425" s="22"/>
      <c r="H425" s="22"/>
      <c r="I425" s="22"/>
      <c r="J425" s="22"/>
      <c r="K425" s="29"/>
      <c r="L425" s="22"/>
      <c r="M425" s="30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1"/>
      <c r="AP425" s="26"/>
      <c r="AQ425" s="27"/>
      <c r="AR425" s="21"/>
      <c r="AS425" s="28"/>
    </row>
    <row r="426" spans="1:45" x14ac:dyDescent="0.35">
      <c r="A426" s="29"/>
      <c r="B426" s="22"/>
      <c r="C426" s="22"/>
      <c r="D426" s="22"/>
      <c r="E426" s="22"/>
      <c r="F426" s="22"/>
      <c r="G426" s="22"/>
      <c r="H426" s="22"/>
      <c r="I426" s="22"/>
      <c r="J426" s="22"/>
      <c r="K426" s="29"/>
      <c r="L426" s="22"/>
      <c r="M426" s="30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1"/>
      <c r="AP426" s="26"/>
      <c r="AQ426" s="27"/>
      <c r="AR426" s="21"/>
      <c r="AS426" s="28"/>
    </row>
    <row r="427" spans="1:45" x14ac:dyDescent="0.35">
      <c r="A427" s="29"/>
      <c r="B427" s="22"/>
      <c r="C427" s="22"/>
      <c r="D427" s="22"/>
      <c r="E427" s="22"/>
      <c r="F427" s="22"/>
      <c r="G427" s="22"/>
      <c r="H427" s="22"/>
      <c r="I427" s="22"/>
      <c r="J427" s="22"/>
      <c r="K427" s="29"/>
      <c r="L427" s="22"/>
      <c r="M427" s="30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1"/>
      <c r="AP427" s="26"/>
      <c r="AQ427" s="27"/>
      <c r="AR427" s="21"/>
      <c r="AS427" s="28"/>
    </row>
    <row r="428" spans="1:45" x14ac:dyDescent="0.35">
      <c r="A428" s="29"/>
      <c r="B428" s="22"/>
      <c r="C428" s="22"/>
      <c r="D428" s="22"/>
      <c r="E428" s="22"/>
      <c r="F428" s="22"/>
      <c r="G428" s="22"/>
      <c r="H428" s="22"/>
      <c r="I428" s="22"/>
      <c r="J428" s="22"/>
      <c r="K428" s="29"/>
      <c r="L428" s="22"/>
      <c r="M428" s="30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1"/>
      <c r="AP428" s="26"/>
      <c r="AQ428" s="27"/>
      <c r="AR428" s="21"/>
      <c r="AS428" s="28"/>
    </row>
    <row r="429" spans="1:45" x14ac:dyDescent="0.35">
      <c r="A429" s="29"/>
      <c r="B429" s="22"/>
      <c r="C429" s="22"/>
      <c r="D429" s="22"/>
      <c r="E429" s="22"/>
      <c r="F429" s="22"/>
      <c r="G429" s="22"/>
      <c r="H429" s="22"/>
      <c r="I429" s="22"/>
      <c r="J429" s="22"/>
      <c r="K429" s="29"/>
      <c r="L429" s="22"/>
      <c r="M429" s="30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1"/>
      <c r="AP429" s="26"/>
      <c r="AQ429" s="27"/>
      <c r="AR429" s="21"/>
      <c r="AS429" s="28"/>
    </row>
    <row r="430" spans="1:45" x14ac:dyDescent="0.35">
      <c r="A430" s="29"/>
      <c r="B430" s="22"/>
      <c r="C430" s="22"/>
      <c r="D430" s="22"/>
      <c r="E430" s="22"/>
      <c r="F430" s="22"/>
      <c r="G430" s="22"/>
      <c r="H430" s="22"/>
      <c r="I430" s="22"/>
      <c r="J430" s="22"/>
      <c r="K430" s="29"/>
      <c r="L430" s="22"/>
      <c r="M430" s="30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1"/>
      <c r="AP430" s="26"/>
      <c r="AQ430" s="27"/>
      <c r="AR430" s="21"/>
      <c r="AS430" s="28"/>
    </row>
    <row r="431" spans="1:45" x14ac:dyDescent="0.35">
      <c r="A431" s="29"/>
      <c r="B431" s="22"/>
      <c r="C431" s="22"/>
      <c r="D431" s="22"/>
      <c r="E431" s="22"/>
      <c r="F431" s="22"/>
      <c r="G431" s="22"/>
      <c r="H431" s="22"/>
      <c r="I431" s="22"/>
      <c r="J431" s="22"/>
      <c r="K431" s="29"/>
      <c r="L431" s="22"/>
      <c r="M431" s="30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1"/>
      <c r="AP431" s="26"/>
      <c r="AQ431" s="27"/>
      <c r="AR431" s="21"/>
      <c r="AS431" s="28"/>
    </row>
    <row r="432" spans="1:45" x14ac:dyDescent="0.35">
      <c r="A432" s="29"/>
      <c r="B432" s="22"/>
      <c r="C432" s="22"/>
      <c r="D432" s="22"/>
      <c r="E432" s="22"/>
      <c r="F432" s="22"/>
      <c r="G432" s="22"/>
      <c r="H432" s="22"/>
      <c r="I432" s="22"/>
      <c r="J432" s="22"/>
      <c r="K432" s="29"/>
      <c r="L432" s="22"/>
      <c r="M432" s="30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1"/>
      <c r="AP432" s="26"/>
      <c r="AQ432" s="27"/>
      <c r="AR432" s="21"/>
      <c r="AS432" s="28"/>
    </row>
    <row r="433" spans="1:45" x14ac:dyDescent="0.35">
      <c r="A433" s="29"/>
      <c r="B433" s="22"/>
      <c r="C433" s="22"/>
      <c r="D433" s="22"/>
      <c r="E433" s="22"/>
      <c r="F433" s="22"/>
      <c r="G433" s="22"/>
      <c r="H433" s="22"/>
      <c r="I433" s="22"/>
      <c r="J433" s="22"/>
      <c r="K433" s="29"/>
      <c r="L433" s="22"/>
      <c r="M433" s="30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1"/>
      <c r="AP433" s="26"/>
      <c r="AQ433" s="27"/>
      <c r="AR433" s="21"/>
      <c r="AS433" s="28"/>
    </row>
    <row r="434" spans="1:45" x14ac:dyDescent="0.35">
      <c r="A434" s="29"/>
      <c r="B434" s="22"/>
      <c r="C434" s="22"/>
      <c r="D434" s="22"/>
      <c r="E434" s="22"/>
      <c r="F434" s="22"/>
      <c r="G434" s="22"/>
      <c r="H434" s="22"/>
      <c r="I434" s="22"/>
      <c r="J434" s="22"/>
      <c r="K434" s="29"/>
      <c r="L434" s="22"/>
      <c r="M434" s="30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  <c r="AO434" s="21"/>
      <c r="AP434" s="26"/>
      <c r="AQ434" s="27"/>
      <c r="AR434" s="21"/>
      <c r="AS434" s="28"/>
    </row>
    <row r="435" spans="1:45" x14ac:dyDescent="0.35">
      <c r="A435" s="29"/>
      <c r="B435" s="22"/>
      <c r="C435" s="22"/>
      <c r="D435" s="22"/>
      <c r="E435" s="22"/>
      <c r="F435" s="22"/>
      <c r="G435" s="22"/>
      <c r="H435" s="22"/>
      <c r="I435" s="22"/>
      <c r="J435" s="22"/>
      <c r="K435" s="29"/>
      <c r="L435" s="22"/>
      <c r="M435" s="30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  <c r="AO435" s="21"/>
      <c r="AP435" s="26"/>
      <c r="AQ435" s="27"/>
      <c r="AR435" s="21"/>
      <c r="AS435" s="28"/>
    </row>
    <row r="436" spans="1:45" x14ac:dyDescent="0.35">
      <c r="A436" s="29"/>
      <c r="B436" s="22"/>
      <c r="C436" s="22"/>
      <c r="D436" s="22"/>
      <c r="E436" s="22"/>
      <c r="F436" s="22"/>
      <c r="G436" s="22"/>
      <c r="H436" s="22"/>
      <c r="I436" s="22"/>
      <c r="J436" s="22"/>
      <c r="K436" s="29"/>
      <c r="L436" s="22"/>
      <c r="M436" s="30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  <c r="AO436" s="21"/>
      <c r="AP436" s="26"/>
      <c r="AQ436" s="27"/>
      <c r="AR436" s="21"/>
      <c r="AS436" s="28"/>
    </row>
    <row r="437" spans="1:45" x14ac:dyDescent="0.35">
      <c r="A437" s="29"/>
      <c r="B437" s="22"/>
      <c r="C437" s="22"/>
      <c r="D437" s="22"/>
      <c r="E437" s="22"/>
      <c r="F437" s="22"/>
      <c r="G437" s="22"/>
      <c r="H437" s="22"/>
      <c r="I437" s="22"/>
      <c r="J437" s="22"/>
      <c r="K437" s="29"/>
      <c r="L437" s="22"/>
      <c r="M437" s="30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  <c r="AO437" s="21"/>
      <c r="AP437" s="26"/>
      <c r="AQ437" s="27"/>
      <c r="AR437" s="21"/>
      <c r="AS437" s="28"/>
    </row>
    <row r="438" spans="1:45" x14ac:dyDescent="0.35">
      <c r="A438" s="29"/>
      <c r="B438" s="22"/>
      <c r="C438" s="22"/>
      <c r="D438" s="22"/>
      <c r="E438" s="22"/>
      <c r="F438" s="22"/>
      <c r="G438" s="22"/>
      <c r="H438" s="22"/>
      <c r="I438" s="22"/>
      <c r="J438" s="22"/>
      <c r="K438" s="29"/>
      <c r="L438" s="22"/>
      <c r="M438" s="30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  <c r="AO438" s="21"/>
      <c r="AP438" s="26"/>
      <c r="AQ438" s="27"/>
      <c r="AR438" s="21"/>
      <c r="AS438" s="28"/>
    </row>
    <row r="439" spans="1:45" x14ac:dyDescent="0.35">
      <c r="A439" s="29"/>
      <c r="B439" s="22"/>
      <c r="C439" s="22"/>
      <c r="D439" s="22"/>
      <c r="E439" s="22"/>
      <c r="F439" s="22"/>
      <c r="G439" s="22"/>
      <c r="H439" s="22"/>
      <c r="I439" s="22"/>
      <c r="J439" s="22"/>
      <c r="K439" s="29"/>
      <c r="L439" s="22"/>
      <c r="M439" s="30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1"/>
      <c r="AP439" s="26"/>
      <c r="AQ439" s="27"/>
      <c r="AR439" s="21"/>
      <c r="AS439" s="28"/>
    </row>
    <row r="440" spans="1:45" x14ac:dyDescent="0.35">
      <c r="A440" s="29"/>
      <c r="B440" s="22"/>
      <c r="C440" s="22"/>
      <c r="D440" s="22"/>
      <c r="E440" s="22"/>
      <c r="F440" s="22"/>
      <c r="G440" s="22"/>
      <c r="H440" s="22"/>
      <c r="I440" s="22"/>
      <c r="J440" s="22"/>
      <c r="K440" s="29"/>
      <c r="L440" s="22"/>
      <c r="M440" s="30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  <c r="AO440" s="21"/>
      <c r="AP440" s="26"/>
      <c r="AQ440" s="27"/>
      <c r="AR440" s="21"/>
      <c r="AS440" s="28"/>
    </row>
    <row r="441" spans="1:45" x14ac:dyDescent="0.35">
      <c r="A441" s="29"/>
      <c r="B441" s="22"/>
      <c r="C441" s="22"/>
      <c r="D441" s="22"/>
      <c r="E441" s="22"/>
      <c r="F441" s="22"/>
      <c r="G441" s="22"/>
      <c r="H441" s="22"/>
      <c r="I441" s="22"/>
      <c r="J441" s="22"/>
      <c r="K441" s="29"/>
      <c r="L441" s="22"/>
      <c r="M441" s="30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1"/>
      <c r="AP441" s="26"/>
      <c r="AQ441" s="27"/>
      <c r="AR441" s="21"/>
      <c r="AS441" s="28"/>
    </row>
    <row r="442" spans="1:45" x14ac:dyDescent="0.35">
      <c r="A442" s="29"/>
      <c r="B442" s="22"/>
      <c r="C442" s="22"/>
      <c r="D442" s="22"/>
      <c r="E442" s="22"/>
      <c r="F442" s="22"/>
      <c r="G442" s="22"/>
      <c r="H442" s="22"/>
      <c r="I442" s="22"/>
      <c r="J442" s="22"/>
      <c r="K442" s="29"/>
      <c r="L442" s="22"/>
      <c r="M442" s="30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  <c r="AO442" s="21"/>
      <c r="AP442" s="26"/>
      <c r="AQ442" s="27"/>
      <c r="AR442" s="21"/>
      <c r="AS442" s="28"/>
    </row>
    <row r="443" spans="1:45" x14ac:dyDescent="0.35">
      <c r="A443" s="29"/>
      <c r="B443" s="22"/>
      <c r="C443" s="22"/>
      <c r="D443" s="22"/>
      <c r="E443" s="22"/>
      <c r="F443" s="22"/>
      <c r="G443" s="22"/>
      <c r="H443" s="22"/>
      <c r="I443" s="22"/>
      <c r="J443" s="22"/>
      <c r="K443" s="29"/>
      <c r="L443" s="22"/>
      <c r="M443" s="30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  <c r="AO443" s="21"/>
      <c r="AP443" s="26"/>
      <c r="AQ443" s="27"/>
      <c r="AR443" s="21"/>
      <c r="AS443" s="28"/>
    </row>
    <row r="444" spans="1:45" x14ac:dyDescent="0.35">
      <c r="A444" s="29"/>
      <c r="B444" s="22"/>
      <c r="C444" s="22"/>
      <c r="D444" s="22"/>
      <c r="E444" s="22"/>
      <c r="F444" s="22"/>
      <c r="G444" s="22"/>
      <c r="H444" s="22"/>
      <c r="I444" s="22"/>
      <c r="J444" s="22"/>
      <c r="K444" s="29"/>
      <c r="L444" s="22"/>
      <c r="M444" s="30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  <c r="AO444" s="21"/>
      <c r="AP444" s="26"/>
      <c r="AQ444" s="27"/>
      <c r="AR444" s="21"/>
      <c r="AS444" s="28"/>
    </row>
    <row r="445" spans="1:45" x14ac:dyDescent="0.35">
      <c r="A445" s="29"/>
      <c r="B445" s="22"/>
      <c r="C445" s="22"/>
      <c r="D445" s="22"/>
      <c r="E445" s="22"/>
      <c r="F445" s="22"/>
      <c r="G445" s="22"/>
      <c r="H445" s="22"/>
      <c r="I445" s="22"/>
      <c r="J445" s="22"/>
      <c r="K445" s="29"/>
      <c r="L445" s="22"/>
      <c r="M445" s="30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1"/>
      <c r="AP445" s="26"/>
      <c r="AQ445" s="27"/>
      <c r="AR445" s="21"/>
      <c r="AS445" s="28"/>
    </row>
    <row r="446" spans="1:45" x14ac:dyDescent="0.35">
      <c r="A446" s="29"/>
      <c r="B446" s="22"/>
      <c r="C446" s="22"/>
      <c r="D446" s="22"/>
      <c r="E446" s="22"/>
      <c r="F446" s="22"/>
      <c r="G446" s="22"/>
      <c r="H446" s="22"/>
      <c r="I446" s="22"/>
      <c r="J446" s="22"/>
      <c r="K446" s="29"/>
      <c r="L446" s="22"/>
      <c r="M446" s="30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  <c r="AO446" s="21"/>
      <c r="AP446" s="26"/>
      <c r="AQ446" s="27"/>
      <c r="AR446" s="21"/>
      <c r="AS446" s="28"/>
    </row>
    <row r="447" spans="1:45" x14ac:dyDescent="0.35">
      <c r="A447" s="29"/>
      <c r="B447" s="22"/>
      <c r="C447" s="22"/>
      <c r="D447" s="22"/>
      <c r="E447" s="22"/>
      <c r="F447" s="22"/>
      <c r="G447" s="22"/>
      <c r="H447" s="22"/>
      <c r="I447" s="22"/>
      <c r="J447" s="22"/>
      <c r="K447" s="29"/>
      <c r="L447" s="22"/>
      <c r="M447" s="30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1"/>
      <c r="AP447" s="26"/>
      <c r="AQ447" s="27"/>
      <c r="AR447" s="21"/>
      <c r="AS447" s="28"/>
    </row>
    <row r="448" spans="1:45" x14ac:dyDescent="0.35">
      <c r="A448" s="29"/>
      <c r="B448" s="22"/>
      <c r="C448" s="22"/>
      <c r="D448" s="22"/>
      <c r="E448" s="22"/>
      <c r="F448" s="22"/>
      <c r="G448" s="22"/>
      <c r="H448" s="22"/>
      <c r="I448" s="22"/>
      <c r="J448" s="22"/>
      <c r="K448" s="29"/>
      <c r="L448" s="22"/>
      <c r="M448" s="30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1"/>
      <c r="AP448" s="26"/>
      <c r="AQ448" s="27"/>
      <c r="AR448" s="21"/>
      <c r="AS448" s="28"/>
    </row>
    <row r="449" spans="1:45" x14ac:dyDescent="0.35">
      <c r="A449" s="29"/>
      <c r="B449" s="22"/>
      <c r="C449" s="22"/>
      <c r="D449" s="22"/>
      <c r="E449" s="22"/>
      <c r="F449" s="22"/>
      <c r="G449" s="22"/>
      <c r="H449" s="22"/>
      <c r="I449" s="22"/>
      <c r="J449" s="22"/>
      <c r="K449" s="29"/>
      <c r="L449" s="22"/>
      <c r="M449" s="30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1"/>
      <c r="AP449" s="26"/>
      <c r="AQ449" s="27"/>
      <c r="AR449" s="21"/>
      <c r="AS449" s="28"/>
    </row>
    <row r="450" spans="1:45" x14ac:dyDescent="0.35">
      <c r="A450" s="29"/>
      <c r="B450" s="22"/>
      <c r="C450" s="22"/>
      <c r="D450" s="22"/>
      <c r="E450" s="22"/>
      <c r="F450" s="22"/>
      <c r="G450" s="22"/>
      <c r="H450" s="22"/>
      <c r="I450" s="22"/>
      <c r="J450" s="22"/>
      <c r="K450" s="29"/>
      <c r="L450" s="22"/>
      <c r="M450" s="30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1"/>
      <c r="AP450" s="26"/>
      <c r="AQ450" s="27"/>
      <c r="AR450" s="21"/>
      <c r="AS450" s="28"/>
    </row>
    <row r="451" spans="1:45" x14ac:dyDescent="0.35">
      <c r="A451" s="29"/>
      <c r="B451" s="22"/>
      <c r="C451" s="22"/>
      <c r="D451" s="22"/>
      <c r="E451" s="22"/>
      <c r="F451" s="22"/>
      <c r="G451" s="22"/>
      <c r="H451" s="22"/>
      <c r="I451" s="22"/>
      <c r="J451" s="22"/>
      <c r="K451" s="29"/>
      <c r="L451" s="22"/>
      <c r="M451" s="30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1"/>
      <c r="AP451" s="26"/>
      <c r="AQ451" s="27"/>
      <c r="AR451" s="21"/>
      <c r="AS451" s="28"/>
    </row>
    <row r="452" spans="1:45" x14ac:dyDescent="0.35">
      <c r="A452" s="24"/>
      <c r="B452" s="21"/>
      <c r="C452" s="21"/>
      <c r="D452" s="21"/>
      <c r="E452" s="21"/>
      <c r="F452" s="21"/>
      <c r="G452" s="21"/>
      <c r="H452" s="21"/>
      <c r="I452" s="21"/>
      <c r="J452" s="21"/>
      <c r="K452" s="24"/>
      <c r="L452" s="21"/>
      <c r="M452" s="25"/>
      <c r="N452" s="21"/>
      <c r="O452" s="21"/>
      <c r="P452" s="21"/>
      <c r="Q452" s="21"/>
      <c r="R452" s="21"/>
      <c r="S452" s="21"/>
      <c r="T452" s="21"/>
      <c r="U452" s="21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  <c r="AO452" s="21"/>
      <c r="AP452" s="26"/>
      <c r="AQ452" s="27"/>
      <c r="AR452" s="21"/>
      <c r="AS452" s="28"/>
    </row>
    <row r="453" spans="1:45" x14ac:dyDescent="0.35">
      <c r="A453" s="24"/>
      <c r="B453" s="21"/>
      <c r="C453" s="21"/>
      <c r="D453" s="21"/>
      <c r="E453" s="21"/>
      <c r="F453" s="21"/>
      <c r="G453" s="21"/>
      <c r="H453" s="21"/>
      <c r="I453" s="21"/>
      <c r="J453" s="21"/>
      <c r="K453" s="24"/>
      <c r="L453" s="21"/>
      <c r="M453" s="25"/>
      <c r="N453" s="21"/>
      <c r="O453" s="21"/>
      <c r="P453" s="21"/>
      <c r="Q453" s="21"/>
      <c r="R453" s="21"/>
      <c r="S453" s="2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6"/>
      <c r="AQ453" s="27"/>
      <c r="AR453" s="21"/>
      <c r="AS453" s="28"/>
    </row>
    <row r="454" spans="1:45" x14ac:dyDescent="0.35">
      <c r="A454" s="24"/>
      <c r="B454" s="21"/>
      <c r="C454" s="21"/>
      <c r="D454" s="21"/>
      <c r="E454" s="21"/>
      <c r="F454" s="21"/>
      <c r="G454" s="21"/>
      <c r="H454" s="21"/>
      <c r="I454" s="21"/>
      <c r="J454" s="21"/>
      <c r="K454" s="24"/>
      <c r="L454" s="21"/>
      <c r="M454" s="25"/>
      <c r="N454" s="21"/>
      <c r="O454" s="21"/>
      <c r="P454" s="21"/>
      <c r="Q454" s="21"/>
      <c r="R454" s="21"/>
      <c r="S454" s="21"/>
      <c r="T454" s="21"/>
      <c r="U454" s="21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  <c r="AO454" s="21"/>
      <c r="AP454" s="26"/>
      <c r="AQ454" s="27"/>
      <c r="AR454" s="21"/>
      <c r="AS454" s="28"/>
    </row>
    <row r="455" spans="1:45" x14ac:dyDescent="0.35">
      <c r="A455" s="24"/>
      <c r="B455" s="21"/>
      <c r="C455" s="21"/>
      <c r="D455" s="21"/>
      <c r="E455" s="21"/>
      <c r="F455" s="21"/>
      <c r="G455" s="21"/>
      <c r="H455" s="21"/>
      <c r="I455" s="21"/>
      <c r="J455" s="21"/>
      <c r="K455" s="24"/>
      <c r="L455" s="21"/>
      <c r="M455" s="25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  <c r="AO455" s="21"/>
      <c r="AP455" s="26"/>
      <c r="AQ455" s="27"/>
      <c r="AR455" s="21"/>
      <c r="AS455" s="28"/>
    </row>
    <row r="456" spans="1:45" x14ac:dyDescent="0.35">
      <c r="A456" s="24"/>
      <c r="B456" s="21"/>
      <c r="C456" s="21"/>
      <c r="D456" s="21"/>
      <c r="E456" s="21"/>
      <c r="F456" s="21"/>
      <c r="G456" s="21"/>
      <c r="H456" s="21"/>
      <c r="I456" s="21"/>
      <c r="J456" s="21"/>
      <c r="K456" s="21"/>
      <c r="L456" s="21"/>
      <c r="M456" s="25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  <c r="AF456" s="21"/>
      <c r="AG456" s="21"/>
      <c r="AH456" s="21"/>
      <c r="AI456" s="21"/>
      <c r="AJ456" s="21"/>
      <c r="AK456" s="21"/>
      <c r="AL456" s="21"/>
      <c r="AM456" s="21"/>
      <c r="AN456" s="21"/>
      <c r="AO456" s="21"/>
      <c r="AP456" s="26"/>
      <c r="AQ456" s="27"/>
      <c r="AR456" s="21"/>
      <c r="AS456" s="28"/>
    </row>
    <row r="457" spans="1:45" x14ac:dyDescent="0.35">
      <c r="A457" s="29"/>
      <c r="B457" s="22"/>
      <c r="C457" s="22"/>
      <c r="D457" s="22"/>
      <c r="E457" s="22"/>
      <c r="F457" s="22"/>
      <c r="G457" s="22"/>
      <c r="H457" s="22"/>
      <c r="I457" s="22"/>
      <c r="J457" s="22"/>
      <c r="K457" s="29"/>
      <c r="L457" s="22"/>
      <c r="M457" s="30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1"/>
      <c r="AP457" s="26"/>
      <c r="AQ457" s="27"/>
      <c r="AR457" s="21"/>
      <c r="AS457" s="28"/>
    </row>
    <row r="458" spans="1:45" x14ac:dyDescent="0.35">
      <c r="A458" s="24"/>
      <c r="B458" s="21"/>
      <c r="C458" s="21"/>
      <c r="D458" s="21"/>
      <c r="E458" s="21"/>
      <c r="F458" s="21"/>
      <c r="G458" s="21"/>
      <c r="H458" s="21"/>
      <c r="I458" s="21"/>
      <c r="J458" s="21"/>
      <c r="K458" s="24"/>
      <c r="L458" s="21"/>
      <c r="M458" s="25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  <c r="AO458" s="21"/>
      <c r="AP458" s="26"/>
      <c r="AQ458" s="27"/>
      <c r="AR458" s="21"/>
      <c r="AS458" s="28"/>
    </row>
    <row r="459" spans="1:45" x14ac:dyDescent="0.35">
      <c r="A459" s="29"/>
      <c r="B459" s="22"/>
      <c r="C459" s="22"/>
      <c r="D459" s="22"/>
      <c r="E459" s="22"/>
      <c r="F459" s="22"/>
      <c r="G459" s="22"/>
      <c r="H459" s="22"/>
      <c r="I459" s="22"/>
      <c r="J459" s="22"/>
      <c r="K459" s="29"/>
      <c r="L459" s="22"/>
      <c r="M459" s="30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22"/>
      <c r="AM459" s="22"/>
      <c r="AN459" s="22"/>
      <c r="AO459" s="21"/>
      <c r="AP459" s="26"/>
      <c r="AQ459" s="27"/>
      <c r="AR459" s="21"/>
      <c r="AS459" s="28"/>
    </row>
    <row r="460" spans="1:45" x14ac:dyDescent="0.35">
      <c r="A460" s="24"/>
      <c r="B460" s="21"/>
      <c r="C460" s="21"/>
      <c r="D460" s="21"/>
      <c r="E460" s="21"/>
      <c r="F460" s="21"/>
      <c r="G460" s="21"/>
      <c r="H460" s="21"/>
      <c r="I460" s="21"/>
      <c r="J460" s="21"/>
      <c r="K460" s="21"/>
      <c r="L460" s="21"/>
      <c r="M460" s="25"/>
      <c r="N460" s="21"/>
      <c r="O460" s="21"/>
      <c r="P460" s="21"/>
      <c r="Q460" s="21"/>
      <c r="R460" s="21"/>
      <c r="S460" s="21"/>
      <c r="T460" s="21"/>
      <c r="U460" s="21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6"/>
      <c r="AQ460" s="27"/>
      <c r="AR460" s="21"/>
      <c r="AS460" s="28"/>
    </row>
    <row r="461" spans="1:45" x14ac:dyDescent="0.35">
      <c r="A461" s="24"/>
      <c r="B461" s="21"/>
      <c r="C461" s="21"/>
      <c r="D461" s="21"/>
      <c r="E461" s="21"/>
      <c r="F461" s="21"/>
      <c r="G461" s="21"/>
      <c r="H461" s="21"/>
      <c r="I461" s="21"/>
      <c r="J461" s="21"/>
      <c r="K461" s="24"/>
      <c r="L461" s="21"/>
      <c r="M461" s="25"/>
      <c r="N461" s="21"/>
      <c r="O461" s="21"/>
      <c r="P461" s="21"/>
      <c r="Q461" s="21"/>
      <c r="R461" s="21"/>
      <c r="S461" s="21"/>
      <c r="T461" s="21"/>
      <c r="U461" s="21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6"/>
      <c r="AQ461" s="27"/>
      <c r="AR461" s="21"/>
      <c r="AS461" s="28"/>
    </row>
    <row r="462" spans="1:45" x14ac:dyDescent="0.35">
      <c r="A462" s="24"/>
      <c r="B462" s="21"/>
      <c r="C462" s="21"/>
      <c r="D462" s="21"/>
      <c r="E462" s="21"/>
      <c r="F462" s="21"/>
      <c r="G462" s="21"/>
      <c r="H462" s="21"/>
      <c r="I462" s="21"/>
      <c r="J462" s="21"/>
      <c r="K462" s="21"/>
      <c r="L462" s="21"/>
      <c r="M462" s="25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6"/>
      <c r="AQ462" s="27"/>
      <c r="AR462" s="21"/>
      <c r="AS462" s="28"/>
    </row>
    <row r="463" spans="1:45" x14ac:dyDescent="0.35">
      <c r="A463" s="24"/>
      <c r="B463" s="21"/>
      <c r="C463" s="21"/>
      <c r="D463" s="21"/>
      <c r="E463" s="21"/>
      <c r="F463" s="21"/>
      <c r="G463" s="21"/>
      <c r="H463" s="21"/>
      <c r="I463" s="21"/>
      <c r="J463" s="21"/>
      <c r="K463" s="24"/>
      <c r="L463" s="21"/>
      <c r="M463" s="25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6"/>
      <c r="AQ463" s="27"/>
      <c r="AR463" s="21"/>
      <c r="AS463" s="28"/>
    </row>
    <row r="464" spans="1:45" x14ac:dyDescent="0.35">
      <c r="A464" s="24"/>
      <c r="B464" s="21"/>
      <c r="C464" s="21"/>
      <c r="D464" s="21"/>
      <c r="E464" s="21"/>
      <c r="F464" s="21"/>
      <c r="G464" s="21"/>
      <c r="H464" s="21"/>
      <c r="I464" s="21"/>
      <c r="J464" s="21"/>
      <c r="K464" s="24"/>
      <c r="L464" s="21"/>
      <c r="M464" s="25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  <c r="AF464" s="21"/>
      <c r="AG464" s="21"/>
      <c r="AH464" s="21"/>
      <c r="AI464" s="21"/>
      <c r="AJ464" s="21"/>
      <c r="AK464" s="21"/>
      <c r="AL464" s="21"/>
      <c r="AM464" s="21"/>
      <c r="AN464" s="21"/>
      <c r="AO464" s="21"/>
      <c r="AP464" s="26"/>
      <c r="AQ464" s="27"/>
      <c r="AR464" s="21"/>
      <c r="AS464" s="28"/>
    </row>
    <row r="465" spans="1:45" x14ac:dyDescent="0.35">
      <c r="A465" s="24"/>
      <c r="B465" s="21"/>
      <c r="C465" s="21"/>
      <c r="D465" s="21"/>
      <c r="E465" s="21"/>
      <c r="F465" s="21"/>
      <c r="G465" s="21"/>
      <c r="H465" s="21"/>
      <c r="I465" s="21"/>
      <c r="J465" s="21"/>
      <c r="K465" s="24"/>
      <c r="L465" s="21"/>
      <c r="M465" s="25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6"/>
      <c r="AQ465" s="27"/>
      <c r="AR465" s="21"/>
      <c r="AS465" s="28"/>
    </row>
    <row r="466" spans="1:45" x14ac:dyDescent="0.35">
      <c r="A466" s="24"/>
      <c r="B466" s="21"/>
      <c r="C466" s="21"/>
      <c r="D466" s="21"/>
      <c r="E466" s="21"/>
      <c r="F466" s="21"/>
      <c r="G466" s="21"/>
      <c r="H466" s="21"/>
      <c r="I466" s="21"/>
      <c r="J466" s="21"/>
      <c r="K466" s="21"/>
      <c r="L466" s="21"/>
      <c r="M466" s="25"/>
      <c r="N466" s="21"/>
      <c r="O466" s="21"/>
      <c r="P466" s="21"/>
      <c r="Q466" s="21"/>
      <c r="R466" s="21"/>
      <c r="S466" s="21"/>
      <c r="T466" s="21"/>
      <c r="U466" s="21"/>
      <c r="V466" s="21"/>
      <c r="W466" s="21"/>
      <c r="X466" s="21"/>
      <c r="Y466" s="21"/>
      <c r="Z466" s="21"/>
      <c r="AA466" s="21"/>
      <c r="AB466" s="21"/>
      <c r="AC466" s="21"/>
      <c r="AD466" s="21"/>
      <c r="AE466" s="21"/>
      <c r="AF466" s="21"/>
      <c r="AG466" s="21"/>
      <c r="AH466" s="21"/>
      <c r="AI466" s="21"/>
      <c r="AJ466" s="21"/>
      <c r="AK466" s="21"/>
      <c r="AL466" s="21"/>
      <c r="AM466" s="21"/>
      <c r="AN466" s="21"/>
      <c r="AO466" s="21"/>
      <c r="AP466" s="26"/>
      <c r="AQ466" s="27"/>
      <c r="AR466" s="21"/>
      <c r="AS466" s="28"/>
    </row>
    <row r="467" spans="1:45" x14ac:dyDescent="0.35">
      <c r="A467" s="29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30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22"/>
      <c r="AM467" s="22"/>
      <c r="AN467" s="22"/>
      <c r="AO467" s="21"/>
      <c r="AP467" s="26"/>
      <c r="AQ467" s="27"/>
      <c r="AR467" s="21"/>
      <c r="AS467" s="28"/>
    </row>
    <row r="468" spans="1:45" x14ac:dyDescent="0.35">
      <c r="A468" s="24"/>
      <c r="B468" s="21"/>
      <c r="C468" s="21"/>
      <c r="D468" s="21"/>
      <c r="E468" s="21"/>
      <c r="F468" s="21"/>
      <c r="G468" s="21"/>
      <c r="H468" s="21"/>
      <c r="I468" s="21"/>
      <c r="J468" s="21"/>
      <c r="K468" s="21"/>
      <c r="L468" s="21"/>
      <c r="M468" s="25"/>
      <c r="N468" s="21"/>
      <c r="O468" s="21"/>
      <c r="P468" s="21"/>
      <c r="Q468" s="21"/>
      <c r="R468" s="21"/>
      <c r="S468" s="21"/>
      <c r="T468" s="21"/>
      <c r="U468" s="21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6"/>
      <c r="AQ468" s="27"/>
      <c r="AR468" s="21"/>
      <c r="AS468" s="28"/>
    </row>
    <row r="469" spans="1:45" x14ac:dyDescent="0.35">
      <c r="A469" s="24"/>
      <c r="B469" s="21"/>
      <c r="C469" s="21"/>
      <c r="D469" s="21"/>
      <c r="E469" s="21"/>
      <c r="F469" s="21"/>
      <c r="G469" s="21"/>
      <c r="H469" s="21"/>
      <c r="I469" s="21"/>
      <c r="J469" s="21"/>
      <c r="K469" s="24"/>
      <c r="L469" s="21"/>
      <c r="M469" s="25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6"/>
      <c r="AQ469" s="27"/>
      <c r="AR469" s="21"/>
      <c r="AS469" s="28"/>
    </row>
    <row r="470" spans="1:45" x14ac:dyDescent="0.35">
      <c r="A470" s="24"/>
      <c r="B470" s="21"/>
      <c r="C470" s="21"/>
      <c r="D470" s="21"/>
      <c r="E470" s="21"/>
      <c r="F470" s="21"/>
      <c r="G470" s="21"/>
      <c r="H470" s="21"/>
      <c r="I470" s="21"/>
      <c r="J470" s="21"/>
      <c r="K470" s="24"/>
      <c r="L470" s="21"/>
      <c r="M470" s="25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6"/>
      <c r="AQ470" s="27"/>
      <c r="AR470" s="21"/>
      <c r="AS470" s="28"/>
    </row>
    <row r="471" spans="1:45" x14ac:dyDescent="0.35">
      <c r="A471" s="24"/>
      <c r="B471" s="21"/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5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6"/>
      <c r="AQ471" s="27"/>
      <c r="AR471" s="21"/>
      <c r="AS471" s="28"/>
    </row>
    <row r="472" spans="1:45" x14ac:dyDescent="0.35">
      <c r="A472" s="24"/>
      <c r="B472" s="21"/>
      <c r="C472" s="21"/>
      <c r="D472" s="21"/>
      <c r="E472" s="21"/>
      <c r="F472" s="21"/>
      <c r="G472" s="21"/>
      <c r="H472" s="21"/>
      <c r="I472" s="21"/>
      <c r="J472" s="21"/>
      <c r="K472" s="24"/>
      <c r="L472" s="21"/>
      <c r="M472" s="25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6"/>
      <c r="AQ472" s="27"/>
      <c r="AR472" s="21"/>
      <c r="AS472" s="28"/>
    </row>
    <row r="473" spans="1:45" x14ac:dyDescent="0.35">
      <c r="A473" s="29"/>
      <c r="B473" s="22"/>
      <c r="C473" s="22"/>
      <c r="D473" s="22"/>
      <c r="E473" s="22"/>
      <c r="F473" s="22"/>
      <c r="G473" s="22"/>
      <c r="H473" s="22"/>
      <c r="I473" s="22"/>
      <c r="J473" s="22"/>
      <c r="K473" s="29"/>
      <c r="L473" s="22"/>
      <c r="M473" s="30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22"/>
      <c r="AM473" s="22"/>
      <c r="AN473" s="22"/>
      <c r="AO473" s="21"/>
      <c r="AP473" s="26"/>
      <c r="AQ473" s="27"/>
      <c r="AR473" s="21"/>
      <c r="AS473" s="28"/>
    </row>
    <row r="474" spans="1:45" x14ac:dyDescent="0.35">
      <c r="A474" s="24"/>
      <c r="B474" s="21"/>
      <c r="C474" s="21"/>
      <c r="D474" s="21"/>
      <c r="E474" s="21"/>
      <c r="F474" s="21"/>
      <c r="G474" s="21"/>
      <c r="H474" s="21"/>
      <c r="I474" s="21"/>
      <c r="J474" s="21"/>
      <c r="K474" s="24"/>
      <c r="L474" s="21"/>
      <c r="M474" s="25"/>
      <c r="N474" s="21"/>
      <c r="O474" s="21"/>
      <c r="P474" s="21"/>
      <c r="Q474" s="21"/>
      <c r="R474" s="21"/>
      <c r="S474" s="21"/>
      <c r="T474" s="21"/>
      <c r="U474" s="21"/>
      <c r="V474" s="21"/>
      <c r="W474" s="21"/>
      <c r="X474" s="21"/>
      <c r="Y474" s="21"/>
      <c r="Z474" s="21"/>
      <c r="AA474" s="21"/>
      <c r="AB474" s="21"/>
      <c r="AC474" s="21"/>
      <c r="AD474" s="21"/>
      <c r="AE474" s="21"/>
      <c r="AF474" s="21"/>
      <c r="AG474" s="21"/>
      <c r="AH474" s="21"/>
      <c r="AI474" s="21"/>
      <c r="AJ474" s="21"/>
      <c r="AK474" s="21"/>
      <c r="AL474" s="21"/>
      <c r="AM474" s="21"/>
      <c r="AN474" s="21"/>
      <c r="AO474" s="21"/>
      <c r="AP474" s="26"/>
      <c r="AQ474" s="27"/>
      <c r="AR474" s="21"/>
      <c r="AS474" s="28"/>
    </row>
    <row r="475" spans="1:45" x14ac:dyDescent="0.35">
      <c r="A475" s="24"/>
      <c r="B475" s="21"/>
      <c r="C475" s="21"/>
      <c r="D475" s="21"/>
      <c r="E475" s="21"/>
      <c r="F475" s="21"/>
      <c r="G475" s="21"/>
      <c r="H475" s="21"/>
      <c r="I475" s="21"/>
      <c r="J475" s="21"/>
      <c r="K475" s="24"/>
      <c r="L475" s="21"/>
      <c r="M475" s="25"/>
      <c r="N475" s="21"/>
      <c r="O475" s="21"/>
      <c r="P475" s="21"/>
      <c r="Q475" s="21"/>
      <c r="R475" s="21"/>
      <c r="S475" s="21"/>
      <c r="T475" s="21"/>
      <c r="U475" s="21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6"/>
      <c r="AQ475" s="27"/>
      <c r="AR475" s="21"/>
      <c r="AS475" s="28"/>
    </row>
    <row r="476" spans="1:45" x14ac:dyDescent="0.35">
      <c r="A476" s="24"/>
      <c r="B476" s="21"/>
      <c r="C476" s="21"/>
      <c r="D476" s="21"/>
      <c r="E476" s="21"/>
      <c r="F476" s="21"/>
      <c r="G476" s="21"/>
      <c r="H476" s="21"/>
      <c r="I476" s="21"/>
      <c r="J476" s="21"/>
      <c r="K476" s="24"/>
      <c r="L476" s="21"/>
      <c r="M476" s="25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6"/>
      <c r="AQ476" s="27"/>
      <c r="AR476" s="21"/>
      <c r="AS476" s="28"/>
    </row>
    <row r="477" spans="1:45" x14ac:dyDescent="0.35">
      <c r="A477" s="24"/>
      <c r="B477" s="21"/>
      <c r="C477" s="21"/>
      <c r="D477" s="21"/>
      <c r="E477" s="21"/>
      <c r="F477" s="21"/>
      <c r="G477" s="21"/>
      <c r="H477" s="21"/>
      <c r="I477" s="21"/>
      <c r="J477" s="21"/>
      <c r="K477" s="24"/>
      <c r="L477" s="21"/>
      <c r="M477" s="25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6"/>
      <c r="AQ477" s="27"/>
      <c r="AR477" s="21"/>
      <c r="AS477" s="28"/>
    </row>
    <row r="478" spans="1:45" x14ac:dyDescent="0.35">
      <c r="A478" s="24"/>
      <c r="B478" s="21"/>
      <c r="C478" s="21"/>
      <c r="D478" s="21"/>
      <c r="E478" s="21"/>
      <c r="F478" s="21"/>
      <c r="G478" s="21"/>
      <c r="H478" s="21"/>
      <c r="I478" s="21"/>
      <c r="J478" s="21"/>
      <c r="K478" s="24"/>
      <c r="L478" s="21"/>
      <c r="M478" s="25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6"/>
      <c r="AQ478" s="27"/>
      <c r="AR478" s="21"/>
      <c r="AS478" s="28"/>
    </row>
    <row r="479" spans="1:45" x14ac:dyDescent="0.35">
      <c r="A479" s="24"/>
      <c r="B479" s="21"/>
      <c r="C479" s="21"/>
      <c r="D479" s="21"/>
      <c r="E479" s="21"/>
      <c r="F479" s="21"/>
      <c r="G479" s="21"/>
      <c r="H479" s="21"/>
      <c r="I479" s="21"/>
      <c r="J479" s="21"/>
      <c r="K479" s="24"/>
      <c r="L479" s="21"/>
      <c r="M479" s="25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6"/>
      <c r="AQ479" s="27"/>
      <c r="AR479" s="21"/>
      <c r="AS479" s="28"/>
    </row>
    <row r="480" spans="1:45" x14ac:dyDescent="0.35">
      <c r="A480" s="29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30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1"/>
      <c r="AP480" s="26"/>
      <c r="AQ480" s="27"/>
      <c r="AR480" s="21"/>
      <c r="AS480" s="28"/>
    </row>
    <row r="481" spans="1:45" x14ac:dyDescent="0.35">
      <c r="A481" s="24"/>
      <c r="B481" s="21"/>
      <c r="C481" s="21"/>
      <c r="D481" s="21"/>
      <c r="E481" s="21"/>
      <c r="F481" s="21"/>
      <c r="G481" s="21"/>
      <c r="H481" s="21"/>
      <c r="I481" s="21"/>
      <c r="J481" s="21"/>
      <c r="K481" s="21"/>
      <c r="L481" s="21"/>
      <c r="M481" s="25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6"/>
      <c r="AQ481" s="27"/>
      <c r="AR481" s="21"/>
      <c r="AS481" s="28"/>
    </row>
    <row r="482" spans="1:45" x14ac:dyDescent="0.35">
      <c r="A482" s="24"/>
      <c r="B482" s="21"/>
      <c r="C482" s="21"/>
      <c r="D482" s="21"/>
      <c r="E482" s="21"/>
      <c r="F482" s="21"/>
      <c r="G482" s="21"/>
      <c r="H482" s="21"/>
      <c r="I482" s="21"/>
      <c r="J482" s="21"/>
      <c r="K482" s="24"/>
      <c r="L482" s="21"/>
      <c r="M482" s="25"/>
      <c r="N482" s="21"/>
      <c r="O482" s="21"/>
      <c r="P482" s="21"/>
      <c r="Q482" s="21"/>
      <c r="R482" s="21"/>
      <c r="S482" s="21"/>
      <c r="T482" s="21"/>
      <c r="U482" s="21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6"/>
      <c r="AQ482" s="27"/>
      <c r="AR482" s="21"/>
      <c r="AS482" s="28"/>
    </row>
    <row r="483" spans="1:45" x14ac:dyDescent="0.35">
      <c r="A483" s="24"/>
      <c r="B483" s="21"/>
      <c r="C483" s="21"/>
      <c r="D483" s="21"/>
      <c r="E483" s="21"/>
      <c r="F483" s="21"/>
      <c r="G483" s="21"/>
      <c r="H483" s="21"/>
      <c r="I483" s="21"/>
      <c r="J483" s="21"/>
      <c r="K483" s="24"/>
      <c r="L483" s="21"/>
      <c r="M483" s="25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6"/>
      <c r="AQ483" s="27"/>
      <c r="AR483" s="21"/>
      <c r="AS483" s="28"/>
    </row>
    <row r="484" spans="1:45" x14ac:dyDescent="0.35">
      <c r="A484" s="24"/>
      <c r="B484" s="21"/>
      <c r="C484" s="21"/>
      <c r="D484" s="21"/>
      <c r="E484" s="21"/>
      <c r="F484" s="21"/>
      <c r="G484" s="21"/>
      <c r="H484" s="21"/>
      <c r="I484" s="21"/>
      <c r="J484" s="21"/>
      <c r="K484" s="24"/>
      <c r="L484" s="21"/>
      <c r="M484" s="25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6"/>
      <c r="AQ484" s="27"/>
      <c r="AR484" s="21"/>
      <c r="AS484" s="28"/>
    </row>
    <row r="485" spans="1:45" x14ac:dyDescent="0.35">
      <c r="A485" s="29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30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22"/>
      <c r="AM485" s="22"/>
      <c r="AN485" s="22"/>
      <c r="AO485" s="21"/>
      <c r="AP485" s="26"/>
      <c r="AQ485" s="27"/>
      <c r="AR485" s="21"/>
      <c r="AS485" s="28"/>
    </row>
    <row r="486" spans="1:45" x14ac:dyDescent="0.35">
      <c r="A486" s="24"/>
      <c r="B486" s="21"/>
      <c r="C486" s="21"/>
      <c r="D486" s="21"/>
      <c r="E486" s="21"/>
      <c r="F486" s="21"/>
      <c r="G486" s="21"/>
      <c r="H486" s="21"/>
      <c r="I486" s="21"/>
      <c r="J486" s="21"/>
      <c r="K486" s="24"/>
      <c r="L486" s="21"/>
      <c r="M486" s="25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6"/>
      <c r="AQ486" s="27"/>
      <c r="AR486" s="21"/>
      <c r="AS486" s="28"/>
    </row>
    <row r="487" spans="1:45" x14ac:dyDescent="0.35">
      <c r="A487" s="24"/>
      <c r="B487" s="21"/>
      <c r="C487" s="21"/>
      <c r="D487" s="21"/>
      <c r="E487" s="21"/>
      <c r="F487" s="21"/>
      <c r="G487" s="21"/>
      <c r="H487" s="21"/>
      <c r="I487" s="21"/>
      <c r="J487" s="21"/>
      <c r="K487" s="24"/>
      <c r="L487" s="21"/>
      <c r="M487" s="25"/>
      <c r="N487" s="21"/>
      <c r="O487" s="21"/>
      <c r="P487" s="21"/>
      <c r="Q487" s="21"/>
      <c r="R487" s="21"/>
      <c r="S487" s="21"/>
      <c r="T487" s="21"/>
      <c r="U487" s="21"/>
      <c r="V487" s="21"/>
      <c r="W487" s="21"/>
      <c r="X487" s="21"/>
      <c r="Y487" s="21"/>
      <c r="Z487" s="21"/>
      <c r="AA487" s="21"/>
      <c r="AB487" s="21"/>
      <c r="AC487" s="21"/>
      <c r="AD487" s="21"/>
      <c r="AE487" s="21"/>
      <c r="AF487" s="21"/>
      <c r="AG487" s="21"/>
      <c r="AH487" s="21"/>
      <c r="AI487" s="21"/>
      <c r="AJ487" s="21"/>
      <c r="AK487" s="21"/>
      <c r="AL487" s="21"/>
      <c r="AM487" s="21"/>
      <c r="AN487" s="21"/>
      <c r="AO487" s="21"/>
      <c r="AP487" s="26"/>
      <c r="AQ487" s="27"/>
      <c r="AR487" s="21"/>
      <c r="AS487" s="28"/>
    </row>
    <row r="488" spans="1:45" x14ac:dyDescent="0.35">
      <c r="A488" s="24"/>
      <c r="B488" s="21"/>
      <c r="C488" s="21"/>
      <c r="D488" s="21"/>
      <c r="E488" s="21"/>
      <c r="F488" s="21"/>
      <c r="G488" s="21"/>
      <c r="H488" s="21"/>
      <c r="I488" s="21"/>
      <c r="J488" s="21"/>
      <c r="K488" s="24"/>
      <c r="L488" s="21"/>
      <c r="M488" s="25"/>
      <c r="N488" s="21"/>
      <c r="O488" s="21"/>
      <c r="P488" s="21"/>
      <c r="Q488" s="21"/>
      <c r="R488" s="21"/>
      <c r="S488" s="21"/>
      <c r="T488" s="21"/>
      <c r="U488" s="21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6"/>
      <c r="AQ488" s="27"/>
      <c r="AR488" s="21"/>
      <c r="AS488" s="28"/>
    </row>
    <row r="489" spans="1:45" x14ac:dyDescent="0.35">
      <c r="A489" s="24"/>
      <c r="B489" s="21"/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5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6"/>
      <c r="AQ489" s="27"/>
      <c r="AR489" s="21"/>
      <c r="AS489" s="28"/>
    </row>
    <row r="490" spans="1:45" x14ac:dyDescent="0.35">
      <c r="A490" s="29"/>
      <c r="B490" s="22"/>
      <c r="C490" s="22"/>
      <c r="D490" s="22"/>
      <c r="E490" s="22"/>
      <c r="F490" s="22"/>
      <c r="G490" s="22"/>
      <c r="H490" s="22"/>
      <c r="I490" s="22"/>
      <c r="J490" s="22"/>
      <c r="K490" s="29"/>
      <c r="L490" s="22"/>
      <c r="M490" s="30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22"/>
      <c r="AM490" s="22"/>
      <c r="AN490" s="22"/>
      <c r="AO490" s="21"/>
      <c r="AP490" s="26"/>
      <c r="AQ490" s="27"/>
      <c r="AR490" s="21"/>
      <c r="AS490" s="28"/>
    </row>
    <row r="491" spans="1:45" x14ac:dyDescent="0.35">
      <c r="A491" s="24"/>
      <c r="B491" s="21"/>
      <c r="C491" s="21"/>
      <c r="D491" s="21"/>
      <c r="E491" s="21"/>
      <c r="F491" s="21"/>
      <c r="G491" s="21"/>
      <c r="H491" s="21"/>
      <c r="I491" s="21"/>
      <c r="J491" s="21"/>
      <c r="K491" s="24"/>
      <c r="L491" s="21"/>
      <c r="M491" s="25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6"/>
      <c r="AQ491" s="27"/>
      <c r="AR491" s="21"/>
      <c r="AS491" s="28"/>
    </row>
    <row r="492" spans="1:45" x14ac:dyDescent="0.35">
      <c r="A492" s="24"/>
      <c r="B492" s="21"/>
      <c r="C492" s="21"/>
      <c r="D492" s="21"/>
      <c r="E492" s="21"/>
      <c r="F492" s="21"/>
      <c r="G492" s="21"/>
      <c r="H492" s="21"/>
      <c r="I492" s="21"/>
      <c r="J492" s="21"/>
      <c r="K492" s="24"/>
      <c r="L492" s="21"/>
      <c r="M492" s="25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  <c r="AF492" s="21"/>
      <c r="AG492" s="21"/>
      <c r="AH492" s="21"/>
      <c r="AI492" s="21"/>
      <c r="AJ492" s="21"/>
      <c r="AK492" s="21"/>
      <c r="AL492" s="21"/>
      <c r="AM492" s="21"/>
      <c r="AN492" s="21"/>
      <c r="AO492" s="21"/>
      <c r="AP492" s="26"/>
      <c r="AQ492" s="27"/>
      <c r="AR492" s="21"/>
      <c r="AS492" s="28"/>
    </row>
    <row r="493" spans="1:45" x14ac:dyDescent="0.35">
      <c r="A493" s="24"/>
      <c r="B493" s="21"/>
      <c r="C493" s="21"/>
      <c r="D493" s="21"/>
      <c r="E493" s="21"/>
      <c r="F493" s="21"/>
      <c r="G493" s="21"/>
      <c r="H493" s="21"/>
      <c r="I493" s="21"/>
      <c r="J493" s="21"/>
      <c r="K493" s="24"/>
      <c r="L493" s="21"/>
      <c r="M493" s="25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6"/>
      <c r="AQ493" s="27"/>
      <c r="AR493" s="21"/>
      <c r="AS493" s="28"/>
    </row>
    <row r="494" spans="1:45" x14ac:dyDescent="0.35">
      <c r="A494" s="24"/>
      <c r="B494" s="21"/>
      <c r="C494" s="21"/>
      <c r="D494" s="21"/>
      <c r="E494" s="21"/>
      <c r="F494" s="21"/>
      <c r="G494" s="21"/>
      <c r="H494" s="21"/>
      <c r="I494" s="21"/>
      <c r="J494" s="21"/>
      <c r="K494" s="24"/>
      <c r="L494" s="21"/>
      <c r="M494" s="25"/>
      <c r="N494" s="21"/>
      <c r="O494" s="21"/>
      <c r="P494" s="21"/>
      <c r="Q494" s="21"/>
      <c r="R494" s="21"/>
      <c r="S494" s="21"/>
      <c r="T494" s="21"/>
      <c r="U494" s="21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6"/>
      <c r="AQ494" s="27"/>
      <c r="AR494" s="21"/>
      <c r="AS494" s="28"/>
    </row>
    <row r="495" spans="1:45" x14ac:dyDescent="0.35">
      <c r="A495" s="24"/>
      <c r="B495" s="21"/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5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6"/>
      <c r="AQ495" s="27"/>
      <c r="AR495" s="21"/>
      <c r="AS495" s="28"/>
    </row>
    <row r="496" spans="1:45" x14ac:dyDescent="0.35">
      <c r="A496" s="24"/>
      <c r="B496" s="21"/>
      <c r="C496" s="21"/>
      <c r="D496" s="21"/>
      <c r="E496" s="21"/>
      <c r="F496" s="21"/>
      <c r="G496" s="21"/>
      <c r="H496" s="21"/>
      <c r="I496" s="21"/>
      <c r="J496" s="21"/>
      <c r="K496" s="24"/>
      <c r="L496" s="21"/>
      <c r="M496" s="25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6"/>
      <c r="AQ496" s="27"/>
      <c r="AR496" s="21"/>
      <c r="AS496" s="28"/>
    </row>
    <row r="497" spans="1:45" x14ac:dyDescent="0.35">
      <c r="A497" s="24"/>
      <c r="B497" s="21"/>
      <c r="C497" s="21"/>
      <c r="D497" s="21"/>
      <c r="E497" s="21"/>
      <c r="F497" s="21"/>
      <c r="G497" s="21"/>
      <c r="H497" s="21"/>
      <c r="I497" s="21"/>
      <c r="J497" s="21"/>
      <c r="K497" s="21"/>
      <c r="L497" s="21"/>
      <c r="M497" s="25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  <c r="AF497" s="21"/>
      <c r="AG497" s="21"/>
      <c r="AH497" s="21"/>
      <c r="AI497" s="21"/>
      <c r="AJ497" s="21"/>
      <c r="AK497" s="21"/>
      <c r="AL497" s="21"/>
      <c r="AM497" s="21"/>
      <c r="AN497" s="21"/>
      <c r="AO497" s="21"/>
      <c r="AP497" s="26"/>
      <c r="AQ497" s="27"/>
      <c r="AR497" s="21"/>
      <c r="AS497" s="28"/>
    </row>
    <row r="498" spans="1:45" x14ac:dyDescent="0.35">
      <c r="A498" s="24"/>
      <c r="B498" s="21"/>
      <c r="C498" s="21"/>
      <c r="D498" s="21"/>
      <c r="E498" s="21"/>
      <c r="F498" s="21"/>
      <c r="G498" s="21"/>
      <c r="H498" s="21"/>
      <c r="I498" s="21"/>
      <c r="J498" s="21"/>
      <c r="K498" s="24"/>
      <c r="L498" s="21"/>
      <c r="M498" s="25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6"/>
      <c r="AQ498" s="27"/>
      <c r="AR498" s="21"/>
      <c r="AS498" s="28"/>
    </row>
    <row r="499" spans="1:45" x14ac:dyDescent="0.35">
      <c r="A499" s="24"/>
      <c r="B499" s="21"/>
      <c r="C499" s="21"/>
      <c r="D499" s="21"/>
      <c r="E499" s="21"/>
      <c r="F499" s="21"/>
      <c r="G499" s="21"/>
      <c r="H499" s="21"/>
      <c r="I499" s="21"/>
      <c r="J499" s="21"/>
      <c r="K499" s="24"/>
      <c r="L499" s="21"/>
      <c r="M499" s="25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6"/>
      <c r="AQ499" s="27"/>
      <c r="AR499" s="21"/>
      <c r="AS499" s="28"/>
    </row>
    <row r="500" spans="1:45" x14ac:dyDescent="0.35">
      <c r="A500" s="24"/>
      <c r="B500" s="21"/>
      <c r="C500" s="21"/>
      <c r="D500" s="21"/>
      <c r="E500" s="21"/>
      <c r="F500" s="21"/>
      <c r="G500" s="21"/>
      <c r="H500" s="21"/>
      <c r="I500" s="21"/>
      <c r="J500" s="21"/>
      <c r="K500" s="24"/>
      <c r="L500" s="21"/>
      <c r="M500" s="25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6"/>
      <c r="AQ500" s="27"/>
      <c r="AR500" s="21"/>
      <c r="AS500" s="28"/>
    </row>
    <row r="501" spans="1:45" x14ac:dyDescent="0.35">
      <c r="A501" s="24"/>
      <c r="B501" s="21"/>
      <c r="C501" s="21"/>
      <c r="D501" s="21"/>
      <c r="E501" s="21"/>
      <c r="F501" s="21"/>
      <c r="G501" s="21"/>
      <c r="H501" s="21"/>
      <c r="I501" s="21"/>
      <c r="J501" s="21"/>
      <c r="K501" s="21"/>
      <c r="L501" s="21"/>
      <c r="M501" s="25"/>
      <c r="N501" s="21"/>
      <c r="O501" s="21"/>
      <c r="P501" s="21"/>
      <c r="Q501" s="21"/>
      <c r="R501" s="21"/>
      <c r="S501" s="21"/>
      <c r="T501" s="21"/>
      <c r="U501" s="21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6"/>
      <c r="AQ501" s="27"/>
      <c r="AR501" s="21"/>
      <c r="AS501" s="28"/>
    </row>
    <row r="502" spans="1:45" x14ac:dyDescent="0.35">
      <c r="A502" s="29"/>
      <c r="B502" s="22"/>
      <c r="C502" s="22"/>
      <c r="D502" s="22"/>
      <c r="E502" s="22"/>
      <c r="F502" s="22"/>
      <c r="G502" s="22"/>
      <c r="H502" s="22"/>
      <c r="I502" s="22"/>
      <c r="J502" s="22"/>
      <c r="K502" s="29"/>
      <c r="L502" s="22"/>
      <c r="M502" s="30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22"/>
      <c r="AM502" s="22"/>
      <c r="AN502" s="22"/>
      <c r="AO502" s="21"/>
      <c r="AP502" s="26"/>
      <c r="AQ502" s="27"/>
      <c r="AR502" s="21"/>
      <c r="AS502" s="28"/>
    </row>
    <row r="503" spans="1:45" x14ac:dyDescent="0.35">
      <c r="A503" s="24"/>
      <c r="B503" s="21"/>
      <c r="C503" s="21"/>
      <c r="D503" s="21"/>
      <c r="E503" s="21"/>
      <c r="F503" s="21"/>
      <c r="G503" s="21"/>
      <c r="H503" s="21"/>
      <c r="I503" s="21"/>
      <c r="J503" s="21"/>
      <c r="K503" s="21"/>
      <c r="L503" s="21"/>
      <c r="M503" s="25"/>
      <c r="N503" s="21"/>
      <c r="O503" s="21"/>
      <c r="P503" s="21"/>
      <c r="Q503" s="21"/>
      <c r="R503" s="21"/>
      <c r="S503" s="21"/>
      <c r="T503" s="21"/>
      <c r="U503" s="21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1"/>
      <c r="AI503" s="21"/>
      <c r="AJ503" s="21"/>
      <c r="AK503" s="21"/>
      <c r="AL503" s="21"/>
      <c r="AM503" s="21"/>
      <c r="AN503" s="21"/>
      <c r="AO503" s="21"/>
      <c r="AP503" s="26"/>
      <c r="AQ503" s="27"/>
      <c r="AR503" s="21"/>
      <c r="AS503" s="28"/>
    </row>
    <row r="504" spans="1:45" x14ac:dyDescent="0.35">
      <c r="A504" s="24"/>
      <c r="B504" s="21"/>
      <c r="C504" s="21"/>
      <c r="D504" s="21"/>
      <c r="E504" s="21"/>
      <c r="F504" s="21"/>
      <c r="G504" s="21"/>
      <c r="H504" s="21"/>
      <c r="I504" s="21"/>
      <c r="J504" s="21"/>
      <c r="K504" s="24"/>
      <c r="L504" s="21"/>
      <c r="M504" s="25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  <c r="AF504" s="21"/>
      <c r="AG504" s="21"/>
      <c r="AH504" s="21"/>
      <c r="AI504" s="21"/>
      <c r="AJ504" s="21"/>
      <c r="AK504" s="21"/>
      <c r="AL504" s="21"/>
      <c r="AM504" s="21"/>
      <c r="AN504" s="21"/>
      <c r="AO504" s="21"/>
      <c r="AP504" s="26"/>
      <c r="AQ504" s="27"/>
      <c r="AR504" s="21"/>
      <c r="AS504" s="28"/>
    </row>
    <row r="505" spans="1:45" x14ac:dyDescent="0.35">
      <c r="A505" s="29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30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22"/>
      <c r="AM505" s="22"/>
      <c r="AN505" s="22"/>
      <c r="AO505" s="21"/>
      <c r="AP505" s="26"/>
      <c r="AQ505" s="27"/>
      <c r="AR505" s="21"/>
      <c r="AS505" s="28"/>
    </row>
    <row r="506" spans="1:45" x14ac:dyDescent="0.35">
      <c r="A506" s="24"/>
      <c r="B506" s="21"/>
      <c r="C506" s="21"/>
      <c r="D506" s="21"/>
      <c r="E506" s="21"/>
      <c r="F506" s="21"/>
      <c r="G506" s="21"/>
      <c r="H506" s="21"/>
      <c r="I506" s="21"/>
      <c r="J506" s="21"/>
      <c r="K506" s="21"/>
      <c r="L506" s="21"/>
      <c r="M506" s="25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6"/>
      <c r="AQ506" s="27"/>
      <c r="AR506" s="21"/>
      <c r="AS506" s="28"/>
    </row>
    <row r="507" spans="1:45" x14ac:dyDescent="0.35">
      <c r="A507" s="24"/>
      <c r="B507" s="21"/>
      <c r="C507" s="21"/>
      <c r="D507" s="21"/>
      <c r="E507" s="21"/>
      <c r="F507" s="21"/>
      <c r="G507" s="21"/>
      <c r="H507" s="21"/>
      <c r="I507" s="21"/>
      <c r="J507" s="21"/>
      <c r="K507" s="21"/>
      <c r="L507" s="21"/>
      <c r="M507" s="25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6"/>
      <c r="AQ507" s="27"/>
      <c r="AR507" s="21"/>
      <c r="AS507" s="28"/>
    </row>
    <row r="508" spans="1:45" x14ac:dyDescent="0.35">
      <c r="A508" s="24"/>
      <c r="B508" s="21"/>
      <c r="C508" s="21"/>
      <c r="D508" s="21"/>
      <c r="E508" s="21"/>
      <c r="F508" s="21"/>
      <c r="G508" s="21"/>
      <c r="H508" s="21"/>
      <c r="I508" s="21"/>
      <c r="J508" s="21"/>
      <c r="K508" s="24"/>
      <c r="L508" s="21"/>
      <c r="M508" s="25"/>
      <c r="N508" s="21"/>
      <c r="O508" s="21"/>
      <c r="P508" s="21"/>
      <c r="Q508" s="21"/>
      <c r="R508" s="21"/>
      <c r="S508" s="21"/>
      <c r="T508" s="21"/>
      <c r="U508" s="21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6"/>
      <c r="AQ508" s="27"/>
      <c r="AR508" s="21"/>
      <c r="AS508" s="28"/>
    </row>
    <row r="509" spans="1:45" x14ac:dyDescent="0.35">
      <c r="A509" s="29"/>
      <c r="B509" s="22"/>
      <c r="C509" s="22"/>
      <c r="D509" s="22"/>
      <c r="E509" s="22"/>
      <c r="F509" s="22"/>
      <c r="G509" s="22"/>
      <c r="H509" s="22"/>
      <c r="I509" s="22"/>
      <c r="J509" s="22"/>
      <c r="K509" s="29"/>
      <c r="L509" s="22"/>
      <c r="M509" s="30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1"/>
      <c r="AP509" s="26"/>
      <c r="AQ509" s="27"/>
      <c r="AR509" s="21"/>
      <c r="AS509" s="28"/>
    </row>
    <row r="510" spans="1:45" x14ac:dyDescent="0.35">
      <c r="A510" s="29"/>
      <c r="B510" s="22"/>
      <c r="C510" s="22"/>
      <c r="D510" s="22"/>
      <c r="E510" s="22"/>
      <c r="F510" s="22"/>
      <c r="G510" s="22"/>
      <c r="H510" s="22"/>
      <c r="I510" s="22"/>
      <c r="J510" s="22"/>
      <c r="K510" s="29"/>
      <c r="L510" s="22"/>
      <c r="M510" s="30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22"/>
      <c r="AM510" s="22"/>
      <c r="AN510" s="22"/>
      <c r="AO510" s="21"/>
      <c r="AP510" s="26"/>
      <c r="AQ510" s="27"/>
      <c r="AR510" s="21"/>
      <c r="AS510" s="28"/>
    </row>
    <row r="511" spans="1:45" x14ac:dyDescent="0.35">
      <c r="A511" s="29"/>
      <c r="B511" s="22"/>
      <c r="C511" s="22"/>
      <c r="D511" s="22"/>
      <c r="E511" s="22"/>
      <c r="F511" s="22"/>
      <c r="G511" s="22"/>
      <c r="H511" s="22"/>
      <c r="I511" s="22"/>
      <c r="J511" s="22"/>
      <c r="K511" s="29"/>
      <c r="L511" s="22"/>
      <c r="M511" s="30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22"/>
      <c r="AM511" s="22"/>
      <c r="AN511" s="22"/>
      <c r="AO511" s="21"/>
      <c r="AP511" s="26"/>
      <c r="AQ511" s="27"/>
      <c r="AR511" s="21"/>
      <c r="AS511" s="28"/>
    </row>
    <row r="512" spans="1:45" x14ac:dyDescent="0.35">
      <c r="A512" s="29"/>
      <c r="B512" s="22"/>
      <c r="C512" s="22"/>
      <c r="D512" s="22"/>
      <c r="E512" s="22"/>
      <c r="F512" s="22"/>
      <c r="G512" s="22"/>
      <c r="H512" s="22"/>
      <c r="I512" s="22"/>
      <c r="J512" s="22"/>
      <c r="K512" s="29"/>
      <c r="L512" s="22"/>
      <c r="M512" s="30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1"/>
      <c r="AP512" s="26"/>
      <c r="AQ512" s="27"/>
      <c r="AR512" s="21"/>
      <c r="AS512" s="28"/>
    </row>
    <row r="513" spans="1:45" x14ac:dyDescent="0.35">
      <c r="A513" s="29"/>
      <c r="B513" s="22"/>
      <c r="C513" s="22"/>
      <c r="D513" s="22"/>
      <c r="E513" s="22"/>
      <c r="F513" s="22"/>
      <c r="G513" s="22"/>
      <c r="H513" s="22"/>
      <c r="I513" s="22"/>
      <c r="J513" s="22"/>
      <c r="K513" s="29"/>
      <c r="L513" s="22"/>
      <c r="M513" s="30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22"/>
      <c r="AM513" s="22"/>
      <c r="AN513" s="22"/>
      <c r="AO513" s="21"/>
      <c r="AP513" s="26"/>
      <c r="AQ513" s="27"/>
      <c r="AR513" s="21"/>
      <c r="AS513" s="28"/>
    </row>
    <row r="514" spans="1:45" x14ac:dyDescent="0.35">
      <c r="A514" s="29"/>
      <c r="B514" s="22"/>
      <c r="C514" s="22"/>
      <c r="D514" s="22"/>
      <c r="E514" s="22"/>
      <c r="F514" s="22"/>
      <c r="G514" s="22"/>
      <c r="H514" s="22"/>
      <c r="I514" s="22"/>
      <c r="J514" s="22"/>
      <c r="K514" s="29"/>
      <c r="L514" s="22"/>
      <c r="M514" s="30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22"/>
      <c r="AM514" s="22"/>
      <c r="AN514" s="22"/>
      <c r="AO514" s="21"/>
      <c r="AP514" s="26"/>
      <c r="AQ514" s="27"/>
      <c r="AR514" s="21"/>
      <c r="AS514" s="28"/>
    </row>
    <row r="515" spans="1:45" x14ac:dyDescent="0.35">
      <c r="A515" s="29"/>
      <c r="B515" s="22"/>
      <c r="C515" s="22"/>
      <c r="D515" s="22"/>
      <c r="E515" s="22"/>
      <c r="F515" s="22"/>
      <c r="G515" s="22"/>
      <c r="H515" s="22"/>
      <c r="I515" s="22"/>
      <c r="J515" s="22"/>
      <c r="K515" s="29"/>
      <c r="L515" s="22"/>
      <c r="M515" s="30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22"/>
      <c r="AM515" s="22"/>
      <c r="AN515" s="22"/>
      <c r="AO515" s="21"/>
      <c r="AP515" s="26"/>
      <c r="AQ515" s="27"/>
      <c r="AR515" s="21"/>
      <c r="AS515" s="28"/>
    </row>
    <row r="516" spans="1:45" x14ac:dyDescent="0.35">
      <c r="A516" s="29"/>
      <c r="B516" s="22"/>
      <c r="C516" s="22"/>
      <c r="D516" s="22"/>
      <c r="E516" s="22"/>
      <c r="F516" s="22"/>
      <c r="G516" s="22"/>
      <c r="H516" s="22"/>
      <c r="I516" s="22"/>
      <c r="J516" s="22"/>
      <c r="K516" s="29"/>
      <c r="L516" s="22"/>
      <c r="M516" s="30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22"/>
      <c r="AM516" s="22"/>
      <c r="AN516" s="22"/>
      <c r="AO516" s="21"/>
      <c r="AP516" s="26"/>
      <c r="AQ516" s="27"/>
      <c r="AR516" s="21"/>
      <c r="AS516" s="28"/>
    </row>
    <row r="517" spans="1:45" x14ac:dyDescent="0.35">
      <c r="A517" s="29"/>
      <c r="B517" s="22"/>
      <c r="C517" s="22"/>
      <c r="D517" s="22"/>
      <c r="E517" s="22"/>
      <c r="F517" s="22"/>
      <c r="G517" s="22"/>
      <c r="H517" s="22"/>
      <c r="I517" s="22"/>
      <c r="J517" s="22"/>
      <c r="K517" s="29"/>
      <c r="L517" s="22"/>
      <c r="M517" s="30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22"/>
      <c r="AM517" s="22"/>
      <c r="AN517" s="22"/>
      <c r="AO517" s="21"/>
      <c r="AP517" s="26"/>
      <c r="AQ517" s="27"/>
      <c r="AR517" s="21"/>
      <c r="AS517" s="28"/>
    </row>
    <row r="518" spans="1:45" x14ac:dyDescent="0.35">
      <c r="A518" s="29"/>
      <c r="B518" s="22"/>
      <c r="C518" s="22"/>
      <c r="D518" s="22"/>
      <c r="E518" s="22"/>
      <c r="F518" s="22"/>
      <c r="G518" s="22"/>
      <c r="H518" s="22"/>
      <c r="I518" s="22"/>
      <c r="J518" s="22"/>
      <c r="K518" s="29"/>
      <c r="L518" s="22"/>
      <c r="M518" s="30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22"/>
      <c r="AM518" s="22"/>
      <c r="AN518" s="22"/>
      <c r="AO518" s="21"/>
      <c r="AP518" s="26"/>
      <c r="AQ518" s="27"/>
      <c r="AR518" s="21"/>
      <c r="AS518" s="28"/>
    </row>
    <row r="519" spans="1:45" x14ac:dyDescent="0.35">
      <c r="A519" s="29"/>
      <c r="B519" s="22"/>
      <c r="C519" s="22"/>
      <c r="D519" s="22"/>
      <c r="E519" s="22"/>
      <c r="F519" s="22"/>
      <c r="G519" s="22"/>
      <c r="H519" s="22"/>
      <c r="I519" s="22"/>
      <c r="J519" s="22"/>
      <c r="K519" s="29"/>
      <c r="L519" s="22"/>
      <c r="M519" s="30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22"/>
      <c r="AM519" s="22"/>
      <c r="AN519" s="22"/>
      <c r="AO519" s="21"/>
      <c r="AP519" s="26"/>
      <c r="AQ519" s="27"/>
      <c r="AR519" s="21"/>
      <c r="AS519" s="28"/>
    </row>
    <row r="520" spans="1:45" x14ac:dyDescent="0.35">
      <c r="A520" s="29"/>
      <c r="B520" s="22"/>
      <c r="C520" s="22"/>
      <c r="D520" s="22"/>
      <c r="E520" s="22"/>
      <c r="F520" s="22"/>
      <c r="G520" s="22"/>
      <c r="H520" s="22"/>
      <c r="I520" s="22"/>
      <c r="J520" s="22"/>
      <c r="K520" s="29"/>
      <c r="L520" s="22"/>
      <c r="M520" s="30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1"/>
      <c r="AP520" s="26"/>
      <c r="AQ520" s="27"/>
      <c r="AR520" s="21"/>
      <c r="AS520" s="28"/>
    </row>
    <row r="521" spans="1:45" x14ac:dyDescent="0.35">
      <c r="A521" s="24"/>
      <c r="B521" s="21"/>
      <c r="C521" s="21"/>
      <c r="D521" s="21"/>
      <c r="E521" s="21"/>
      <c r="F521" s="21"/>
      <c r="G521" s="21"/>
      <c r="H521" s="21"/>
      <c r="I521" s="21"/>
      <c r="J521" s="21"/>
      <c r="K521" s="24"/>
      <c r="L521" s="21"/>
      <c r="M521" s="25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1"/>
      <c r="AO521" s="21"/>
      <c r="AP521" s="26"/>
      <c r="AQ521" s="27"/>
      <c r="AR521" s="21"/>
      <c r="AS521" s="28"/>
    </row>
    <row r="522" spans="1:45" x14ac:dyDescent="0.35">
      <c r="A522" s="24"/>
      <c r="B522" s="21"/>
      <c r="C522" s="21"/>
      <c r="D522" s="21"/>
      <c r="E522" s="21"/>
      <c r="F522" s="21"/>
      <c r="G522" s="21"/>
      <c r="H522" s="21"/>
      <c r="I522" s="21"/>
      <c r="J522" s="21"/>
      <c r="K522" s="24"/>
      <c r="L522" s="21"/>
      <c r="M522" s="25"/>
      <c r="N522" s="21"/>
      <c r="O522" s="21"/>
      <c r="P522" s="21"/>
      <c r="Q522" s="21"/>
      <c r="R522" s="21"/>
      <c r="S522" s="21"/>
      <c r="T522" s="21"/>
      <c r="U522" s="21"/>
      <c r="V522" s="21"/>
      <c r="W522" s="21"/>
      <c r="X522" s="21"/>
      <c r="Y522" s="21"/>
      <c r="Z522" s="21"/>
      <c r="AA522" s="21"/>
      <c r="AB522" s="21"/>
      <c r="AC522" s="21"/>
      <c r="AD522" s="21"/>
      <c r="AE522" s="21"/>
      <c r="AF522" s="21"/>
      <c r="AG522" s="21"/>
      <c r="AH522" s="21"/>
      <c r="AI522" s="21"/>
      <c r="AJ522" s="21"/>
      <c r="AK522" s="21"/>
      <c r="AL522" s="21"/>
      <c r="AM522" s="21"/>
      <c r="AN522" s="21"/>
      <c r="AO522" s="21"/>
      <c r="AP522" s="26"/>
      <c r="AQ522" s="27"/>
      <c r="AR522" s="21"/>
      <c r="AS522" s="28"/>
    </row>
    <row r="523" spans="1:45" x14ac:dyDescent="0.35">
      <c r="A523" s="24"/>
      <c r="B523" s="21"/>
      <c r="C523" s="21"/>
      <c r="D523" s="21"/>
      <c r="E523" s="21"/>
      <c r="F523" s="21"/>
      <c r="G523" s="21"/>
      <c r="H523" s="21"/>
      <c r="I523" s="21"/>
      <c r="J523" s="21"/>
      <c r="K523" s="24"/>
      <c r="L523" s="21"/>
      <c r="M523" s="25"/>
      <c r="N523" s="21"/>
      <c r="O523" s="21"/>
      <c r="P523" s="21"/>
      <c r="Q523" s="21"/>
      <c r="R523" s="21"/>
      <c r="S523" s="21"/>
      <c r="T523" s="21"/>
      <c r="U523" s="21"/>
      <c r="V523" s="21"/>
      <c r="W523" s="21"/>
      <c r="X523" s="21"/>
      <c r="Y523" s="21"/>
      <c r="Z523" s="21"/>
      <c r="AA523" s="21"/>
      <c r="AB523" s="21"/>
      <c r="AC523" s="21"/>
      <c r="AD523" s="21"/>
      <c r="AE523" s="21"/>
      <c r="AF523" s="21"/>
      <c r="AG523" s="21"/>
      <c r="AH523" s="21"/>
      <c r="AI523" s="21"/>
      <c r="AJ523" s="21"/>
      <c r="AK523" s="21"/>
      <c r="AL523" s="21"/>
      <c r="AM523" s="21"/>
      <c r="AN523" s="21"/>
      <c r="AO523" s="21"/>
      <c r="AP523" s="26"/>
      <c r="AQ523" s="27"/>
      <c r="AR523" s="21"/>
      <c r="AS523" s="28"/>
    </row>
    <row r="524" spans="1:45" x14ac:dyDescent="0.35">
      <c r="A524" s="24"/>
      <c r="B524" s="21"/>
      <c r="C524" s="21"/>
      <c r="D524" s="21"/>
      <c r="E524" s="21"/>
      <c r="F524" s="21"/>
      <c r="G524" s="21"/>
      <c r="H524" s="21"/>
      <c r="I524" s="21"/>
      <c r="J524" s="21"/>
      <c r="K524" s="24"/>
      <c r="L524" s="21"/>
      <c r="M524" s="25"/>
      <c r="N524" s="21"/>
      <c r="O524" s="21"/>
      <c r="P524" s="21"/>
      <c r="Q524" s="21"/>
      <c r="R524" s="21"/>
      <c r="S524" s="21"/>
      <c r="T524" s="21"/>
      <c r="U524" s="21"/>
      <c r="V524" s="21"/>
      <c r="W524" s="21"/>
      <c r="X524" s="21"/>
      <c r="Y524" s="21"/>
      <c r="Z524" s="21"/>
      <c r="AA524" s="21"/>
      <c r="AB524" s="21"/>
      <c r="AC524" s="21"/>
      <c r="AD524" s="21"/>
      <c r="AE524" s="21"/>
      <c r="AF524" s="21"/>
      <c r="AG524" s="21"/>
      <c r="AH524" s="21"/>
      <c r="AI524" s="21"/>
      <c r="AJ524" s="21"/>
      <c r="AK524" s="21"/>
      <c r="AL524" s="21"/>
      <c r="AM524" s="21"/>
      <c r="AN524" s="21"/>
      <c r="AO524" s="21"/>
      <c r="AP524" s="26"/>
      <c r="AQ524" s="27"/>
      <c r="AR524" s="21"/>
      <c r="AS524" s="28"/>
    </row>
    <row r="525" spans="1:45" x14ac:dyDescent="0.35">
      <c r="A525" s="24"/>
      <c r="B525" s="21"/>
      <c r="C525" s="21"/>
      <c r="D525" s="21"/>
      <c r="E525" s="21"/>
      <c r="F525" s="21"/>
      <c r="G525" s="21"/>
      <c r="H525" s="21"/>
      <c r="I525" s="21"/>
      <c r="J525" s="21"/>
      <c r="K525" s="21"/>
      <c r="L525" s="21"/>
      <c r="M525" s="25"/>
      <c r="N525" s="21"/>
      <c r="O525" s="21"/>
      <c r="P525" s="21"/>
      <c r="Q525" s="21"/>
      <c r="R525" s="21"/>
      <c r="S525" s="21"/>
      <c r="T525" s="21"/>
      <c r="U525" s="21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  <c r="AF525" s="21"/>
      <c r="AG525" s="21"/>
      <c r="AH525" s="21"/>
      <c r="AI525" s="21"/>
      <c r="AJ525" s="21"/>
      <c r="AK525" s="21"/>
      <c r="AL525" s="21"/>
      <c r="AM525" s="21"/>
      <c r="AN525" s="21"/>
      <c r="AO525" s="21"/>
      <c r="AP525" s="26"/>
      <c r="AQ525" s="27"/>
      <c r="AR525" s="21"/>
      <c r="AS525" s="28"/>
    </row>
    <row r="526" spans="1:45" x14ac:dyDescent="0.35">
      <c r="A526" s="24"/>
      <c r="B526" s="21"/>
      <c r="C526" s="21"/>
      <c r="D526" s="21"/>
      <c r="E526" s="21"/>
      <c r="F526" s="21"/>
      <c r="G526" s="21"/>
      <c r="H526" s="21"/>
      <c r="I526" s="21"/>
      <c r="J526" s="21"/>
      <c r="K526" s="21"/>
      <c r="L526" s="21"/>
      <c r="M526" s="25"/>
      <c r="N526" s="21"/>
      <c r="O526" s="21"/>
      <c r="P526" s="21"/>
      <c r="Q526" s="21"/>
      <c r="R526" s="21"/>
      <c r="S526" s="21"/>
      <c r="T526" s="21"/>
      <c r="U526" s="21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  <c r="AF526" s="21"/>
      <c r="AG526" s="21"/>
      <c r="AH526" s="21"/>
      <c r="AI526" s="21"/>
      <c r="AJ526" s="21"/>
      <c r="AK526" s="21"/>
      <c r="AL526" s="21"/>
      <c r="AM526" s="21"/>
      <c r="AN526" s="21"/>
      <c r="AO526" s="21"/>
      <c r="AP526" s="26"/>
      <c r="AQ526" s="27"/>
      <c r="AR526" s="21"/>
      <c r="AS526" s="28"/>
    </row>
    <row r="527" spans="1:45" x14ac:dyDescent="0.35">
      <c r="A527" s="24"/>
      <c r="B527" s="21"/>
      <c r="C527" s="21"/>
      <c r="D527" s="21"/>
      <c r="E527" s="21"/>
      <c r="F527" s="21"/>
      <c r="G527" s="21"/>
      <c r="H527" s="21"/>
      <c r="I527" s="21"/>
      <c r="J527" s="21"/>
      <c r="K527" s="21"/>
      <c r="L527" s="21"/>
      <c r="M527" s="25"/>
      <c r="N527" s="21"/>
      <c r="O527" s="21"/>
      <c r="P527" s="21"/>
      <c r="Q527" s="21"/>
      <c r="R527" s="21"/>
      <c r="S527" s="21"/>
      <c r="T527" s="21"/>
      <c r="U527" s="21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  <c r="AF527" s="21"/>
      <c r="AG527" s="21"/>
      <c r="AH527" s="21"/>
      <c r="AI527" s="21"/>
      <c r="AJ527" s="21"/>
      <c r="AK527" s="21"/>
      <c r="AL527" s="21"/>
      <c r="AM527" s="21"/>
      <c r="AN527" s="21"/>
      <c r="AO527" s="21"/>
      <c r="AP527" s="26"/>
      <c r="AQ527" s="27"/>
      <c r="AR527" s="21"/>
      <c r="AS527" s="28"/>
    </row>
    <row r="528" spans="1:45" x14ac:dyDescent="0.35">
      <c r="A528" s="31"/>
      <c r="B528" s="32"/>
      <c r="C528" s="32"/>
      <c r="D528" s="32"/>
      <c r="E528" s="32"/>
      <c r="F528" s="32"/>
      <c r="G528" s="32"/>
      <c r="H528" s="32"/>
      <c r="I528" s="32"/>
      <c r="J528" s="32"/>
      <c r="K528" s="32"/>
      <c r="L528" s="32"/>
      <c r="M528" s="33"/>
      <c r="N528" s="32"/>
      <c r="O528" s="32"/>
      <c r="P528" s="32"/>
      <c r="Q528" s="32"/>
      <c r="R528" s="32"/>
      <c r="S528" s="32"/>
      <c r="T528" s="32"/>
      <c r="U528" s="32"/>
      <c r="V528" s="32"/>
      <c r="W528" s="32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21"/>
      <c r="AP528" s="26"/>
      <c r="AQ528" s="27"/>
      <c r="AR528" s="21"/>
      <c r="AS528" s="28"/>
    </row>
    <row r="529" spans="1:45" x14ac:dyDescent="0.35">
      <c r="A529" s="24"/>
      <c r="B529" s="21"/>
      <c r="C529" s="21"/>
      <c r="D529" s="21"/>
      <c r="E529" s="21"/>
      <c r="F529" s="21"/>
      <c r="G529" s="21"/>
      <c r="H529" s="21"/>
      <c r="I529" s="21"/>
      <c r="J529" s="21"/>
      <c r="K529" s="21"/>
      <c r="L529" s="21"/>
      <c r="M529" s="25"/>
      <c r="N529" s="21"/>
      <c r="O529" s="21"/>
      <c r="P529" s="21"/>
      <c r="Q529" s="21"/>
      <c r="R529" s="21"/>
      <c r="S529" s="21"/>
      <c r="T529" s="21"/>
      <c r="U529" s="21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6"/>
      <c r="AQ529" s="27"/>
      <c r="AR529" s="21"/>
      <c r="AS529" s="28"/>
    </row>
    <row r="530" spans="1:45" x14ac:dyDescent="0.35">
      <c r="A530" s="24"/>
      <c r="B530" s="21"/>
      <c r="C530" s="21"/>
      <c r="D530" s="21"/>
      <c r="E530" s="21"/>
      <c r="F530" s="21"/>
      <c r="G530" s="21"/>
      <c r="H530" s="21"/>
      <c r="I530" s="21"/>
      <c r="J530" s="21"/>
      <c r="K530" s="24"/>
      <c r="L530" s="21"/>
      <c r="M530" s="25"/>
      <c r="N530" s="21"/>
      <c r="O530" s="21"/>
      <c r="P530" s="21"/>
      <c r="Q530" s="21"/>
      <c r="R530" s="21"/>
      <c r="S530" s="21"/>
      <c r="T530" s="21"/>
      <c r="U530" s="21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6"/>
      <c r="AQ530" s="27"/>
      <c r="AR530" s="21"/>
      <c r="AS530" s="28"/>
    </row>
    <row r="531" spans="1:45" x14ac:dyDescent="0.35">
      <c r="A531" s="24"/>
      <c r="B531" s="21"/>
      <c r="C531" s="21"/>
      <c r="D531" s="21"/>
      <c r="E531" s="21"/>
      <c r="F531" s="21"/>
      <c r="G531" s="21"/>
      <c r="H531" s="21"/>
      <c r="I531" s="21"/>
      <c r="J531" s="21"/>
      <c r="K531" s="24"/>
      <c r="L531" s="21"/>
      <c r="M531" s="25"/>
      <c r="N531" s="21"/>
      <c r="O531" s="21"/>
      <c r="P531" s="21"/>
      <c r="Q531" s="21"/>
      <c r="R531" s="21"/>
      <c r="S531" s="21"/>
      <c r="T531" s="21"/>
      <c r="U531" s="21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6"/>
      <c r="AQ531" s="27"/>
      <c r="AR531" s="21"/>
      <c r="AS531" s="28"/>
    </row>
    <row r="532" spans="1:45" x14ac:dyDescent="0.35">
      <c r="A532" s="24"/>
      <c r="B532" s="21"/>
      <c r="C532" s="21"/>
      <c r="D532" s="21"/>
      <c r="E532" s="21"/>
      <c r="F532" s="21"/>
      <c r="G532" s="21"/>
      <c r="H532" s="21"/>
      <c r="I532" s="21"/>
      <c r="J532" s="21"/>
      <c r="K532" s="24"/>
      <c r="L532" s="21"/>
      <c r="M532" s="25"/>
      <c r="N532" s="21"/>
      <c r="O532" s="21"/>
      <c r="P532" s="21"/>
      <c r="Q532" s="21"/>
      <c r="R532" s="21"/>
      <c r="S532" s="21"/>
      <c r="T532" s="21"/>
      <c r="U532" s="21"/>
      <c r="V532" s="2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6"/>
      <c r="AQ532" s="27"/>
      <c r="AR532" s="21"/>
      <c r="AS532" s="28"/>
    </row>
    <row r="533" spans="1:45" x14ac:dyDescent="0.35">
      <c r="A533" s="24"/>
      <c r="B533" s="21"/>
      <c r="C533" s="21"/>
      <c r="D533" s="21"/>
      <c r="E533" s="21"/>
      <c r="F533" s="21"/>
      <c r="G533" s="21"/>
      <c r="H533" s="21"/>
      <c r="I533" s="21"/>
      <c r="J533" s="21"/>
      <c r="K533" s="21"/>
      <c r="L533" s="21"/>
      <c r="M533" s="25"/>
      <c r="N533" s="21"/>
      <c r="O533" s="21"/>
      <c r="P533" s="21"/>
      <c r="Q533" s="21"/>
      <c r="R533" s="21"/>
      <c r="S533" s="21"/>
      <c r="T533" s="21"/>
      <c r="U533" s="21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6"/>
      <c r="AQ533" s="27"/>
      <c r="AR533" s="21"/>
      <c r="AS533" s="28"/>
    </row>
    <row r="534" spans="1:45" x14ac:dyDescent="0.35">
      <c r="A534" s="29"/>
      <c r="B534" s="22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30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1"/>
      <c r="AP534" s="26"/>
      <c r="AQ534" s="27"/>
      <c r="AR534" s="21"/>
      <c r="AS534" s="28"/>
    </row>
    <row r="535" spans="1:45" x14ac:dyDescent="0.35">
      <c r="A535" s="24"/>
      <c r="B535" s="21"/>
      <c r="C535" s="21"/>
      <c r="D535" s="21"/>
      <c r="E535" s="21"/>
      <c r="F535" s="21"/>
      <c r="G535" s="21"/>
      <c r="H535" s="21"/>
      <c r="I535" s="21"/>
      <c r="J535" s="21"/>
      <c r="K535" s="21"/>
      <c r="L535" s="21"/>
      <c r="M535" s="25"/>
      <c r="N535" s="21"/>
      <c r="O535" s="21"/>
      <c r="P535" s="21"/>
      <c r="Q535" s="21"/>
      <c r="R535" s="21"/>
      <c r="S535" s="21"/>
      <c r="T535" s="21"/>
      <c r="U535" s="21"/>
      <c r="V535" s="21"/>
      <c r="W535" s="21"/>
      <c r="X535" s="21"/>
      <c r="Y535" s="21"/>
      <c r="Z535" s="21"/>
      <c r="AA535" s="21"/>
      <c r="AB535" s="21"/>
      <c r="AC535" s="21"/>
      <c r="AD535" s="21"/>
      <c r="AE535" s="21"/>
      <c r="AF535" s="21"/>
      <c r="AG535" s="21"/>
      <c r="AH535" s="21"/>
      <c r="AI535" s="21"/>
      <c r="AJ535" s="21"/>
      <c r="AK535" s="21"/>
      <c r="AL535" s="21"/>
      <c r="AM535" s="21"/>
      <c r="AN535" s="21"/>
      <c r="AO535" s="21"/>
      <c r="AP535" s="26"/>
      <c r="AQ535" s="27"/>
      <c r="AR535" s="21"/>
      <c r="AS535" s="28"/>
    </row>
    <row r="536" spans="1:45" x14ac:dyDescent="0.35">
      <c r="A536" s="24"/>
      <c r="B536" s="21"/>
      <c r="C536" s="21"/>
      <c r="D536" s="21"/>
      <c r="E536" s="21"/>
      <c r="F536" s="21"/>
      <c r="G536" s="21"/>
      <c r="H536" s="21"/>
      <c r="I536" s="21"/>
      <c r="J536" s="21"/>
      <c r="K536" s="24"/>
      <c r="L536" s="21"/>
      <c r="M536" s="25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6"/>
      <c r="AQ536" s="27"/>
      <c r="AR536" s="21"/>
      <c r="AS536" s="28"/>
    </row>
    <row r="537" spans="1:45" x14ac:dyDescent="0.35">
      <c r="A537" s="24"/>
      <c r="B537" s="21"/>
      <c r="C537" s="21"/>
      <c r="D537" s="21"/>
      <c r="E537" s="21"/>
      <c r="F537" s="21"/>
      <c r="G537" s="21"/>
      <c r="H537" s="21"/>
      <c r="I537" s="21"/>
      <c r="J537" s="21"/>
      <c r="K537" s="24"/>
      <c r="L537" s="21"/>
      <c r="M537" s="25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6"/>
      <c r="AQ537" s="27"/>
      <c r="AR537" s="21"/>
      <c r="AS537" s="28"/>
    </row>
    <row r="538" spans="1:45" x14ac:dyDescent="0.35">
      <c r="A538" s="24"/>
      <c r="B538" s="21"/>
      <c r="C538" s="21"/>
      <c r="D538" s="21"/>
      <c r="E538" s="21"/>
      <c r="F538" s="21"/>
      <c r="G538" s="21"/>
      <c r="H538" s="21"/>
      <c r="I538" s="21"/>
      <c r="J538" s="21"/>
      <c r="K538" s="21"/>
      <c r="L538" s="21"/>
      <c r="M538" s="25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6"/>
      <c r="AQ538" s="27"/>
      <c r="AR538" s="21"/>
      <c r="AS538" s="28"/>
    </row>
    <row r="539" spans="1:45" x14ac:dyDescent="0.35">
      <c r="A539" s="24"/>
      <c r="B539" s="21"/>
      <c r="C539" s="21"/>
      <c r="D539" s="21"/>
      <c r="E539" s="21"/>
      <c r="F539" s="21"/>
      <c r="G539" s="21"/>
      <c r="H539" s="21"/>
      <c r="I539" s="21"/>
      <c r="J539" s="21"/>
      <c r="K539" s="24"/>
      <c r="L539" s="21"/>
      <c r="M539" s="25"/>
      <c r="N539" s="21"/>
      <c r="O539" s="21"/>
      <c r="P539" s="21"/>
      <c r="Q539" s="21"/>
      <c r="R539" s="21"/>
      <c r="S539" s="21"/>
      <c r="T539" s="21"/>
      <c r="U539" s="21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6"/>
      <c r="AQ539" s="27"/>
      <c r="AR539" s="21"/>
      <c r="AS539" s="28"/>
    </row>
    <row r="540" spans="1:45" x14ac:dyDescent="0.35">
      <c r="A540" s="29"/>
      <c r="B540" s="22"/>
      <c r="C540" s="22"/>
      <c r="D540" s="22"/>
      <c r="E540" s="22"/>
      <c r="F540" s="22"/>
      <c r="G540" s="22"/>
      <c r="H540" s="22"/>
      <c r="I540" s="22"/>
      <c r="J540" s="22"/>
      <c r="K540" s="29"/>
      <c r="L540" s="22"/>
      <c r="M540" s="30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22"/>
      <c r="AM540" s="22"/>
      <c r="AN540" s="22"/>
      <c r="AO540" s="21"/>
      <c r="AP540" s="26"/>
      <c r="AQ540" s="27"/>
      <c r="AR540" s="21"/>
      <c r="AS540" s="28"/>
    </row>
    <row r="541" spans="1:45" x14ac:dyDescent="0.35">
      <c r="A541" s="24"/>
      <c r="B541" s="21"/>
      <c r="C541" s="21"/>
      <c r="D541" s="21"/>
      <c r="E541" s="21"/>
      <c r="F541" s="21"/>
      <c r="G541" s="21"/>
      <c r="H541" s="21"/>
      <c r="I541" s="21"/>
      <c r="J541" s="21"/>
      <c r="K541" s="24"/>
      <c r="L541" s="21"/>
      <c r="M541" s="25"/>
      <c r="N541" s="21"/>
      <c r="O541" s="21"/>
      <c r="P541" s="21"/>
      <c r="Q541" s="21"/>
      <c r="R541" s="21"/>
      <c r="S541" s="21"/>
      <c r="T541" s="21"/>
      <c r="U541" s="21"/>
      <c r="V541" s="21"/>
      <c r="W541" s="21"/>
      <c r="X541" s="21"/>
      <c r="Y541" s="21"/>
      <c r="Z541" s="21"/>
      <c r="AA541" s="21"/>
      <c r="AB541" s="21"/>
      <c r="AC541" s="21"/>
      <c r="AD541" s="21"/>
      <c r="AE541" s="21"/>
      <c r="AF541" s="21"/>
      <c r="AG541" s="21"/>
      <c r="AH541" s="21"/>
      <c r="AI541" s="21"/>
      <c r="AJ541" s="21"/>
      <c r="AK541" s="21"/>
      <c r="AL541" s="21"/>
      <c r="AM541" s="21"/>
      <c r="AN541" s="21"/>
      <c r="AO541" s="21"/>
      <c r="AP541" s="26"/>
      <c r="AQ541" s="27"/>
      <c r="AR541" s="21"/>
      <c r="AS541" s="28"/>
    </row>
    <row r="542" spans="1:45" x14ac:dyDescent="0.35">
      <c r="A542" s="24"/>
      <c r="B542" s="21"/>
      <c r="C542" s="21"/>
      <c r="D542" s="21"/>
      <c r="E542" s="21"/>
      <c r="F542" s="21"/>
      <c r="G542" s="21"/>
      <c r="H542" s="21"/>
      <c r="I542" s="21"/>
      <c r="J542" s="21"/>
      <c r="K542" s="24"/>
      <c r="L542" s="21"/>
      <c r="M542" s="25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6"/>
      <c r="AQ542" s="27"/>
      <c r="AR542" s="21"/>
      <c r="AS542" s="28"/>
    </row>
    <row r="543" spans="1:45" x14ac:dyDescent="0.35">
      <c r="A543" s="24"/>
      <c r="B543" s="21"/>
      <c r="C543" s="21"/>
      <c r="D543" s="21"/>
      <c r="E543" s="21"/>
      <c r="F543" s="21"/>
      <c r="G543" s="21"/>
      <c r="H543" s="21"/>
      <c r="I543" s="21"/>
      <c r="J543" s="21"/>
      <c r="K543" s="24"/>
      <c r="L543" s="21"/>
      <c r="M543" s="25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6"/>
      <c r="AQ543" s="27"/>
      <c r="AR543" s="21"/>
      <c r="AS543" s="28"/>
    </row>
    <row r="544" spans="1:45" x14ac:dyDescent="0.35">
      <c r="A544" s="24"/>
      <c r="B544" s="21"/>
      <c r="C544" s="21"/>
      <c r="D544" s="21"/>
      <c r="E544" s="21"/>
      <c r="F544" s="21"/>
      <c r="G544" s="21"/>
      <c r="H544" s="21"/>
      <c r="I544" s="21"/>
      <c r="J544" s="21"/>
      <c r="K544" s="24"/>
      <c r="L544" s="21"/>
      <c r="M544" s="25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6"/>
      <c r="AQ544" s="27"/>
      <c r="AR544" s="21"/>
      <c r="AS544" s="28"/>
    </row>
    <row r="545" spans="1:45" x14ac:dyDescent="0.35">
      <c r="A545" s="24"/>
      <c r="B545" s="21"/>
      <c r="C545" s="21"/>
      <c r="D545" s="21"/>
      <c r="E545" s="21"/>
      <c r="F545" s="21"/>
      <c r="G545" s="21"/>
      <c r="H545" s="21"/>
      <c r="I545" s="21"/>
      <c r="J545" s="21"/>
      <c r="K545" s="24"/>
      <c r="L545" s="21"/>
      <c r="M545" s="25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6"/>
      <c r="AQ545" s="27"/>
      <c r="AR545" s="21"/>
      <c r="AS545" s="28"/>
    </row>
    <row r="546" spans="1:45" x14ac:dyDescent="0.35">
      <c r="A546" s="29"/>
      <c r="B546" s="22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30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  <c r="AD546" s="22"/>
      <c r="AE546" s="22"/>
      <c r="AF546" s="22"/>
      <c r="AG546" s="22"/>
      <c r="AH546" s="22"/>
      <c r="AI546" s="22"/>
      <c r="AJ546" s="22"/>
      <c r="AK546" s="22"/>
      <c r="AL546" s="22"/>
      <c r="AM546" s="22"/>
      <c r="AN546" s="22"/>
      <c r="AO546" s="21"/>
      <c r="AP546" s="26"/>
      <c r="AQ546" s="27"/>
      <c r="AR546" s="21"/>
      <c r="AS546" s="28"/>
    </row>
    <row r="547" spans="1:45" x14ac:dyDescent="0.35">
      <c r="A547" s="24"/>
      <c r="B547" s="21"/>
      <c r="C547" s="21"/>
      <c r="D547" s="21"/>
      <c r="E547" s="21"/>
      <c r="F547" s="21"/>
      <c r="G547" s="21"/>
      <c r="H547" s="21"/>
      <c r="I547" s="21"/>
      <c r="J547" s="21"/>
      <c r="K547" s="21"/>
      <c r="L547" s="21"/>
      <c r="M547" s="25"/>
      <c r="N547" s="21"/>
      <c r="O547" s="21"/>
      <c r="P547" s="21"/>
      <c r="Q547" s="21"/>
      <c r="R547" s="21"/>
      <c r="S547" s="21"/>
      <c r="T547" s="21"/>
      <c r="U547" s="21"/>
      <c r="V547" s="21"/>
      <c r="W547" s="21"/>
      <c r="X547" s="21"/>
      <c r="Y547" s="21"/>
      <c r="Z547" s="21"/>
      <c r="AA547" s="21"/>
      <c r="AB547" s="21"/>
      <c r="AC547" s="21"/>
      <c r="AD547" s="21"/>
      <c r="AE547" s="21"/>
      <c r="AF547" s="21"/>
      <c r="AG547" s="21"/>
      <c r="AH547" s="21"/>
      <c r="AI547" s="21"/>
      <c r="AJ547" s="21"/>
      <c r="AK547" s="21"/>
      <c r="AL547" s="21"/>
      <c r="AM547" s="21"/>
      <c r="AN547" s="21"/>
      <c r="AO547" s="21"/>
      <c r="AP547" s="26"/>
      <c r="AQ547" s="27"/>
      <c r="AR547" s="21"/>
      <c r="AS547" s="28"/>
    </row>
    <row r="548" spans="1:45" x14ac:dyDescent="0.35">
      <c r="A548" s="24"/>
      <c r="B548" s="21"/>
      <c r="C548" s="21"/>
      <c r="D548" s="21"/>
      <c r="E548" s="21"/>
      <c r="F548" s="21"/>
      <c r="G548" s="21"/>
      <c r="H548" s="21"/>
      <c r="I548" s="21"/>
      <c r="J548" s="21"/>
      <c r="K548" s="24"/>
      <c r="L548" s="21"/>
      <c r="M548" s="25"/>
      <c r="N548" s="21"/>
      <c r="O548" s="21"/>
      <c r="P548" s="21"/>
      <c r="Q548" s="21"/>
      <c r="R548" s="21"/>
      <c r="S548" s="21"/>
      <c r="T548" s="21"/>
      <c r="U548" s="21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6"/>
      <c r="AQ548" s="27"/>
      <c r="AR548" s="21"/>
      <c r="AS548" s="28"/>
    </row>
    <row r="549" spans="1:45" x14ac:dyDescent="0.35">
      <c r="A549" s="24"/>
      <c r="B549" s="21"/>
      <c r="C549" s="21"/>
      <c r="D549" s="21"/>
      <c r="E549" s="21"/>
      <c r="F549" s="21"/>
      <c r="G549" s="21"/>
      <c r="H549" s="21"/>
      <c r="I549" s="21"/>
      <c r="J549" s="21"/>
      <c r="K549" s="24"/>
      <c r="L549" s="21"/>
      <c r="M549" s="25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6"/>
      <c r="AQ549" s="27"/>
      <c r="AR549" s="21"/>
      <c r="AS549" s="28"/>
    </row>
    <row r="550" spans="1:45" x14ac:dyDescent="0.35">
      <c r="A550" s="24"/>
      <c r="B550" s="21"/>
      <c r="C550" s="21"/>
      <c r="D550" s="21"/>
      <c r="E550" s="21"/>
      <c r="F550" s="21"/>
      <c r="G550" s="21"/>
      <c r="H550" s="21"/>
      <c r="I550" s="21"/>
      <c r="J550" s="21"/>
      <c r="K550" s="24"/>
      <c r="L550" s="21"/>
      <c r="M550" s="25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6"/>
      <c r="AQ550" s="27"/>
      <c r="AR550" s="21"/>
      <c r="AS550" s="28"/>
    </row>
    <row r="551" spans="1:45" x14ac:dyDescent="0.35">
      <c r="A551" s="31"/>
      <c r="B551" s="32"/>
      <c r="C551" s="32"/>
      <c r="D551" s="32"/>
      <c r="E551" s="32"/>
      <c r="F551" s="32"/>
      <c r="G551" s="32"/>
      <c r="H551" s="32"/>
      <c r="I551" s="32"/>
      <c r="J551" s="32"/>
      <c r="K551" s="32"/>
      <c r="L551" s="32"/>
      <c r="M551" s="33"/>
      <c r="N551" s="32"/>
      <c r="O551" s="32"/>
      <c r="P551" s="32"/>
      <c r="Q551" s="32"/>
      <c r="R551" s="32"/>
      <c r="S551" s="32"/>
      <c r="T551" s="32"/>
      <c r="U551" s="32"/>
      <c r="V551" s="32"/>
      <c r="W551" s="32"/>
      <c r="X551" s="32"/>
      <c r="Y551" s="32"/>
      <c r="Z551" s="32"/>
      <c r="AA551" s="32"/>
      <c r="AB551" s="32"/>
      <c r="AC551" s="32"/>
      <c r="AD551" s="32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21"/>
      <c r="AP551" s="26"/>
      <c r="AQ551" s="27"/>
      <c r="AR551" s="21"/>
      <c r="AS551" s="28"/>
    </row>
    <row r="552" spans="1:45" x14ac:dyDescent="0.35">
      <c r="A552" s="31"/>
      <c r="B552" s="32"/>
      <c r="C552" s="32"/>
      <c r="D552" s="32"/>
      <c r="E552" s="32"/>
      <c r="F552" s="32"/>
      <c r="G552" s="32"/>
      <c r="H552" s="32"/>
      <c r="I552" s="32"/>
      <c r="J552" s="32"/>
      <c r="K552" s="32"/>
      <c r="L552" s="32"/>
      <c r="M552" s="33"/>
      <c r="N552" s="32"/>
      <c r="O552" s="32"/>
      <c r="P552" s="32"/>
      <c r="Q552" s="32"/>
      <c r="R552" s="32"/>
      <c r="S552" s="32"/>
      <c r="T552" s="32"/>
      <c r="U552" s="32"/>
      <c r="V552" s="32"/>
      <c r="W552" s="32"/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21"/>
      <c r="AP552" s="26"/>
      <c r="AQ552" s="27"/>
      <c r="AR552" s="21"/>
      <c r="AS552" s="28"/>
    </row>
    <row r="553" spans="1:45" x14ac:dyDescent="0.35">
      <c r="A553" s="24"/>
      <c r="B553" s="21"/>
      <c r="C553" s="21"/>
      <c r="D553" s="21"/>
      <c r="E553" s="21"/>
      <c r="F553" s="21"/>
      <c r="G553" s="21"/>
      <c r="H553" s="21"/>
      <c r="I553" s="21"/>
      <c r="J553" s="21"/>
      <c r="K553" s="24"/>
      <c r="L553" s="21"/>
      <c r="M553" s="25"/>
      <c r="N553" s="21"/>
      <c r="O553" s="21"/>
      <c r="P553" s="21"/>
      <c r="Q553" s="21"/>
      <c r="R553" s="21"/>
      <c r="S553" s="21"/>
      <c r="T553" s="21"/>
      <c r="U553" s="21"/>
      <c r="V553" s="21"/>
      <c r="W553" s="21"/>
      <c r="X553" s="21"/>
      <c r="Y553" s="21"/>
      <c r="Z553" s="21"/>
      <c r="AA553" s="21"/>
      <c r="AB553" s="21"/>
      <c r="AC553" s="21"/>
      <c r="AD553" s="21"/>
      <c r="AE553" s="21"/>
      <c r="AF553" s="21"/>
      <c r="AG553" s="21"/>
      <c r="AH553" s="21"/>
      <c r="AI553" s="21"/>
      <c r="AJ553" s="21"/>
      <c r="AK553" s="21"/>
      <c r="AL553" s="21"/>
      <c r="AM553" s="21"/>
      <c r="AN553" s="21"/>
      <c r="AO553" s="21"/>
      <c r="AP553" s="26"/>
      <c r="AQ553" s="27"/>
      <c r="AR553" s="21"/>
      <c r="AS553" s="28"/>
    </row>
    <row r="554" spans="1:45" x14ac:dyDescent="0.35">
      <c r="A554" s="24"/>
      <c r="B554" s="21"/>
      <c r="C554" s="21"/>
      <c r="D554" s="21"/>
      <c r="E554" s="21"/>
      <c r="F554" s="21"/>
      <c r="G554" s="21"/>
      <c r="H554" s="21"/>
      <c r="I554" s="21"/>
      <c r="J554" s="21"/>
      <c r="K554" s="24"/>
      <c r="L554" s="21"/>
      <c r="M554" s="25"/>
      <c r="N554" s="21"/>
      <c r="O554" s="21"/>
      <c r="P554" s="21"/>
      <c r="Q554" s="21"/>
      <c r="R554" s="21"/>
      <c r="S554" s="21"/>
      <c r="T554" s="21"/>
      <c r="U554" s="21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6"/>
      <c r="AQ554" s="27"/>
      <c r="AR554" s="21"/>
      <c r="AS554" s="28"/>
    </row>
    <row r="555" spans="1:45" x14ac:dyDescent="0.35">
      <c r="A555" s="24"/>
      <c r="B555" s="21"/>
      <c r="C555" s="21"/>
      <c r="D555" s="21"/>
      <c r="E555" s="21"/>
      <c r="F555" s="21"/>
      <c r="G555" s="21"/>
      <c r="H555" s="21"/>
      <c r="I555" s="21"/>
      <c r="J555" s="21"/>
      <c r="K555" s="21"/>
      <c r="L555" s="21"/>
      <c r="M555" s="25"/>
      <c r="N555" s="21"/>
      <c r="O555" s="21"/>
      <c r="P555" s="21"/>
      <c r="Q555" s="21"/>
      <c r="R555" s="21"/>
      <c r="S555" s="21"/>
      <c r="T555" s="21"/>
      <c r="U555" s="21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6"/>
      <c r="AQ555" s="27"/>
      <c r="AR555" s="21"/>
      <c r="AS555" s="28"/>
    </row>
    <row r="556" spans="1:45" x14ac:dyDescent="0.35">
      <c r="A556" s="24"/>
      <c r="B556" s="21"/>
      <c r="C556" s="21"/>
      <c r="D556" s="21"/>
      <c r="E556" s="21"/>
      <c r="F556" s="21"/>
      <c r="G556" s="21"/>
      <c r="H556" s="21"/>
      <c r="I556" s="21"/>
      <c r="J556" s="21"/>
      <c r="K556" s="24"/>
      <c r="L556" s="21"/>
      <c r="M556" s="25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6"/>
      <c r="AQ556" s="27"/>
      <c r="AR556" s="21"/>
      <c r="AS556" s="28"/>
    </row>
    <row r="557" spans="1:45" x14ac:dyDescent="0.35">
      <c r="A557" s="24"/>
      <c r="B557" s="21"/>
      <c r="C557" s="21"/>
      <c r="D557" s="21"/>
      <c r="E557" s="21"/>
      <c r="F557" s="21"/>
      <c r="G557" s="21"/>
      <c r="H557" s="21"/>
      <c r="I557" s="21"/>
      <c r="J557" s="21"/>
      <c r="K557" s="21"/>
      <c r="L557" s="21"/>
      <c r="M557" s="25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6"/>
      <c r="AQ557" s="27"/>
      <c r="AR557" s="21"/>
      <c r="AS557" s="28"/>
    </row>
    <row r="558" spans="1:45" x14ac:dyDescent="0.35">
      <c r="A558" s="24"/>
      <c r="B558" s="21"/>
      <c r="C558" s="21"/>
      <c r="D558" s="21"/>
      <c r="E558" s="21"/>
      <c r="F558" s="21"/>
      <c r="G558" s="21"/>
      <c r="H558" s="21"/>
      <c r="I558" s="21"/>
      <c r="J558" s="21"/>
      <c r="K558" s="24"/>
      <c r="L558" s="21"/>
      <c r="M558" s="25"/>
      <c r="N558" s="21"/>
      <c r="O558" s="21"/>
      <c r="P558" s="21"/>
      <c r="Q558" s="21"/>
      <c r="R558" s="21"/>
      <c r="S558" s="21"/>
      <c r="T558" s="21"/>
      <c r="U558" s="21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  <c r="AF558" s="21"/>
      <c r="AG558" s="21"/>
      <c r="AH558" s="21"/>
      <c r="AI558" s="21"/>
      <c r="AJ558" s="21"/>
      <c r="AK558" s="21"/>
      <c r="AL558" s="21"/>
      <c r="AM558" s="21"/>
      <c r="AN558" s="21"/>
      <c r="AO558" s="21"/>
      <c r="AP558" s="26"/>
      <c r="AQ558" s="27"/>
      <c r="AR558" s="21"/>
      <c r="AS558" s="28"/>
    </row>
    <row r="559" spans="1:45" x14ac:dyDescent="0.35">
      <c r="A559" s="29"/>
      <c r="B559" s="22"/>
      <c r="C559" s="22"/>
      <c r="D559" s="22"/>
      <c r="E559" s="22"/>
      <c r="F559" s="22"/>
      <c r="G559" s="22"/>
      <c r="H559" s="22"/>
      <c r="I559" s="22"/>
      <c r="J559" s="22"/>
      <c r="K559" s="29"/>
      <c r="L559" s="22"/>
      <c r="M559" s="30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22"/>
      <c r="AM559" s="22"/>
      <c r="AN559" s="22"/>
      <c r="AO559" s="21"/>
      <c r="AP559" s="26"/>
      <c r="AQ559" s="27"/>
      <c r="AR559" s="21"/>
      <c r="AS559" s="28"/>
    </row>
    <row r="560" spans="1:45" x14ac:dyDescent="0.35">
      <c r="A560" s="24"/>
      <c r="B560" s="21"/>
      <c r="C560" s="21"/>
      <c r="D560" s="21"/>
      <c r="E560" s="21"/>
      <c r="F560" s="21"/>
      <c r="G560" s="21"/>
      <c r="H560" s="21"/>
      <c r="I560" s="21"/>
      <c r="J560" s="21"/>
      <c r="K560" s="24"/>
      <c r="L560" s="21"/>
      <c r="M560" s="25"/>
      <c r="N560" s="21"/>
      <c r="O560" s="21"/>
      <c r="P560" s="21"/>
      <c r="Q560" s="21"/>
      <c r="R560" s="21"/>
      <c r="S560" s="21"/>
      <c r="T560" s="21"/>
      <c r="U560" s="21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6"/>
      <c r="AQ560" s="27"/>
      <c r="AR560" s="21"/>
      <c r="AS560" s="28"/>
    </row>
    <row r="561" spans="1:45" x14ac:dyDescent="0.35">
      <c r="A561" s="29"/>
      <c r="B561" s="22"/>
      <c r="C561" s="22"/>
      <c r="D561" s="22"/>
      <c r="E561" s="22"/>
      <c r="F561" s="22"/>
      <c r="G561" s="22"/>
      <c r="H561" s="22"/>
      <c r="I561" s="22"/>
      <c r="J561" s="22"/>
      <c r="K561" s="29"/>
      <c r="L561" s="22"/>
      <c r="M561" s="30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22"/>
      <c r="AM561" s="22"/>
      <c r="AN561" s="22"/>
      <c r="AO561" s="21"/>
      <c r="AP561" s="26"/>
      <c r="AQ561" s="27"/>
      <c r="AR561" s="21"/>
      <c r="AS561" s="28"/>
    </row>
    <row r="562" spans="1:45" x14ac:dyDescent="0.35">
      <c r="A562" s="24"/>
      <c r="B562" s="21"/>
      <c r="C562" s="21"/>
      <c r="D562" s="21"/>
      <c r="E562" s="21"/>
      <c r="F562" s="21"/>
      <c r="G562" s="21"/>
      <c r="H562" s="21"/>
      <c r="I562" s="21"/>
      <c r="J562" s="21"/>
      <c r="K562" s="24"/>
      <c r="L562" s="21"/>
      <c r="M562" s="25"/>
      <c r="N562" s="21"/>
      <c r="O562" s="21"/>
      <c r="P562" s="21"/>
      <c r="Q562" s="21"/>
      <c r="R562" s="21"/>
      <c r="S562" s="21"/>
      <c r="T562" s="21"/>
      <c r="U562" s="21"/>
      <c r="V562" s="2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6"/>
      <c r="AQ562" s="27"/>
      <c r="AR562" s="21"/>
      <c r="AS562" s="28"/>
    </row>
    <row r="563" spans="1:45" x14ac:dyDescent="0.35">
      <c r="A563" s="24"/>
      <c r="B563" s="21"/>
      <c r="C563" s="21"/>
      <c r="D563" s="21"/>
      <c r="E563" s="21"/>
      <c r="F563" s="21"/>
      <c r="G563" s="21"/>
      <c r="H563" s="21"/>
      <c r="I563" s="21"/>
      <c r="J563" s="21"/>
      <c r="K563" s="21"/>
      <c r="L563" s="21"/>
      <c r="M563" s="25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6"/>
      <c r="AQ563" s="27"/>
      <c r="AR563" s="21"/>
      <c r="AS563" s="28"/>
    </row>
    <row r="564" spans="1:45" x14ac:dyDescent="0.35">
      <c r="A564" s="24"/>
      <c r="B564" s="21"/>
      <c r="C564" s="21"/>
      <c r="D564" s="21"/>
      <c r="E564" s="21"/>
      <c r="F564" s="21"/>
      <c r="G564" s="21"/>
      <c r="H564" s="21"/>
      <c r="I564" s="21"/>
      <c r="J564" s="21"/>
      <c r="K564" s="21"/>
      <c r="L564" s="21"/>
      <c r="M564" s="25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6"/>
      <c r="AQ564" s="27"/>
      <c r="AR564" s="21"/>
      <c r="AS564" s="28"/>
    </row>
    <row r="565" spans="1:45" x14ac:dyDescent="0.35">
      <c r="A565" s="24"/>
      <c r="B565" s="21"/>
      <c r="C565" s="21"/>
      <c r="D565" s="21"/>
      <c r="E565" s="21"/>
      <c r="F565" s="21"/>
      <c r="G565" s="21"/>
      <c r="H565" s="21"/>
      <c r="I565" s="21"/>
      <c r="J565" s="21"/>
      <c r="K565" s="21"/>
      <c r="L565" s="21"/>
      <c r="M565" s="25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6"/>
      <c r="AQ565" s="27"/>
      <c r="AR565" s="21"/>
      <c r="AS565" s="28"/>
    </row>
    <row r="566" spans="1:45" x14ac:dyDescent="0.35">
      <c r="A566" s="24"/>
      <c r="B566" s="21"/>
      <c r="C566" s="21"/>
      <c r="D566" s="21"/>
      <c r="E566" s="21"/>
      <c r="F566" s="21"/>
      <c r="G566" s="21"/>
      <c r="H566" s="21"/>
      <c r="I566" s="21"/>
      <c r="J566" s="21"/>
      <c r="K566" s="21"/>
      <c r="L566" s="21"/>
      <c r="M566" s="25"/>
      <c r="N566" s="21"/>
      <c r="O566" s="21"/>
      <c r="P566" s="21"/>
      <c r="Q566" s="21"/>
      <c r="R566" s="21"/>
      <c r="S566" s="21"/>
      <c r="T566" s="21"/>
      <c r="U566" s="21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  <c r="AF566" s="21"/>
      <c r="AG566" s="21"/>
      <c r="AH566" s="21"/>
      <c r="AI566" s="21"/>
      <c r="AJ566" s="21"/>
      <c r="AK566" s="21"/>
      <c r="AL566" s="21"/>
      <c r="AM566" s="21"/>
      <c r="AN566" s="21"/>
      <c r="AO566" s="21"/>
      <c r="AP566" s="26"/>
      <c r="AQ566" s="27"/>
      <c r="AR566" s="21"/>
      <c r="AS566" s="28"/>
    </row>
    <row r="567" spans="1:45" x14ac:dyDescent="0.35">
      <c r="A567" s="24"/>
      <c r="B567" s="21"/>
      <c r="C567" s="21"/>
      <c r="D567" s="21"/>
      <c r="E567" s="21"/>
      <c r="F567" s="21"/>
      <c r="G567" s="21"/>
      <c r="H567" s="21"/>
      <c r="I567" s="21"/>
      <c r="J567" s="21"/>
      <c r="K567" s="21"/>
      <c r="L567" s="21"/>
      <c r="M567" s="25"/>
      <c r="N567" s="21"/>
      <c r="O567" s="21"/>
      <c r="P567" s="21"/>
      <c r="Q567" s="21"/>
      <c r="R567" s="21"/>
      <c r="S567" s="21"/>
      <c r="T567" s="21"/>
      <c r="U567" s="21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6"/>
      <c r="AQ567" s="27"/>
      <c r="AR567" s="21"/>
      <c r="AS567" s="28"/>
    </row>
  </sheetData>
  <conditionalFormatting sqref="B123:C128">
    <cfRule type="expression" dxfId="0" priority="1">
      <formula>$B$123=MIN($B$123,$C$123)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eleccionarMaterialesYAbrirProveedor">
                <anchor moveWithCells="1" sizeWithCells="1">
                  <from>
                    <xdr:col>1</xdr:col>
                    <xdr:colOff>565150</xdr:colOff>
                    <xdr:row>274</xdr:row>
                    <xdr:rowOff>107950</xdr:rowOff>
                  </from>
                  <to>
                    <xdr:col>4</xdr:col>
                    <xdr:colOff>514350</xdr:colOff>
                    <xdr:row>277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AB1BF-10B9-4076-9E09-581A6EA1C547}">
  <sheetPr codeName="Solped3"/>
  <dimension ref="A1:XFD574"/>
  <sheetViews>
    <sheetView zoomScale="85" zoomScaleNormal="85" workbookViewId="0">
      <pane ySplit="1" topLeftCell="A10" activePane="bottomLeft" state="frozen"/>
      <selection activeCell="Y1" sqref="Y1"/>
      <selection pane="bottomLeft" activeCell="E21" sqref="E21"/>
    </sheetView>
  </sheetViews>
  <sheetFormatPr baseColWidth="10" defaultColWidth="8.7265625" defaultRowHeight="14.5" x14ac:dyDescent="0.35"/>
  <cols>
    <col min="1" max="1" width="15.81640625" style="20" bestFit="1" customWidth="1"/>
    <col min="2" max="2" width="11.36328125" style="20" customWidth="1"/>
    <col min="3" max="3" width="8.7265625" style="20"/>
    <col min="4" max="4" width="16.81640625" style="20" customWidth="1"/>
    <col min="5" max="5" width="45.08984375" style="20" bestFit="1" customWidth="1"/>
    <col min="6" max="6" width="8.90625" style="20" bestFit="1" customWidth="1"/>
    <col min="7" max="10" width="8.7265625" style="20"/>
    <col min="11" max="11" width="23.36328125" style="20" bestFit="1" customWidth="1"/>
    <col min="12" max="12" width="45" style="20" bestFit="1" customWidth="1"/>
    <col min="13" max="13" width="13.6328125" style="34" customWidth="1"/>
    <col min="14" max="14" width="8.7265625" style="20"/>
    <col min="15" max="15" width="8.90625" style="20" bestFit="1" customWidth="1"/>
    <col min="16" max="16" width="8.7265625" style="20"/>
    <col min="17" max="18" width="8.90625" style="20" bestFit="1" customWidth="1"/>
    <col min="19" max="19" width="11.54296875" style="20" bestFit="1" customWidth="1"/>
    <col min="20" max="24" width="8.7265625" style="20"/>
    <col min="25" max="25" width="8.90625" style="20" bestFit="1" customWidth="1"/>
    <col min="26" max="31" width="8.7265625" style="20"/>
    <col min="32" max="36" width="8.90625" style="20" bestFit="1" customWidth="1"/>
    <col min="37" max="37" width="8.7265625" style="20"/>
    <col min="38" max="38" width="8.90625" style="20" bestFit="1" customWidth="1"/>
    <col min="39" max="39" width="50.26953125" style="20" bestFit="1" customWidth="1"/>
    <col min="40" max="40" width="21.453125" style="20" bestFit="1" customWidth="1"/>
    <col min="41" max="41" width="10" style="20" bestFit="1" customWidth="1"/>
    <col min="42" max="42" width="12.36328125" style="20" bestFit="1" customWidth="1"/>
    <col min="43" max="43" width="8.81640625" style="20" bestFit="1" customWidth="1"/>
    <col min="44" max="44" width="10.1796875" style="20" bestFit="1" customWidth="1"/>
    <col min="45" max="45" width="10.36328125" style="20" bestFit="1" customWidth="1"/>
    <col min="46" max="46" width="11.6328125" style="28" bestFit="1" customWidth="1"/>
    <col min="47" max="47" width="14.1796875" style="21" bestFit="1" customWidth="1"/>
    <col min="48" max="48" width="16.26953125" style="21" bestFit="1" customWidth="1"/>
    <col min="49" max="49" width="92.36328125" style="21" bestFit="1" customWidth="1"/>
    <col min="50" max="16384" width="8.7265625" style="20"/>
  </cols>
  <sheetData>
    <row r="1" spans="1:49 16384:16384" x14ac:dyDescent="0.35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7</v>
      </c>
      <c r="R1" s="8" t="s">
        <v>16</v>
      </c>
      <c r="S1" s="8" t="s">
        <v>17</v>
      </c>
      <c r="T1" s="8" t="s">
        <v>18</v>
      </c>
      <c r="U1" s="8" t="s">
        <v>19</v>
      </c>
      <c r="V1" s="8" t="s">
        <v>20</v>
      </c>
      <c r="W1" s="8" t="s">
        <v>21</v>
      </c>
      <c r="X1" s="8" t="s">
        <v>22</v>
      </c>
      <c r="Y1" s="8" t="s">
        <v>23</v>
      </c>
      <c r="Z1" s="8" t="s">
        <v>24</v>
      </c>
      <c r="AA1" s="8" t="s">
        <v>25</v>
      </c>
      <c r="AB1" s="8" t="s">
        <v>26</v>
      </c>
      <c r="AC1" s="8" t="s">
        <v>27</v>
      </c>
      <c r="AD1" s="8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8" t="s">
        <v>33</v>
      </c>
      <c r="AJ1" s="8" t="s">
        <v>34</v>
      </c>
      <c r="AK1" s="8" t="s">
        <v>13</v>
      </c>
      <c r="AL1" s="8" t="s">
        <v>35</v>
      </c>
      <c r="AM1" s="8" t="s">
        <v>36</v>
      </c>
      <c r="AN1" s="8" t="s">
        <v>37</v>
      </c>
      <c r="AO1" s="8" t="s">
        <v>169</v>
      </c>
      <c r="AP1" s="9" t="s">
        <v>38</v>
      </c>
      <c r="AQ1" s="10" t="s">
        <v>39</v>
      </c>
      <c r="AR1" s="8" t="s">
        <v>40</v>
      </c>
      <c r="AS1" s="8" t="s">
        <v>41</v>
      </c>
      <c r="AT1" s="19"/>
      <c r="AU1" s="21" t="s">
        <v>40</v>
      </c>
      <c r="AV1" s="21" t="s">
        <v>514</v>
      </c>
      <c r="AW1" s="21" t="s">
        <v>515</v>
      </c>
      <c r="XFD1" s="20">
        <v>1</v>
      </c>
    </row>
    <row r="2" spans="1:49 16384:16384" x14ac:dyDescent="0.35">
      <c r="A2" s="57">
        <v>46121</v>
      </c>
      <c r="B2" s="58" t="s">
        <v>315</v>
      </c>
      <c r="C2" s="58" t="s">
        <v>63</v>
      </c>
      <c r="D2" s="58">
        <v>14904346</v>
      </c>
      <c r="E2" s="58" t="s">
        <v>316</v>
      </c>
      <c r="F2" s="58">
        <v>1</v>
      </c>
      <c r="G2" s="58" t="s">
        <v>43</v>
      </c>
      <c r="H2" s="58" t="s">
        <v>44</v>
      </c>
      <c r="I2" s="58" t="s">
        <v>45</v>
      </c>
      <c r="J2" s="58" t="s">
        <v>45</v>
      </c>
      <c r="K2" s="57">
        <v>46132</v>
      </c>
      <c r="L2" s="58" t="s">
        <v>317</v>
      </c>
      <c r="M2" s="58">
        <v>422.4</v>
      </c>
      <c r="N2" s="58" t="s">
        <v>56</v>
      </c>
      <c r="O2" s="58">
        <v>1</v>
      </c>
      <c r="P2" s="58" t="s">
        <v>43</v>
      </c>
      <c r="Q2" s="58">
        <v>1207</v>
      </c>
      <c r="R2" s="58">
        <v>1</v>
      </c>
      <c r="S2" s="58">
        <v>4500901987</v>
      </c>
      <c r="T2" s="58" t="s">
        <v>225</v>
      </c>
      <c r="U2" s="58" t="s">
        <v>86</v>
      </c>
      <c r="V2" s="58" t="s">
        <v>70</v>
      </c>
      <c r="W2" s="58" t="s">
        <v>84</v>
      </c>
      <c r="X2" s="58" t="s">
        <v>49</v>
      </c>
      <c r="Y2" s="58">
        <v>0</v>
      </c>
      <c r="Z2" s="58" t="s">
        <v>131</v>
      </c>
      <c r="AA2" s="58" t="s">
        <v>85</v>
      </c>
      <c r="AB2" s="58" t="s">
        <v>61</v>
      </c>
      <c r="AC2" s="58" t="s">
        <v>318</v>
      </c>
      <c r="AD2" s="58" t="s">
        <v>64</v>
      </c>
      <c r="AE2" s="58">
        <v>46122</v>
      </c>
      <c r="AF2" s="58">
        <v>46121</v>
      </c>
      <c r="AG2" s="58">
        <v>46121</v>
      </c>
      <c r="AH2" s="58">
        <v>46122</v>
      </c>
      <c r="AI2" s="58">
        <v>0</v>
      </c>
      <c r="AJ2" s="58">
        <v>1447.39</v>
      </c>
      <c r="AK2" s="58" t="s">
        <v>46</v>
      </c>
      <c r="AL2" s="58">
        <v>1447.39</v>
      </c>
      <c r="AM2" s="58" t="s">
        <v>319</v>
      </c>
      <c r="AN2" s="58">
        <v>4210997</v>
      </c>
      <c r="AO2" s="58" t="s">
        <v>446</v>
      </c>
      <c r="AP2" s="59" t="s">
        <v>320</v>
      </c>
      <c r="AQ2" s="60">
        <v>-16</v>
      </c>
      <c r="AR2" s="58" t="s">
        <v>53</v>
      </c>
      <c r="AS2" s="58" t="s">
        <v>54</v>
      </c>
      <c r="AT2" s="63">
        <v>4500903719</v>
      </c>
      <c r="AU2" s="55"/>
      <c r="AV2" s="55"/>
      <c r="AW2" s="55"/>
    </row>
    <row r="3" spans="1:49 16384:16384" x14ac:dyDescent="0.35">
      <c r="A3" s="11">
        <v>46127</v>
      </c>
      <c r="B3" s="1" t="s">
        <v>235</v>
      </c>
      <c r="C3" s="1" t="s">
        <v>42</v>
      </c>
      <c r="D3" s="1">
        <v>14906677</v>
      </c>
      <c r="E3" s="1" t="s">
        <v>236</v>
      </c>
      <c r="F3" s="1">
        <v>1</v>
      </c>
      <c r="G3" s="1" t="s">
        <v>43</v>
      </c>
      <c r="H3" s="1" t="s">
        <v>44</v>
      </c>
      <c r="I3" s="1" t="s">
        <v>45</v>
      </c>
      <c r="J3" s="1" t="s">
        <v>45</v>
      </c>
      <c r="K3" s="1"/>
      <c r="L3" s="1"/>
      <c r="M3" s="1"/>
      <c r="N3" s="1"/>
      <c r="O3" s="1"/>
      <c r="P3" s="1"/>
      <c r="Q3" s="1"/>
      <c r="R3" s="1"/>
      <c r="S3" s="1"/>
      <c r="T3" s="1" t="s">
        <v>225</v>
      </c>
      <c r="U3" s="1" t="s">
        <v>237</v>
      </c>
      <c r="V3" s="1" t="s">
        <v>70</v>
      </c>
      <c r="W3" s="1" t="s">
        <v>84</v>
      </c>
      <c r="X3" s="1" t="s">
        <v>49</v>
      </c>
      <c r="Y3" s="1">
        <v>0</v>
      </c>
      <c r="Z3" s="1" t="s">
        <v>131</v>
      </c>
      <c r="AA3" s="1" t="s">
        <v>85</v>
      </c>
      <c r="AB3" s="1" t="s">
        <v>61</v>
      </c>
      <c r="AC3" s="1" t="s">
        <v>271</v>
      </c>
      <c r="AD3" s="1" t="s">
        <v>42</v>
      </c>
      <c r="AE3" s="1">
        <v>46133</v>
      </c>
      <c r="AF3" s="1">
        <v>46127</v>
      </c>
      <c r="AG3" s="1">
        <v>46127</v>
      </c>
      <c r="AH3" s="1">
        <v>46128</v>
      </c>
      <c r="AI3" s="1">
        <v>0</v>
      </c>
      <c r="AJ3" s="1">
        <v>1162.04</v>
      </c>
      <c r="AK3" s="1" t="s">
        <v>46</v>
      </c>
      <c r="AL3" s="1">
        <v>1162.04</v>
      </c>
      <c r="AM3" s="1" t="s">
        <v>238</v>
      </c>
      <c r="AN3" s="1">
        <v>4214850</v>
      </c>
      <c r="AO3" s="1"/>
      <c r="AP3" s="12" t="s">
        <v>239</v>
      </c>
      <c r="AQ3" s="13">
        <v>-10</v>
      </c>
      <c r="AR3" s="1" t="s">
        <v>53</v>
      </c>
      <c r="AS3" s="1" t="s">
        <v>54</v>
      </c>
    </row>
    <row r="4" spans="1:49 16384:16384" ht="14" customHeight="1" x14ac:dyDescent="0.35">
      <c r="A4" s="11">
        <v>46135</v>
      </c>
      <c r="B4" s="1" t="s">
        <v>321</v>
      </c>
      <c r="C4" s="1" t="s">
        <v>42</v>
      </c>
      <c r="D4" s="1">
        <v>14902733</v>
      </c>
      <c r="E4" s="1" t="s">
        <v>322</v>
      </c>
      <c r="F4" s="1">
        <v>1</v>
      </c>
      <c r="G4" s="1" t="s">
        <v>43</v>
      </c>
      <c r="H4" s="1" t="s">
        <v>44</v>
      </c>
      <c r="I4" s="1" t="s">
        <v>45</v>
      </c>
      <c r="J4" s="1" t="s">
        <v>45</v>
      </c>
      <c r="K4" s="11">
        <v>46122</v>
      </c>
      <c r="L4" s="1" t="s">
        <v>317</v>
      </c>
      <c r="M4" s="1">
        <v>387</v>
      </c>
      <c r="N4" s="1" t="s">
        <v>56</v>
      </c>
      <c r="O4" s="1">
        <v>1</v>
      </c>
      <c r="P4" s="1" t="s">
        <v>43</v>
      </c>
      <c r="Q4" s="1">
        <v>1207</v>
      </c>
      <c r="R4" s="1">
        <v>1</v>
      </c>
      <c r="S4" s="1">
        <v>4500899918</v>
      </c>
      <c r="T4" s="1" t="s">
        <v>225</v>
      </c>
      <c r="U4" s="1" t="s">
        <v>323</v>
      </c>
      <c r="V4" s="1" t="s">
        <v>70</v>
      </c>
      <c r="W4" s="1" t="s">
        <v>84</v>
      </c>
      <c r="X4" s="1" t="s">
        <v>49</v>
      </c>
      <c r="Y4" s="1">
        <v>0</v>
      </c>
      <c r="Z4" s="1" t="s">
        <v>50</v>
      </c>
      <c r="AA4" s="1" t="s">
        <v>87</v>
      </c>
      <c r="AB4" s="1" t="s">
        <v>61</v>
      </c>
      <c r="AC4" s="1"/>
      <c r="AD4" s="1" t="s">
        <v>52</v>
      </c>
      <c r="AE4" s="1"/>
      <c r="AF4" s="1">
        <v>46135</v>
      </c>
      <c r="AG4" s="1">
        <v>46135</v>
      </c>
      <c r="AH4" s="1">
        <v>46136</v>
      </c>
      <c r="AI4" s="1">
        <v>0</v>
      </c>
      <c r="AJ4" s="1">
        <v>1332.05</v>
      </c>
      <c r="AK4" s="1" t="s">
        <v>46</v>
      </c>
      <c r="AL4" s="1">
        <v>1332.05</v>
      </c>
      <c r="AM4" s="1" t="s">
        <v>324</v>
      </c>
      <c r="AN4" s="1">
        <v>4215864</v>
      </c>
      <c r="AO4" s="1"/>
      <c r="AP4" s="12" t="s">
        <v>325</v>
      </c>
      <c r="AQ4" s="13">
        <v>-2</v>
      </c>
      <c r="AR4" s="1" t="s">
        <v>53</v>
      </c>
      <c r="AS4" s="1" t="s">
        <v>54</v>
      </c>
    </row>
    <row r="5" spans="1:49 16384:16384" x14ac:dyDescent="0.35">
      <c r="A5" s="11">
        <v>46135</v>
      </c>
      <c r="B5" s="1" t="s">
        <v>326</v>
      </c>
      <c r="C5" s="1" t="s">
        <v>42</v>
      </c>
      <c r="D5" s="1">
        <v>14904175</v>
      </c>
      <c r="E5" s="1" t="s">
        <v>327</v>
      </c>
      <c r="F5" s="1">
        <v>1</v>
      </c>
      <c r="G5" s="1" t="s">
        <v>43</v>
      </c>
      <c r="H5" s="1" t="s">
        <v>44</v>
      </c>
      <c r="I5" s="1" t="s">
        <v>45</v>
      </c>
      <c r="J5" s="1" t="s">
        <v>45</v>
      </c>
      <c r="K5" s="11">
        <v>46017</v>
      </c>
      <c r="L5" s="1" t="s">
        <v>317</v>
      </c>
      <c r="M5" s="1">
        <v>207.68</v>
      </c>
      <c r="N5" s="1" t="s">
        <v>56</v>
      </c>
      <c r="O5" s="1">
        <v>1</v>
      </c>
      <c r="P5" s="1" t="s">
        <v>43</v>
      </c>
      <c r="Q5" s="1">
        <v>1207</v>
      </c>
      <c r="R5" s="1">
        <v>1</v>
      </c>
      <c r="S5" s="1">
        <v>4500882483</v>
      </c>
      <c r="T5" s="1" t="s">
        <v>225</v>
      </c>
      <c r="U5" s="1" t="s">
        <v>323</v>
      </c>
      <c r="V5" s="1" t="s">
        <v>70</v>
      </c>
      <c r="W5" s="1" t="s">
        <v>84</v>
      </c>
      <c r="X5" s="1" t="s">
        <v>49</v>
      </c>
      <c r="Y5" s="1">
        <v>0</v>
      </c>
      <c r="Z5" s="1" t="s">
        <v>50</v>
      </c>
      <c r="AA5" s="1" t="s">
        <v>87</v>
      </c>
      <c r="AB5" s="1" t="s">
        <v>61</v>
      </c>
      <c r="AC5" s="1"/>
      <c r="AD5" s="1" t="s">
        <v>52</v>
      </c>
      <c r="AE5" s="1"/>
      <c r="AF5" s="1">
        <v>46135</v>
      </c>
      <c r="AG5" s="1">
        <v>46135</v>
      </c>
      <c r="AH5" s="1">
        <v>46136</v>
      </c>
      <c r="AI5" s="1">
        <v>0</v>
      </c>
      <c r="AJ5" s="1">
        <v>690.93</v>
      </c>
      <c r="AK5" s="1" t="s">
        <v>46</v>
      </c>
      <c r="AL5" s="1">
        <v>690.93</v>
      </c>
      <c r="AM5" s="1" t="s">
        <v>328</v>
      </c>
      <c r="AN5" s="1">
        <v>4215865</v>
      </c>
      <c r="AO5" s="1"/>
      <c r="AP5" s="12" t="s">
        <v>329</v>
      </c>
      <c r="AQ5" s="13">
        <v>-2</v>
      </c>
      <c r="AR5" s="1" t="s">
        <v>53</v>
      </c>
      <c r="AS5" s="1" t="s">
        <v>54</v>
      </c>
    </row>
    <row r="6" spans="1:49 16384:16384" x14ac:dyDescent="0.35">
      <c r="A6" s="39">
        <v>46139</v>
      </c>
      <c r="B6" s="40" t="s">
        <v>447</v>
      </c>
      <c r="C6" s="40" t="s">
        <v>42</v>
      </c>
      <c r="D6" s="40">
        <v>14905046</v>
      </c>
      <c r="E6" s="40" t="s">
        <v>448</v>
      </c>
      <c r="F6" s="40">
        <v>1</v>
      </c>
      <c r="G6" s="40" t="s">
        <v>43</v>
      </c>
      <c r="H6" s="40" t="s">
        <v>264</v>
      </c>
      <c r="I6" s="40" t="s">
        <v>45</v>
      </c>
      <c r="J6" s="40" t="s">
        <v>45</v>
      </c>
      <c r="K6" s="39">
        <v>46127</v>
      </c>
      <c r="L6" s="40" t="s">
        <v>317</v>
      </c>
      <c r="M6" s="40">
        <v>564</v>
      </c>
      <c r="N6" s="40" t="s">
        <v>56</v>
      </c>
      <c r="O6" s="40">
        <v>1</v>
      </c>
      <c r="P6" s="40" t="s">
        <v>43</v>
      </c>
      <c r="Q6" s="40">
        <v>1301</v>
      </c>
      <c r="R6" s="40">
        <v>1</v>
      </c>
      <c r="S6" s="40">
        <v>4500901098</v>
      </c>
      <c r="T6" s="40" t="s">
        <v>225</v>
      </c>
      <c r="U6" s="40" t="s">
        <v>265</v>
      </c>
      <c r="V6" s="40" t="s">
        <v>135</v>
      </c>
      <c r="W6" s="40" t="s">
        <v>97</v>
      </c>
      <c r="X6" s="40" t="s">
        <v>49</v>
      </c>
      <c r="Y6" s="40">
        <v>0</v>
      </c>
      <c r="Z6" s="40" t="s">
        <v>50</v>
      </c>
      <c r="AA6" s="40"/>
      <c r="AB6" s="40" t="s">
        <v>51</v>
      </c>
      <c r="AC6" s="40"/>
      <c r="AD6" s="40" t="s">
        <v>52</v>
      </c>
      <c r="AE6" s="40"/>
      <c r="AF6" s="40">
        <v>46139</v>
      </c>
      <c r="AG6" s="40">
        <v>46139</v>
      </c>
      <c r="AH6" s="40">
        <v>46139</v>
      </c>
      <c r="AI6" s="40">
        <v>0</v>
      </c>
      <c r="AJ6" s="40">
        <v>2357.6</v>
      </c>
      <c r="AK6" s="40" t="s">
        <v>46</v>
      </c>
      <c r="AL6" s="40">
        <v>2357.6</v>
      </c>
      <c r="AM6" s="40"/>
      <c r="AN6" s="40"/>
      <c r="AO6" s="40"/>
      <c r="AP6" s="41" t="s">
        <v>449</v>
      </c>
      <c r="AQ6" s="42">
        <v>2</v>
      </c>
      <c r="AR6" s="40" t="s">
        <v>62</v>
      </c>
      <c r="AS6" s="40" t="s">
        <v>54</v>
      </c>
      <c r="AT6" s="63">
        <v>4500903642</v>
      </c>
      <c r="AU6" s="55"/>
      <c r="AV6" s="55"/>
      <c r="AW6" s="55"/>
    </row>
    <row r="7" spans="1:49 16384:16384" x14ac:dyDescent="0.35">
      <c r="A7" s="39">
        <v>46139</v>
      </c>
      <c r="B7" s="40" t="s">
        <v>450</v>
      </c>
      <c r="C7" s="40" t="s">
        <v>63</v>
      </c>
      <c r="D7" s="40">
        <v>14091435</v>
      </c>
      <c r="E7" s="40" t="s">
        <v>368</v>
      </c>
      <c r="F7" s="40">
        <v>1</v>
      </c>
      <c r="G7" s="40" t="s">
        <v>43</v>
      </c>
      <c r="H7" s="40" t="s">
        <v>44</v>
      </c>
      <c r="I7" s="40" t="s">
        <v>45</v>
      </c>
      <c r="J7" s="40" t="s">
        <v>45</v>
      </c>
      <c r="K7" s="39">
        <v>46139</v>
      </c>
      <c r="L7" s="40" t="s">
        <v>241</v>
      </c>
      <c r="M7" s="40">
        <v>25.8</v>
      </c>
      <c r="N7" s="40" t="s">
        <v>46</v>
      </c>
      <c r="O7" s="40">
        <v>1</v>
      </c>
      <c r="P7" s="40" t="s">
        <v>43</v>
      </c>
      <c r="Q7" s="40">
        <v>1207</v>
      </c>
      <c r="R7" s="40">
        <v>1</v>
      </c>
      <c r="S7" s="40">
        <v>4500903428</v>
      </c>
      <c r="T7" s="40" t="s">
        <v>369</v>
      </c>
      <c r="U7" s="40" t="s">
        <v>128</v>
      </c>
      <c r="V7" s="40" t="s">
        <v>70</v>
      </c>
      <c r="W7" s="40" t="s">
        <v>84</v>
      </c>
      <c r="X7" s="40" t="s">
        <v>49</v>
      </c>
      <c r="Y7" s="40">
        <v>0</v>
      </c>
      <c r="Z7" s="40" t="s">
        <v>50</v>
      </c>
      <c r="AA7" s="40" t="s">
        <v>87</v>
      </c>
      <c r="AB7" s="40" t="s">
        <v>61</v>
      </c>
      <c r="AC7" s="40"/>
      <c r="AD7" s="40" t="s">
        <v>52</v>
      </c>
      <c r="AE7" s="40"/>
      <c r="AF7" s="40">
        <v>46139</v>
      </c>
      <c r="AG7" s="40">
        <v>46139</v>
      </c>
      <c r="AH7" s="40">
        <v>46140</v>
      </c>
      <c r="AI7" s="40">
        <v>0</v>
      </c>
      <c r="AJ7" s="40">
        <v>25.63</v>
      </c>
      <c r="AK7" s="40" t="s">
        <v>46</v>
      </c>
      <c r="AL7" s="40">
        <v>25.63</v>
      </c>
      <c r="AM7" s="40" t="s">
        <v>451</v>
      </c>
      <c r="AN7" s="40">
        <v>4214420</v>
      </c>
      <c r="AO7" s="40"/>
      <c r="AP7" s="41" t="s">
        <v>452</v>
      </c>
      <c r="AQ7" s="42">
        <v>2</v>
      </c>
      <c r="AR7" s="40" t="s">
        <v>62</v>
      </c>
      <c r="AS7" s="40" t="s">
        <v>54</v>
      </c>
      <c r="AT7" s="63">
        <v>4500903721</v>
      </c>
      <c r="AU7" s="55"/>
      <c r="AV7" s="55"/>
      <c r="AW7" s="55"/>
    </row>
    <row r="8" spans="1:49 16384:16384" x14ac:dyDescent="0.35">
      <c r="A8" s="39">
        <v>46133</v>
      </c>
      <c r="B8" s="40" t="s">
        <v>272</v>
      </c>
      <c r="C8" s="40" t="s">
        <v>105</v>
      </c>
      <c r="D8" s="40">
        <v>14101769</v>
      </c>
      <c r="E8" s="40" t="s">
        <v>273</v>
      </c>
      <c r="F8" s="40">
        <v>1</v>
      </c>
      <c r="G8" s="40" t="s">
        <v>43</v>
      </c>
      <c r="H8" s="40" t="s">
        <v>264</v>
      </c>
      <c r="I8" s="40" t="s">
        <v>45</v>
      </c>
      <c r="J8" s="40" t="s">
        <v>45</v>
      </c>
      <c r="K8" s="40"/>
      <c r="L8" s="40"/>
      <c r="M8" s="40"/>
      <c r="N8" s="40"/>
      <c r="O8" s="40"/>
      <c r="P8" s="40"/>
      <c r="Q8" s="40"/>
      <c r="R8" s="40"/>
      <c r="S8" s="40"/>
      <c r="T8" s="40" t="s">
        <v>274</v>
      </c>
      <c r="U8" s="40" t="s">
        <v>265</v>
      </c>
      <c r="V8" s="40" t="s">
        <v>135</v>
      </c>
      <c r="W8" s="40" t="s">
        <v>266</v>
      </c>
      <c r="X8" s="40" t="s">
        <v>267</v>
      </c>
      <c r="Y8" s="40">
        <v>0</v>
      </c>
      <c r="Z8" s="40" t="s">
        <v>50</v>
      </c>
      <c r="AA8" s="40"/>
      <c r="AB8" s="40" t="s">
        <v>51</v>
      </c>
      <c r="AC8" s="40"/>
      <c r="AD8" s="40" t="s">
        <v>52</v>
      </c>
      <c r="AE8" s="40"/>
      <c r="AF8" s="40">
        <v>46133</v>
      </c>
      <c r="AG8" s="40">
        <v>46133</v>
      </c>
      <c r="AH8" s="40">
        <v>46133</v>
      </c>
      <c r="AI8" s="40">
        <v>0</v>
      </c>
      <c r="AJ8" s="40">
        <v>1000</v>
      </c>
      <c r="AK8" s="40" t="s">
        <v>46</v>
      </c>
      <c r="AL8" s="40">
        <v>1000</v>
      </c>
      <c r="AM8" s="40"/>
      <c r="AN8" s="40"/>
      <c r="AO8" s="40"/>
      <c r="AP8" s="41" t="s">
        <v>275</v>
      </c>
      <c r="AQ8" s="42">
        <v>-4</v>
      </c>
      <c r="AR8" s="40" t="s">
        <v>53</v>
      </c>
      <c r="AS8" s="40" t="s">
        <v>54</v>
      </c>
      <c r="AT8" s="63">
        <v>4500903713</v>
      </c>
      <c r="AU8" s="55"/>
      <c r="AV8" s="55"/>
      <c r="AW8" s="55"/>
    </row>
    <row r="9" spans="1:49 16384:16384" x14ac:dyDescent="0.35">
      <c r="A9" s="39">
        <v>46133</v>
      </c>
      <c r="B9" s="40" t="s">
        <v>272</v>
      </c>
      <c r="C9" s="40" t="s">
        <v>276</v>
      </c>
      <c r="D9" s="40">
        <v>14101770</v>
      </c>
      <c r="E9" s="40" t="s">
        <v>277</v>
      </c>
      <c r="F9" s="40">
        <v>1</v>
      </c>
      <c r="G9" s="40" t="s">
        <v>43</v>
      </c>
      <c r="H9" s="40" t="s">
        <v>44</v>
      </c>
      <c r="I9" s="40" t="s">
        <v>45</v>
      </c>
      <c r="J9" s="40" t="s">
        <v>45</v>
      </c>
      <c r="K9" s="40"/>
      <c r="L9" s="40"/>
      <c r="M9" s="40"/>
      <c r="N9" s="40"/>
      <c r="O9" s="40"/>
      <c r="P9" s="40"/>
      <c r="Q9" s="40"/>
      <c r="R9" s="40"/>
      <c r="S9" s="40"/>
      <c r="T9" s="40" t="s">
        <v>274</v>
      </c>
      <c r="U9" s="40" t="s">
        <v>265</v>
      </c>
      <c r="V9" s="40" t="s">
        <v>135</v>
      </c>
      <c r="W9" s="40" t="s">
        <v>266</v>
      </c>
      <c r="X9" s="40" t="s">
        <v>49</v>
      </c>
      <c r="Y9" s="40">
        <v>0</v>
      </c>
      <c r="Z9" s="40" t="s">
        <v>50</v>
      </c>
      <c r="AA9" s="40"/>
      <c r="AB9" s="40" t="s">
        <v>51</v>
      </c>
      <c r="AC9" s="40"/>
      <c r="AD9" s="40" t="s">
        <v>52</v>
      </c>
      <c r="AE9" s="40"/>
      <c r="AF9" s="40">
        <v>46133</v>
      </c>
      <c r="AG9" s="40">
        <v>46133</v>
      </c>
      <c r="AH9" s="40">
        <v>46133</v>
      </c>
      <c r="AI9" s="40">
        <v>0</v>
      </c>
      <c r="AJ9" s="40">
        <v>700</v>
      </c>
      <c r="AK9" s="40" t="s">
        <v>46</v>
      </c>
      <c r="AL9" s="40">
        <v>700</v>
      </c>
      <c r="AM9" s="40"/>
      <c r="AN9" s="40"/>
      <c r="AO9" s="40"/>
      <c r="AP9" s="41" t="s">
        <v>278</v>
      </c>
      <c r="AQ9" s="42">
        <v>-4</v>
      </c>
      <c r="AR9" s="40" t="s">
        <v>53</v>
      </c>
      <c r="AS9" s="40" t="s">
        <v>54</v>
      </c>
      <c r="AT9" s="63">
        <v>4500903709</v>
      </c>
      <c r="AU9" s="55"/>
      <c r="AV9" s="55"/>
      <c r="AW9" s="55"/>
    </row>
    <row r="10" spans="1:49 16384:16384" ht="20.5" customHeight="1" x14ac:dyDescent="0.35">
      <c r="A10" s="39">
        <v>46133</v>
      </c>
      <c r="B10" s="40" t="s">
        <v>272</v>
      </c>
      <c r="C10" s="40" t="s">
        <v>279</v>
      </c>
      <c r="D10" s="40">
        <v>14101589</v>
      </c>
      <c r="E10" s="40" t="s">
        <v>280</v>
      </c>
      <c r="F10" s="40">
        <v>1</v>
      </c>
      <c r="G10" s="40" t="s">
        <v>43</v>
      </c>
      <c r="H10" s="40" t="s">
        <v>264</v>
      </c>
      <c r="I10" s="40" t="s">
        <v>45</v>
      </c>
      <c r="J10" s="40" t="s">
        <v>45</v>
      </c>
      <c r="K10" s="39">
        <v>46121</v>
      </c>
      <c r="L10" s="40" t="s">
        <v>174</v>
      </c>
      <c r="M10" s="40">
        <v>31.52</v>
      </c>
      <c r="N10" s="40" t="s">
        <v>56</v>
      </c>
      <c r="O10" s="40">
        <v>1</v>
      </c>
      <c r="P10" s="40" t="s">
        <v>43</v>
      </c>
      <c r="Q10" s="40">
        <v>1207</v>
      </c>
      <c r="R10" s="40">
        <v>1</v>
      </c>
      <c r="S10" s="40">
        <v>4500899518</v>
      </c>
      <c r="T10" s="40" t="s">
        <v>274</v>
      </c>
      <c r="U10" s="40" t="s">
        <v>265</v>
      </c>
      <c r="V10" s="40" t="s">
        <v>135</v>
      </c>
      <c r="W10" s="40" t="s">
        <v>266</v>
      </c>
      <c r="X10" s="40" t="s">
        <v>267</v>
      </c>
      <c r="Y10" s="40">
        <v>0</v>
      </c>
      <c r="Z10" s="40" t="s">
        <v>50</v>
      </c>
      <c r="AA10" s="40"/>
      <c r="AB10" s="40" t="s">
        <v>51</v>
      </c>
      <c r="AC10" s="40"/>
      <c r="AD10" s="40" t="s">
        <v>52</v>
      </c>
      <c r="AE10" s="40"/>
      <c r="AF10" s="40">
        <v>46133</v>
      </c>
      <c r="AG10" s="40">
        <v>46133</v>
      </c>
      <c r="AH10" s="40">
        <v>46133</v>
      </c>
      <c r="AI10" s="40">
        <v>0</v>
      </c>
      <c r="AJ10" s="40">
        <v>105.93</v>
      </c>
      <c r="AK10" s="40" t="s">
        <v>46</v>
      </c>
      <c r="AL10" s="40">
        <v>105.93</v>
      </c>
      <c r="AM10" s="40"/>
      <c r="AN10" s="40"/>
      <c r="AO10" s="40"/>
      <c r="AP10" s="41" t="s">
        <v>281</v>
      </c>
      <c r="AQ10" s="42">
        <v>-4</v>
      </c>
      <c r="AR10" s="40" t="s">
        <v>53</v>
      </c>
      <c r="AS10" s="40" t="s">
        <v>54</v>
      </c>
      <c r="AT10" s="63">
        <v>4500903713</v>
      </c>
      <c r="AU10" s="55"/>
      <c r="AV10" s="55"/>
      <c r="AW10" s="55"/>
    </row>
    <row r="11" spans="1:49 16384:16384" x14ac:dyDescent="0.35">
      <c r="A11" s="11">
        <v>46112</v>
      </c>
      <c r="B11" s="1" t="s">
        <v>137</v>
      </c>
      <c r="C11" s="1" t="s">
        <v>42</v>
      </c>
      <c r="D11" s="1">
        <v>14092062</v>
      </c>
      <c r="E11" s="1" t="s">
        <v>138</v>
      </c>
      <c r="F11" s="1">
        <v>1</v>
      </c>
      <c r="G11" s="1" t="s">
        <v>43</v>
      </c>
      <c r="H11" s="1" t="s">
        <v>92</v>
      </c>
      <c r="I11" s="1" t="s">
        <v>45</v>
      </c>
      <c r="J11" s="1" t="s">
        <v>45</v>
      </c>
      <c r="K11" s="1"/>
      <c r="L11" s="1"/>
      <c r="M11" s="1"/>
      <c r="N11" s="1"/>
      <c r="O11" s="1"/>
      <c r="P11" s="1"/>
      <c r="Q11" s="1"/>
      <c r="R11" s="1"/>
      <c r="S11" s="1"/>
      <c r="T11" s="1" t="s">
        <v>139</v>
      </c>
      <c r="U11" s="1" t="s">
        <v>140</v>
      </c>
      <c r="V11" s="1" t="s">
        <v>135</v>
      </c>
      <c r="W11" s="1" t="s">
        <v>93</v>
      </c>
      <c r="X11" s="1" t="s">
        <v>59</v>
      </c>
      <c r="Y11" s="1">
        <v>0</v>
      </c>
      <c r="Z11" s="1" t="s">
        <v>50</v>
      </c>
      <c r="AA11" s="1" t="s">
        <v>94</v>
      </c>
      <c r="AB11" s="1" t="s">
        <v>61</v>
      </c>
      <c r="AC11" s="1"/>
      <c r="AD11" s="1" t="s">
        <v>52</v>
      </c>
      <c r="AE11" s="1"/>
      <c r="AF11" s="1">
        <v>46112</v>
      </c>
      <c r="AG11" s="1">
        <v>46112</v>
      </c>
      <c r="AH11" s="1">
        <v>46113</v>
      </c>
      <c r="AI11" s="1">
        <v>29</v>
      </c>
      <c r="AJ11" s="1">
        <v>108.75</v>
      </c>
      <c r="AK11" s="1" t="s">
        <v>46</v>
      </c>
      <c r="AL11" s="1">
        <v>108.75</v>
      </c>
      <c r="AM11" s="1" t="s">
        <v>141</v>
      </c>
      <c r="AN11" s="1">
        <v>2017463</v>
      </c>
      <c r="AO11" s="1"/>
      <c r="AP11" s="12" t="s">
        <v>142</v>
      </c>
      <c r="AQ11" s="13">
        <v>-25</v>
      </c>
      <c r="AR11" s="1" t="s">
        <v>53</v>
      </c>
      <c r="AS11" s="1" t="s">
        <v>54</v>
      </c>
      <c r="AV11" s="65"/>
    </row>
    <row r="12" spans="1:49 16384:16384" x14ac:dyDescent="0.35">
      <c r="A12" s="39">
        <v>46133</v>
      </c>
      <c r="B12" s="40" t="s">
        <v>262</v>
      </c>
      <c r="C12" s="40" t="s">
        <v>42</v>
      </c>
      <c r="D12" s="40">
        <v>14905873</v>
      </c>
      <c r="E12" s="40" t="s">
        <v>263</v>
      </c>
      <c r="F12" s="40">
        <v>3</v>
      </c>
      <c r="G12" s="40" t="s">
        <v>43</v>
      </c>
      <c r="H12" s="40" t="s">
        <v>264</v>
      </c>
      <c r="I12" s="40" t="s">
        <v>45</v>
      </c>
      <c r="J12" s="40" t="s">
        <v>45</v>
      </c>
      <c r="K12" s="40"/>
      <c r="L12" s="40"/>
      <c r="M12" s="40"/>
      <c r="N12" s="40"/>
      <c r="O12" s="40"/>
      <c r="P12" s="40"/>
      <c r="Q12" s="40"/>
      <c r="R12" s="40"/>
      <c r="S12" s="40"/>
      <c r="T12" s="40" t="s">
        <v>139</v>
      </c>
      <c r="U12" s="40" t="s">
        <v>265</v>
      </c>
      <c r="V12" s="40" t="s">
        <v>135</v>
      </c>
      <c r="W12" s="40" t="s">
        <v>266</v>
      </c>
      <c r="X12" s="40" t="s">
        <v>267</v>
      </c>
      <c r="Y12" s="40">
        <v>0</v>
      </c>
      <c r="Z12" s="40" t="s">
        <v>50</v>
      </c>
      <c r="AA12" s="40"/>
      <c r="AB12" s="40" t="s">
        <v>51</v>
      </c>
      <c r="AC12" s="40"/>
      <c r="AD12" s="40" t="s">
        <v>52</v>
      </c>
      <c r="AE12" s="40"/>
      <c r="AF12" s="40">
        <v>46133</v>
      </c>
      <c r="AG12" s="40">
        <v>46133</v>
      </c>
      <c r="AH12" s="40">
        <v>46133</v>
      </c>
      <c r="AI12" s="40">
        <v>0</v>
      </c>
      <c r="AJ12" s="40">
        <v>3188.16</v>
      </c>
      <c r="AK12" s="40" t="s">
        <v>46</v>
      </c>
      <c r="AL12" s="40">
        <v>9564.48</v>
      </c>
      <c r="AM12" s="40"/>
      <c r="AN12" s="40"/>
      <c r="AO12" s="40"/>
      <c r="AP12" s="41" t="s">
        <v>268</v>
      </c>
      <c r="AQ12" s="42">
        <v>-4</v>
      </c>
      <c r="AR12" s="40" t="s">
        <v>53</v>
      </c>
      <c r="AS12" s="40" t="s">
        <v>54</v>
      </c>
      <c r="AT12" s="63">
        <v>4500903710</v>
      </c>
      <c r="AU12" s="55"/>
      <c r="AV12" s="55"/>
      <c r="AW12" s="55"/>
    </row>
    <row r="13" spans="1:49 16384:16384" x14ac:dyDescent="0.35">
      <c r="A13" s="39">
        <v>46133</v>
      </c>
      <c r="B13" s="40" t="s">
        <v>272</v>
      </c>
      <c r="C13" s="40" t="s">
        <v>79</v>
      </c>
      <c r="D13" s="40">
        <v>14906304</v>
      </c>
      <c r="E13" s="40" t="s">
        <v>282</v>
      </c>
      <c r="F13" s="40">
        <v>10</v>
      </c>
      <c r="G13" s="40" t="s">
        <v>43</v>
      </c>
      <c r="H13" s="40" t="s">
        <v>264</v>
      </c>
      <c r="I13" s="40" t="s">
        <v>45</v>
      </c>
      <c r="J13" s="40" t="s">
        <v>45</v>
      </c>
      <c r="K13" s="40"/>
      <c r="L13" s="40"/>
      <c r="M13" s="40"/>
      <c r="N13" s="40"/>
      <c r="O13" s="40"/>
      <c r="P13" s="40"/>
      <c r="Q13" s="40"/>
      <c r="R13" s="40"/>
      <c r="S13" s="40"/>
      <c r="T13" s="40" t="s">
        <v>139</v>
      </c>
      <c r="U13" s="40" t="s">
        <v>265</v>
      </c>
      <c r="V13" s="40" t="s">
        <v>135</v>
      </c>
      <c r="W13" s="40" t="s">
        <v>266</v>
      </c>
      <c r="X13" s="40" t="s">
        <v>267</v>
      </c>
      <c r="Y13" s="40">
        <v>0</v>
      </c>
      <c r="Z13" s="40" t="s">
        <v>50</v>
      </c>
      <c r="AA13" s="40"/>
      <c r="AB13" s="40" t="s">
        <v>51</v>
      </c>
      <c r="AC13" s="40"/>
      <c r="AD13" s="40" t="s">
        <v>52</v>
      </c>
      <c r="AE13" s="40"/>
      <c r="AF13" s="40">
        <v>46133</v>
      </c>
      <c r="AG13" s="40">
        <v>46133</v>
      </c>
      <c r="AH13" s="40">
        <v>46133</v>
      </c>
      <c r="AI13" s="40">
        <v>0</v>
      </c>
      <c r="AJ13" s="40">
        <v>338.06</v>
      </c>
      <c r="AK13" s="40" t="s">
        <v>46</v>
      </c>
      <c r="AL13" s="40">
        <v>3380.6</v>
      </c>
      <c r="AM13" s="40"/>
      <c r="AN13" s="40"/>
      <c r="AO13" s="40"/>
      <c r="AP13" s="41" t="s">
        <v>283</v>
      </c>
      <c r="AQ13" s="42">
        <v>-4</v>
      </c>
      <c r="AR13" s="40" t="s">
        <v>53</v>
      </c>
      <c r="AS13" s="40" t="s">
        <v>54</v>
      </c>
      <c r="AT13" s="63">
        <v>4500903713</v>
      </c>
      <c r="AU13" s="55"/>
      <c r="AV13" s="55"/>
      <c r="AW13" s="55"/>
    </row>
    <row r="14" spans="1:49 16384:16384" x14ac:dyDescent="0.35">
      <c r="A14" s="39">
        <v>46133</v>
      </c>
      <c r="B14" s="40" t="s">
        <v>272</v>
      </c>
      <c r="C14" s="40" t="s">
        <v>252</v>
      </c>
      <c r="D14" s="40">
        <v>14101771</v>
      </c>
      <c r="E14" s="40" t="s">
        <v>284</v>
      </c>
      <c r="F14" s="40">
        <v>5</v>
      </c>
      <c r="G14" s="40" t="s">
        <v>43</v>
      </c>
      <c r="H14" s="40" t="s">
        <v>264</v>
      </c>
      <c r="I14" s="40" t="s">
        <v>45</v>
      </c>
      <c r="J14" s="40" t="s">
        <v>45</v>
      </c>
      <c r="K14" s="40"/>
      <c r="L14" s="40"/>
      <c r="M14" s="40"/>
      <c r="N14" s="40"/>
      <c r="O14" s="40"/>
      <c r="P14" s="40"/>
      <c r="Q14" s="40"/>
      <c r="R14" s="40"/>
      <c r="S14" s="40"/>
      <c r="T14" s="40" t="s">
        <v>139</v>
      </c>
      <c r="U14" s="40" t="s">
        <v>265</v>
      </c>
      <c r="V14" s="40" t="s">
        <v>135</v>
      </c>
      <c r="W14" s="40" t="s">
        <v>266</v>
      </c>
      <c r="X14" s="40" t="s">
        <v>267</v>
      </c>
      <c r="Y14" s="40">
        <v>0</v>
      </c>
      <c r="Z14" s="40" t="s">
        <v>50</v>
      </c>
      <c r="AA14" s="40"/>
      <c r="AB14" s="40" t="s">
        <v>51</v>
      </c>
      <c r="AC14" s="40"/>
      <c r="AD14" s="40" t="s">
        <v>52</v>
      </c>
      <c r="AE14" s="40"/>
      <c r="AF14" s="40">
        <v>46133</v>
      </c>
      <c r="AG14" s="40">
        <v>46133</v>
      </c>
      <c r="AH14" s="40">
        <v>46133</v>
      </c>
      <c r="AI14" s="40">
        <v>0</v>
      </c>
      <c r="AJ14" s="40">
        <v>690</v>
      </c>
      <c r="AK14" s="40" t="s">
        <v>46</v>
      </c>
      <c r="AL14" s="40">
        <v>3450</v>
      </c>
      <c r="AM14" s="40"/>
      <c r="AN14" s="40"/>
      <c r="AO14" s="40"/>
      <c r="AP14" s="41" t="s">
        <v>285</v>
      </c>
      <c r="AQ14" s="42">
        <v>-4</v>
      </c>
      <c r="AR14" s="40" t="s">
        <v>53</v>
      </c>
      <c r="AS14" s="40" t="s">
        <v>54</v>
      </c>
      <c r="AT14" s="63">
        <v>4500903713</v>
      </c>
      <c r="AU14" s="55"/>
      <c r="AV14" s="55"/>
      <c r="AW14" s="55"/>
    </row>
    <row r="15" spans="1:49 16384:16384" x14ac:dyDescent="0.35">
      <c r="A15" s="39">
        <v>46133</v>
      </c>
      <c r="B15" s="40" t="s">
        <v>272</v>
      </c>
      <c r="C15" s="40" t="s">
        <v>286</v>
      </c>
      <c r="D15" s="40">
        <v>14905308</v>
      </c>
      <c r="E15" s="40" t="s">
        <v>287</v>
      </c>
      <c r="F15" s="40">
        <v>2</v>
      </c>
      <c r="G15" s="40" t="s">
        <v>43</v>
      </c>
      <c r="H15" s="40" t="s">
        <v>264</v>
      </c>
      <c r="I15" s="40" t="s">
        <v>45</v>
      </c>
      <c r="J15" s="40" t="s">
        <v>45</v>
      </c>
      <c r="K15" s="40"/>
      <c r="L15" s="40"/>
      <c r="M15" s="40"/>
      <c r="N15" s="40"/>
      <c r="O15" s="40"/>
      <c r="P15" s="40"/>
      <c r="Q15" s="40"/>
      <c r="R15" s="40"/>
      <c r="S15" s="40"/>
      <c r="T15" s="40" t="s">
        <v>139</v>
      </c>
      <c r="U15" s="40" t="s">
        <v>265</v>
      </c>
      <c r="V15" s="40" t="s">
        <v>135</v>
      </c>
      <c r="W15" s="40" t="s">
        <v>266</v>
      </c>
      <c r="X15" s="40" t="s">
        <v>267</v>
      </c>
      <c r="Y15" s="40">
        <v>0</v>
      </c>
      <c r="Z15" s="40" t="s">
        <v>50</v>
      </c>
      <c r="AA15" s="40"/>
      <c r="AB15" s="40" t="s">
        <v>51</v>
      </c>
      <c r="AC15" s="40"/>
      <c r="AD15" s="40" t="s">
        <v>52</v>
      </c>
      <c r="AE15" s="40"/>
      <c r="AF15" s="40">
        <v>46133</v>
      </c>
      <c r="AG15" s="40">
        <v>46133</v>
      </c>
      <c r="AH15" s="40">
        <v>46133</v>
      </c>
      <c r="AI15" s="40">
        <v>0</v>
      </c>
      <c r="AJ15" s="40">
        <v>2965.6</v>
      </c>
      <c r="AK15" s="40" t="s">
        <v>46</v>
      </c>
      <c r="AL15" s="40">
        <v>5931.2</v>
      </c>
      <c r="AM15" s="40"/>
      <c r="AN15" s="40"/>
      <c r="AO15" s="40"/>
      <c r="AP15" s="41" t="s">
        <v>288</v>
      </c>
      <c r="AQ15" s="42">
        <v>-4</v>
      </c>
      <c r="AR15" s="40" t="s">
        <v>53</v>
      </c>
      <c r="AS15" s="40" t="s">
        <v>54</v>
      </c>
      <c r="AT15" s="63">
        <v>4500903713</v>
      </c>
      <c r="AU15" s="55"/>
      <c r="AV15" s="55"/>
      <c r="AW15" s="55"/>
    </row>
    <row r="16" spans="1:49 16384:16384" x14ac:dyDescent="0.35">
      <c r="A16" s="39">
        <v>46133</v>
      </c>
      <c r="B16" s="40" t="s">
        <v>272</v>
      </c>
      <c r="C16" s="40" t="s">
        <v>42</v>
      </c>
      <c r="D16" s="40">
        <v>14906688</v>
      </c>
      <c r="E16" s="40" t="s">
        <v>289</v>
      </c>
      <c r="F16" s="40">
        <v>1</v>
      </c>
      <c r="G16" s="40" t="s">
        <v>43</v>
      </c>
      <c r="H16" s="40" t="s">
        <v>71</v>
      </c>
      <c r="I16" s="40" t="s">
        <v>45</v>
      </c>
      <c r="J16" s="40" t="s">
        <v>45</v>
      </c>
      <c r="K16" s="40"/>
      <c r="L16" s="40"/>
      <c r="M16" s="40"/>
      <c r="N16" s="40"/>
      <c r="O16" s="40"/>
      <c r="P16" s="40"/>
      <c r="Q16" s="40"/>
      <c r="R16" s="40"/>
      <c r="S16" s="40"/>
      <c r="T16" s="40" t="s">
        <v>290</v>
      </c>
      <c r="U16" s="40" t="s">
        <v>265</v>
      </c>
      <c r="V16" s="40" t="s">
        <v>135</v>
      </c>
      <c r="W16" s="40" t="s">
        <v>266</v>
      </c>
      <c r="X16" s="40" t="s">
        <v>49</v>
      </c>
      <c r="Y16" s="40">
        <v>0</v>
      </c>
      <c r="Z16" s="40" t="s">
        <v>50</v>
      </c>
      <c r="AA16" s="40" t="s">
        <v>74</v>
      </c>
      <c r="AB16" s="40" t="s">
        <v>51</v>
      </c>
      <c r="AC16" s="40"/>
      <c r="AD16" s="40" t="s">
        <v>52</v>
      </c>
      <c r="AE16" s="40"/>
      <c r="AF16" s="40">
        <v>46133</v>
      </c>
      <c r="AG16" s="40">
        <v>46133</v>
      </c>
      <c r="AH16" s="40">
        <v>46135</v>
      </c>
      <c r="AI16" s="40">
        <v>0</v>
      </c>
      <c r="AJ16" s="40">
        <v>1105</v>
      </c>
      <c r="AK16" s="40" t="s">
        <v>46</v>
      </c>
      <c r="AL16" s="40">
        <v>1105</v>
      </c>
      <c r="AM16" s="40"/>
      <c r="AN16" s="40"/>
      <c r="AO16" s="40"/>
      <c r="AP16" s="41" t="s">
        <v>291</v>
      </c>
      <c r="AQ16" s="42">
        <v>-4</v>
      </c>
      <c r="AR16" s="40" t="s">
        <v>53</v>
      </c>
      <c r="AS16" s="40" t="s">
        <v>54</v>
      </c>
      <c r="AT16" s="63">
        <v>4500903709</v>
      </c>
      <c r="AU16" s="55"/>
      <c r="AV16" s="55"/>
      <c r="AW16" s="55"/>
    </row>
    <row r="17" spans="1:49" x14ac:dyDescent="0.35">
      <c r="A17" s="39">
        <v>46133</v>
      </c>
      <c r="B17" s="40" t="s">
        <v>272</v>
      </c>
      <c r="C17" s="40" t="s">
        <v>63</v>
      </c>
      <c r="D17" s="40">
        <v>14906688</v>
      </c>
      <c r="E17" s="40" t="s">
        <v>289</v>
      </c>
      <c r="F17" s="40">
        <v>1</v>
      </c>
      <c r="G17" s="40" t="s">
        <v>43</v>
      </c>
      <c r="H17" s="40" t="s">
        <v>92</v>
      </c>
      <c r="I17" s="40" t="s">
        <v>45</v>
      </c>
      <c r="J17" s="40" t="s">
        <v>45</v>
      </c>
      <c r="K17" s="40"/>
      <c r="L17" s="40"/>
      <c r="M17" s="40"/>
      <c r="N17" s="40"/>
      <c r="O17" s="40"/>
      <c r="P17" s="40"/>
      <c r="Q17" s="40"/>
      <c r="R17" s="40"/>
      <c r="S17" s="40"/>
      <c r="T17" s="40" t="s">
        <v>290</v>
      </c>
      <c r="U17" s="40" t="s">
        <v>265</v>
      </c>
      <c r="V17" s="40" t="s">
        <v>135</v>
      </c>
      <c r="W17" s="40" t="s">
        <v>266</v>
      </c>
      <c r="X17" s="40" t="s">
        <v>49</v>
      </c>
      <c r="Y17" s="40">
        <v>0</v>
      </c>
      <c r="Z17" s="40" t="s">
        <v>50</v>
      </c>
      <c r="AA17" s="40" t="s">
        <v>94</v>
      </c>
      <c r="AB17" s="40" t="s">
        <v>51</v>
      </c>
      <c r="AC17" s="40"/>
      <c r="AD17" s="40" t="s">
        <v>52</v>
      </c>
      <c r="AE17" s="40"/>
      <c r="AF17" s="40">
        <v>46133</v>
      </c>
      <c r="AG17" s="40">
        <v>46133</v>
      </c>
      <c r="AH17" s="40">
        <v>46133</v>
      </c>
      <c r="AI17" s="40">
        <v>0</v>
      </c>
      <c r="AJ17" s="40">
        <v>1105</v>
      </c>
      <c r="AK17" s="40" t="s">
        <v>46</v>
      </c>
      <c r="AL17" s="40">
        <v>1105</v>
      </c>
      <c r="AM17" s="40"/>
      <c r="AN17" s="40"/>
      <c r="AO17" s="40"/>
      <c r="AP17" s="41" t="s">
        <v>292</v>
      </c>
      <c r="AQ17" s="42">
        <v>-4</v>
      </c>
      <c r="AR17" s="40" t="s">
        <v>53</v>
      </c>
      <c r="AS17" s="40" t="s">
        <v>54</v>
      </c>
      <c r="AT17" s="63">
        <v>4500903709</v>
      </c>
      <c r="AU17" s="55"/>
      <c r="AV17" s="55"/>
      <c r="AW17" s="55"/>
    </row>
    <row r="18" spans="1:49" x14ac:dyDescent="0.35">
      <c r="A18" s="39">
        <v>46133</v>
      </c>
      <c r="B18" s="40" t="s">
        <v>272</v>
      </c>
      <c r="C18" s="40" t="s">
        <v>64</v>
      </c>
      <c r="D18" s="40">
        <v>14906688</v>
      </c>
      <c r="E18" s="40" t="s">
        <v>289</v>
      </c>
      <c r="F18" s="40">
        <v>1</v>
      </c>
      <c r="G18" s="40" t="s">
        <v>43</v>
      </c>
      <c r="H18" s="40" t="s">
        <v>75</v>
      </c>
      <c r="I18" s="40" t="s">
        <v>45</v>
      </c>
      <c r="J18" s="40" t="s">
        <v>45</v>
      </c>
      <c r="K18" s="40"/>
      <c r="L18" s="40"/>
      <c r="M18" s="40"/>
      <c r="N18" s="40"/>
      <c r="O18" s="40"/>
      <c r="P18" s="40"/>
      <c r="Q18" s="40"/>
      <c r="R18" s="40"/>
      <c r="S18" s="40"/>
      <c r="T18" s="40" t="s">
        <v>290</v>
      </c>
      <c r="U18" s="40" t="s">
        <v>265</v>
      </c>
      <c r="V18" s="40" t="s">
        <v>135</v>
      </c>
      <c r="W18" s="40" t="s">
        <v>266</v>
      </c>
      <c r="X18" s="40" t="s">
        <v>293</v>
      </c>
      <c r="Y18" s="40">
        <v>0</v>
      </c>
      <c r="Z18" s="40" t="s">
        <v>50</v>
      </c>
      <c r="AA18" s="40" t="s">
        <v>78</v>
      </c>
      <c r="AB18" s="40" t="s">
        <v>51</v>
      </c>
      <c r="AC18" s="40"/>
      <c r="AD18" s="40" t="s">
        <v>52</v>
      </c>
      <c r="AE18" s="40"/>
      <c r="AF18" s="40">
        <v>46133</v>
      </c>
      <c r="AG18" s="40">
        <v>46133</v>
      </c>
      <c r="AH18" s="40">
        <v>46133</v>
      </c>
      <c r="AI18" s="40">
        <v>0</v>
      </c>
      <c r="AJ18" s="40">
        <v>1105</v>
      </c>
      <c r="AK18" s="40" t="s">
        <v>46</v>
      </c>
      <c r="AL18" s="40">
        <v>1105</v>
      </c>
      <c r="AM18" s="40"/>
      <c r="AN18" s="40"/>
      <c r="AO18" s="40"/>
      <c r="AP18" s="41" t="s">
        <v>294</v>
      </c>
      <c r="AQ18" s="42">
        <v>-4</v>
      </c>
      <c r="AR18" s="40" t="s">
        <v>53</v>
      </c>
      <c r="AS18" s="40" t="s">
        <v>54</v>
      </c>
      <c r="AT18" s="63">
        <v>4500903709</v>
      </c>
      <c r="AU18" s="55"/>
      <c r="AV18" s="55"/>
      <c r="AW18" s="55"/>
    </row>
    <row r="19" spans="1:49" x14ac:dyDescent="0.35">
      <c r="A19" s="11">
        <v>46137</v>
      </c>
      <c r="B19" s="1" t="s">
        <v>371</v>
      </c>
      <c r="C19" s="1" t="s">
        <v>81</v>
      </c>
      <c r="D19" s="61">
        <v>14078545</v>
      </c>
      <c r="E19" s="1" t="s">
        <v>372</v>
      </c>
      <c r="F19" s="1">
        <v>6</v>
      </c>
      <c r="G19" s="1" t="s">
        <v>43</v>
      </c>
      <c r="H19" s="1" t="s">
        <v>44</v>
      </c>
      <c r="I19" s="1" t="s">
        <v>45</v>
      </c>
      <c r="J19" s="1" t="s">
        <v>45</v>
      </c>
      <c r="K19" s="11">
        <v>46132</v>
      </c>
      <c r="L19" s="1" t="s">
        <v>80</v>
      </c>
      <c r="M19" s="1">
        <v>2.15</v>
      </c>
      <c r="N19" s="1" t="s">
        <v>56</v>
      </c>
      <c r="O19" s="1">
        <v>1</v>
      </c>
      <c r="P19" s="1" t="s">
        <v>43</v>
      </c>
      <c r="Q19" s="1">
        <v>1207</v>
      </c>
      <c r="R19" s="1">
        <v>6</v>
      </c>
      <c r="S19" s="1">
        <v>4500902060</v>
      </c>
      <c r="T19" s="1" t="s">
        <v>145</v>
      </c>
      <c r="U19" s="1" t="s">
        <v>84</v>
      </c>
      <c r="V19" s="1" t="s">
        <v>47</v>
      </c>
      <c r="W19" s="1" t="s">
        <v>84</v>
      </c>
      <c r="X19" s="1" t="s">
        <v>49</v>
      </c>
      <c r="Y19" s="1">
        <v>0</v>
      </c>
      <c r="Z19" s="1" t="s">
        <v>50</v>
      </c>
      <c r="AA19" s="1" t="s">
        <v>96</v>
      </c>
      <c r="AB19" s="1" t="s">
        <v>83</v>
      </c>
      <c r="AC19" s="1"/>
      <c r="AD19" s="1" t="s">
        <v>52</v>
      </c>
      <c r="AE19" s="1"/>
      <c r="AF19" s="1">
        <v>46137</v>
      </c>
      <c r="AG19" s="1">
        <v>46137</v>
      </c>
      <c r="AH19" s="1">
        <v>46166</v>
      </c>
      <c r="AI19" s="1">
        <v>29</v>
      </c>
      <c r="AJ19" s="1">
        <v>7.71</v>
      </c>
      <c r="AK19" s="1" t="s">
        <v>46</v>
      </c>
      <c r="AL19" s="1">
        <v>46.26</v>
      </c>
      <c r="AM19" s="1"/>
      <c r="AN19" s="1"/>
      <c r="AO19" s="1"/>
      <c r="AP19" s="12" t="s">
        <v>373</v>
      </c>
      <c r="AQ19" s="13">
        <v>0</v>
      </c>
      <c r="AR19" s="1" t="s">
        <v>62</v>
      </c>
      <c r="AS19" s="1" t="s">
        <v>54</v>
      </c>
      <c r="AU19" s="21" t="s">
        <v>516</v>
      </c>
      <c r="AV19" s="65">
        <v>46141.008020833331</v>
      </c>
      <c r="AW19" s="21" t="s">
        <v>517</v>
      </c>
    </row>
    <row r="20" spans="1:49" x14ac:dyDescent="0.35">
      <c r="A20" s="11">
        <v>46137</v>
      </c>
      <c r="B20" s="1" t="s">
        <v>374</v>
      </c>
      <c r="C20" s="1" t="s">
        <v>64</v>
      </c>
      <c r="D20" s="1">
        <v>14040824</v>
      </c>
      <c r="E20" s="1" t="s">
        <v>375</v>
      </c>
      <c r="F20" s="1">
        <v>5</v>
      </c>
      <c r="G20" s="1" t="s">
        <v>43</v>
      </c>
      <c r="H20" s="1" t="s">
        <v>71</v>
      </c>
      <c r="I20" s="1" t="s">
        <v>45</v>
      </c>
      <c r="J20" s="1" t="s">
        <v>45</v>
      </c>
      <c r="K20" s="11">
        <v>46048</v>
      </c>
      <c r="L20" s="1" t="s">
        <v>80</v>
      </c>
      <c r="M20" s="1">
        <v>440.65</v>
      </c>
      <c r="N20" s="1" t="s">
        <v>56</v>
      </c>
      <c r="O20" s="1">
        <v>1</v>
      </c>
      <c r="P20" s="1" t="s">
        <v>43</v>
      </c>
      <c r="Q20" s="1">
        <v>1102</v>
      </c>
      <c r="R20" s="1">
        <v>4</v>
      </c>
      <c r="S20" s="1">
        <v>4500887670</v>
      </c>
      <c r="T20" s="1" t="s">
        <v>376</v>
      </c>
      <c r="U20" s="1" t="s">
        <v>361</v>
      </c>
      <c r="V20" s="1" t="s">
        <v>70</v>
      </c>
      <c r="W20" s="1" t="s">
        <v>73</v>
      </c>
      <c r="X20" s="1" t="s">
        <v>59</v>
      </c>
      <c r="Y20" s="1">
        <v>0</v>
      </c>
      <c r="Z20" s="1" t="s">
        <v>50</v>
      </c>
      <c r="AA20" s="1" t="s">
        <v>74</v>
      </c>
      <c r="AB20" s="1" t="s">
        <v>61</v>
      </c>
      <c r="AC20" s="1"/>
      <c r="AD20" s="1" t="s">
        <v>52</v>
      </c>
      <c r="AE20" s="1"/>
      <c r="AF20" s="1">
        <v>46137</v>
      </c>
      <c r="AG20" s="1">
        <v>46137</v>
      </c>
      <c r="AH20" s="1">
        <v>46138</v>
      </c>
      <c r="AI20" s="1">
        <v>0</v>
      </c>
      <c r="AJ20" s="1">
        <v>1473.98</v>
      </c>
      <c r="AK20" s="1" t="s">
        <v>46</v>
      </c>
      <c r="AL20" s="1">
        <v>7369.9</v>
      </c>
      <c r="AM20" s="1" t="s">
        <v>377</v>
      </c>
      <c r="AN20" s="1">
        <v>4212177</v>
      </c>
      <c r="AO20" s="1"/>
      <c r="AP20" s="12" t="s">
        <v>378</v>
      </c>
      <c r="AQ20" s="13">
        <v>0</v>
      </c>
      <c r="AR20" s="1" t="s">
        <v>62</v>
      </c>
      <c r="AS20" s="1" t="s">
        <v>54</v>
      </c>
    </row>
    <row r="21" spans="1:49" x14ac:dyDescent="0.35">
      <c r="A21" s="11">
        <v>46136</v>
      </c>
      <c r="B21" s="1" t="s">
        <v>370</v>
      </c>
      <c r="C21" s="1" t="s">
        <v>64</v>
      </c>
      <c r="D21" s="1">
        <v>14075090</v>
      </c>
      <c r="E21" s="1" t="s">
        <v>379</v>
      </c>
      <c r="F21" s="1">
        <v>50</v>
      </c>
      <c r="G21" s="1" t="s">
        <v>43</v>
      </c>
      <c r="H21" s="1" t="s">
        <v>71</v>
      </c>
      <c r="I21" s="1" t="s">
        <v>45</v>
      </c>
      <c r="J21" s="1" t="s">
        <v>45</v>
      </c>
      <c r="K21" s="11">
        <v>46058</v>
      </c>
      <c r="L21" s="1" t="s">
        <v>80</v>
      </c>
      <c r="M21" s="1">
        <v>0.08</v>
      </c>
      <c r="N21" s="1" t="s">
        <v>56</v>
      </c>
      <c r="O21" s="1">
        <v>1</v>
      </c>
      <c r="P21" s="1" t="s">
        <v>43</v>
      </c>
      <c r="Q21" s="1">
        <v>1102</v>
      </c>
      <c r="R21" s="1">
        <v>200</v>
      </c>
      <c r="S21" s="1">
        <v>4500889647</v>
      </c>
      <c r="T21" s="1" t="s">
        <v>380</v>
      </c>
      <c r="U21" s="1" t="s">
        <v>69</v>
      </c>
      <c r="V21" s="1" t="s">
        <v>70</v>
      </c>
      <c r="W21" s="1" t="s">
        <v>73</v>
      </c>
      <c r="X21" s="1" t="s">
        <v>59</v>
      </c>
      <c r="Y21" s="1">
        <v>0</v>
      </c>
      <c r="Z21" s="1" t="s">
        <v>50</v>
      </c>
      <c r="AA21" s="1" t="s">
        <v>74</v>
      </c>
      <c r="AB21" s="1" t="s">
        <v>61</v>
      </c>
      <c r="AC21" s="1"/>
      <c r="AD21" s="1" t="s">
        <v>52</v>
      </c>
      <c r="AE21" s="1"/>
      <c r="AF21" s="1">
        <v>46136</v>
      </c>
      <c r="AG21" s="1">
        <v>46136</v>
      </c>
      <c r="AH21" s="1">
        <v>46137</v>
      </c>
      <c r="AI21" s="1">
        <v>0</v>
      </c>
      <c r="AJ21" s="1">
        <v>0.27</v>
      </c>
      <c r="AK21" s="1" t="s">
        <v>46</v>
      </c>
      <c r="AL21" s="1">
        <v>13.5</v>
      </c>
      <c r="AM21" s="1" t="s">
        <v>381</v>
      </c>
      <c r="AN21" s="1">
        <v>4215984</v>
      </c>
      <c r="AO21" s="1"/>
      <c r="AP21" s="12" t="s">
        <v>382</v>
      </c>
      <c r="AQ21" s="13">
        <v>-1</v>
      </c>
      <c r="AR21" s="1" t="s">
        <v>53</v>
      </c>
      <c r="AS21" s="1" t="s">
        <v>54</v>
      </c>
      <c r="AV21" s="65"/>
    </row>
    <row r="22" spans="1:49" x14ac:dyDescent="0.35">
      <c r="A22" s="11">
        <v>46136</v>
      </c>
      <c r="B22" s="1" t="s">
        <v>370</v>
      </c>
      <c r="C22" s="1" t="s">
        <v>276</v>
      </c>
      <c r="D22" s="1">
        <v>14087675</v>
      </c>
      <c r="E22" s="1" t="s">
        <v>383</v>
      </c>
      <c r="F22" s="1">
        <v>50</v>
      </c>
      <c r="G22" s="1" t="s">
        <v>43</v>
      </c>
      <c r="H22" s="1" t="s">
        <v>71</v>
      </c>
      <c r="I22" s="1" t="s">
        <v>45</v>
      </c>
      <c r="J22" s="1" t="s">
        <v>45</v>
      </c>
      <c r="K22" s="1"/>
      <c r="L22" s="1"/>
      <c r="M22" s="1"/>
      <c r="N22" s="1"/>
      <c r="O22" s="1"/>
      <c r="P22" s="1"/>
      <c r="Q22" s="1"/>
      <c r="R22" s="1"/>
      <c r="S22" s="1"/>
      <c r="T22" s="1" t="s">
        <v>380</v>
      </c>
      <c r="U22" s="1" t="s">
        <v>69</v>
      </c>
      <c r="V22" s="1" t="s">
        <v>70</v>
      </c>
      <c r="W22" s="1" t="s">
        <v>73</v>
      </c>
      <c r="X22" s="1" t="s">
        <v>59</v>
      </c>
      <c r="Y22" s="1">
        <v>0</v>
      </c>
      <c r="Z22" s="1" t="s">
        <v>50</v>
      </c>
      <c r="AA22" s="1" t="s">
        <v>74</v>
      </c>
      <c r="AB22" s="1" t="s">
        <v>61</v>
      </c>
      <c r="AC22" s="1"/>
      <c r="AD22" s="1" t="s">
        <v>52</v>
      </c>
      <c r="AE22" s="1"/>
      <c r="AF22" s="1">
        <v>46136</v>
      </c>
      <c r="AG22" s="1">
        <v>46136</v>
      </c>
      <c r="AH22" s="1">
        <v>46137</v>
      </c>
      <c r="AI22" s="1">
        <v>0</v>
      </c>
      <c r="AJ22" s="1">
        <v>0.38</v>
      </c>
      <c r="AK22" s="1" t="s">
        <v>46</v>
      </c>
      <c r="AL22" s="1">
        <v>19</v>
      </c>
      <c r="AM22" s="1" t="s">
        <v>384</v>
      </c>
      <c r="AN22" s="1">
        <v>4215984</v>
      </c>
      <c r="AO22" s="1"/>
      <c r="AP22" s="12" t="s">
        <v>385</v>
      </c>
      <c r="AQ22" s="13">
        <v>-1</v>
      </c>
      <c r="AR22" s="1" t="s">
        <v>53</v>
      </c>
      <c r="AS22" s="1" t="s">
        <v>54</v>
      </c>
    </row>
    <row r="23" spans="1:49" x14ac:dyDescent="0.35">
      <c r="A23" s="11">
        <v>46136</v>
      </c>
      <c r="B23" s="1" t="s">
        <v>331</v>
      </c>
      <c r="C23" s="1" t="s">
        <v>81</v>
      </c>
      <c r="D23" s="1">
        <v>14076687</v>
      </c>
      <c r="E23" s="1" t="s">
        <v>332</v>
      </c>
      <c r="F23" s="1">
        <v>3</v>
      </c>
      <c r="G23" s="1" t="s">
        <v>43</v>
      </c>
      <c r="H23" s="1" t="s">
        <v>44</v>
      </c>
      <c r="I23" s="1" t="s">
        <v>45</v>
      </c>
      <c r="J23" s="1" t="s">
        <v>45</v>
      </c>
      <c r="K23" s="11">
        <v>46066</v>
      </c>
      <c r="L23" s="1" t="s">
        <v>82</v>
      </c>
      <c r="M23" s="1">
        <v>12.27</v>
      </c>
      <c r="N23" s="1" t="s">
        <v>56</v>
      </c>
      <c r="O23" s="1">
        <v>1</v>
      </c>
      <c r="P23" s="1" t="s">
        <v>43</v>
      </c>
      <c r="Q23" s="1">
        <v>1207</v>
      </c>
      <c r="R23" s="1">
        <v>2</v>
      </c>
      <c r="S23" s="1">
        <v>4500890771</v>
      </c>
      <c r="T23" s="1" t="s">
        <v>143</v>
      </c>
      <c r="U23" s="1" t="s">
        <v>84</v>
      </c>
      <c r="V23" s="1" t="s">
        <v>47</v>
      </c>
      <c r="W23" s="1" t="s">
        <v>84</v>
      </c>
      <c r="X23" s="1" t="s">
        <v>49</v>
      </c>
      <c r="Y23" s="1">
        <v>0</v>
      </c>
      <c r="Z23" s="1" t="s">
        <v>131</v>
      </c>
      <c r="AA23" s="1" t="s">
        <v>96</v>
      </c>
      <c r="AB23" s="1" t="s">
        <v>83</v>
      </c>
      <c r="AC23" s="1" t="s">
        <v>453</v>
      </c>
      <c r="AD23" s="1" t="s">
        <v>276</v>
      </c>
      <c r="AE23" s="1">
        <v>46139</v>
      </c>
      <c r="AF23" s="1">
        <v>46140</v>
      </c>
      <c r="AG23" s="1">
        <v>46136</v>
      </c>
      <c r="AH23" s="1">
        <v>46169</v>
      </c>
      <c r="AI23" s="1">
        <v>29</v>
      </c>
      <c r="AJ23" s="1">
        <v>41.49</v>
      </c>
      <c r="AK23" s="1" t="s">
        <v>46</v>
      </c>
      <c r="AL23" s="1">
        <v>124.47</v>
      </c>
      <c r="AM23" s="1"/>
      <c r="AN23" s="1"/>
      <c r="AO23" s="1"/>
      <c r="AP23" s="12" t="s">
        <v>333</v>
      </c>
      <c r="AQ23" s="13">
        <v>-1</v>
      </c>
      <c r="AR23" s="1" t="s">
        <v>53</v>
      </c>
      <c r="AS23" s="1" t="s">
        <v>54</v>
      </c>
    </row>
    <row r="24" spans="1:49" x14ac:dyDescent="0.35">
      <c r="A24" s="39">
        <v>46133</v>
      </c>
      <c r="B24" s="40" t="s">
        <v>272</v>
      </c>
      <c r="C24" s="40" t="s">
        <v>91</v>
      </c>
      <c r="D24" s="40">
        <v>14906190</v>
      </c>
      <c r="E24" s="40" t="s">
        <v>295</v>
      </c>
      <c r="F24" s="40">
        <v>1</v>
      </c>
      <c r="G24" s="40" t="s">
        <v>43</v>
      </c>
      <c r="H24" s="40" t="s">
        <v>65</v>
      </c>
      <c r="I24" s="40" t="s">
        <v>45</v>
      </c>
      <c r="J24" s="40" t="s">
        <v>45</v>
      </c>
      <c r="K24" s="40"/>
      <c r="L24" s="40"/>
      <c r="M24" s="40"/>
      <c r="N24" s="40"/>
      <c r="O24" s="40"/>
      <c r="P24" s="40"/>
      <c r="Q24" s="40"/>
      <c r="R24" s="40"/>
      <c r="S24" s="40"/>
      <c r="T24" s="40" t="s">
        <v>296</v>
      </c>
      <c r="U24" s="40" t="s">
        <v>265</v>
      </c>
      <c r="V24" s="40" t="s">
        <v>135</v>
      </c>
      <c r="W24" s="40" t="s">
        <v>266</v>
      </c>
      <c r="X24" s="40" t="s">
        <v>49</v>
      </c>
      <c r="Y24" s="40">
        <v>0</v>
      </c>
      <c r="Z24" s="40" t="s">
        <v>50</v>
      </c>
      <c r="AA24" s="40" t="s">
        <v>67</v>
      </c>
      <c r="AB24" s="40" t="s">
        <v>51</v>
      </c>
      <c r="AC24" s="40"/>
      <c r="AD24" s="40" t="s">
        <v>52</v>
      </c>
      <c r="AE24" s="40"/>
      <c r="AF24" s="40">
        <v>46133</v>
      </c>
      <c r="AG24" s="40">
        <v>46133</v>
      </c>
      <c r="AH24" s="40">
        <v>46133</v>
      </c>
      <c r="AI24" s="40">
        <v>0</v>
      </c>
      <c r="AJ24" s="40">
        <v>1852.29</v>
      </c>
      <c r="AK24" s="40" t="s">
        <v>46</v>
      </c>
      <c r="AL24" s="40">
        <v>1852.29</v>
      </c>
      <c r="AM24" s="40"/>
      <c r="AN24" s="40"/>
      <c r="AO24" s="40"/>
      <c r="AP24" s="41" t="s">
        <v>297</v>
      </c>
      <c r="AQ24" s="42">
        <v>-4</v>
      </c>
      <c r="AR24" s="40" t="s">
        <v>53</v>
      </c>
      <c r="AS24" s="40" t="s">
        <v>54</v>
      </c>
      <c r="AT24" s="63">
        <v>4500903709</v>
      </c>
      <c r="AU24" s="55"/>
      <c r="AV24" s="55"/>
      <c r="AW24" s="55"/>
    </row>
    <row r="25" spans="1:49" x14ac:dyDescent="0.35">
      <c r="A25" s="39">
        <v>46133</v>
      </c>
      <c r="B25" s="40" t="s">
        <v>272</v>
      </c>
      <c r="C25" s="40" t="s">
        <v>251</v>
      </c>
      <c r="D25" s="40">
        <v>14906190</v>
      </c>
      <c r="E25" s="40" t="s">
        <v>295</v>
      </c>
      <c r="F25" s="40">
        <v>1</v>
      </c>
      <c r="G25" s="40" t="s">
        <v>43</v>
      </c>
      <c r="H25" s="40" t="s">
        <v>75</v>
      </c>
      <c r="I25" s="40" t="s">
        <v>45</v>
      </c>
      <c r="J25" s="40" t="s">
        <v>45</v>
      </c>
      <c r="K25" s="40"/>
      <c r="L25" s="40"/>
      <c r="M25" s="40"/>
      <c r="N25" s="40"/>
      <c r="O25" s="40"/>
      <c r="P25" s="40"/>
      <c r="Q25" s="40"/>
      <c r="R25" s="40"/>
      <c r="S25" s="40"/>
      <c r="T25" s="40" t="s">
        <v>296</v>
      </c>
      <c r="U25" s="40" t="s">
        <v>265</v>
      </c>
      <c r="V25" s="40" t="s">
        <v>135</v>
      </c>
      <c r="W25" s="40" t="s">
        <v>266</v>
      </c>
      <c r="X25" s="40" t="s">
        <v>293</v>
      </c>
      <c r="Y25" s="40">
        <v>0</v>
      </c>
      <c r="Z25" s="40" t="s">
        <v>50</v>
      </c>
      <c r="AA25" s="40" t="s">
        <v>78</v>
      </c>
      <c r="AB25" s="40" t="s">
        <v>51</v>
      </c>
      <c r="AC25" s="40"/>
      <c r="AD25" s="40" t="s">
        <v>52</v>
      </c>
      <c r="AE25" s="40"/>
      <c r="AF25" s="40">
        <v>46133</v>
      </c>
      <c r="AG25" s="40">
        <v>46133</v>
      </c>
      <c r="AH25" s="40">
        <v>46133</v>
      </c>
      <c r="AI25" s="40">
        <v>0</v>
      </c>
      <c r="AJ25" s="40">
        <v>1852.29</v>
      </c>
      <c r="AK25" s="40" t="s">
        <v>46</v>
      </c>
      <c r="AL25" s="40">
        <v>1852.29</v>
      </c>
      <c r="AM25" s="40"/>
      <c r="AN25" s="40"/>
      <c r="AO25" s="40"/>
      <c r="AP25" s="41" t="s">
        <v>298</v>
      </c>
      <c r="AQ25" s="42">
        <v>-4</v>
      </c>
      <c r="AR25" s="40" t="s">
        <v>53</v>
      </c>
      <c r="AS25" s="40" t="s">
        <v>54</v>
      </c>
      <c r="AT25" s="63">
        <v>4500903709</v>
      </c>
      <c r="AU25" s="55"/>
      <c r="AV25" s="55"/>
      <c r="AW25" s="55"/>
    </row>
    <row r="26" spans="1:49" x14ac:dyDescent="0.35">
      <c r="A26" s="66">
        <v>46135</v>
      </c>
      <c r="B26" s="67" t="s">
        <v>334</v>
      </c>
      <c r="C26" s="67" t="s">
        <v>42</v>
      </c>
      <c r="D26" s="67">
        <v>14073808</v>
      </c>
      <c r="E26" s="67" t="s">
        <v>335</v>
      </c>
      <c r="F26" s="67">
        <v>1</v>
      </c>
      <c r="G26" s="67" t="s">
        <v>43</v>
      </c>
      <c r="H26" s="67" t="s">
        <v>92</v>
      </c>
      <c r="I26" s="67" t="s">
        <v>45</v>
      </c>
      <c r="J26" s="67" t="s">
        <v>45</v>
      </c>
      <c r="K26" s="66">
        <v>46126</v>
      </c>
      <c r="L26" s="67" t="s">
        <v>336</v>
      </c>
      <c r="M26" s="67">
        <v>10.72</v>
      </c>
      <c r="N26" s="67" t="s">
        <v>56</v>
      </c>
      <c r="O26" s="67">
        <v>1</v>
      </c>
      <c r="P26" s="67" t="s">
        <v>43</v>
      </c>
      <c r="Q26" s="67">
        <v>1101</v>
      </c>
      <c r="R26" s="67">
        <v>10</v>
      </c>
      <c r="S26" s="67">
        <v>4500900735</v>
      </c>
      <c r="T26" s="67" t="s">
        <v>337</v>
      </c>
      <c r="U26" s="67" t="s">
        <v>338</v>
      </c>
      <c r="V26" s="67" t="s">
        <v>70</v>
      </c>
      <c r="W26" s="67" t="s">
        <v>93</v>
      </c>
      <c r="X26" s="67" t="s">
        <v>59</v>
      </c>
      <c r="Y26" s="67">
        <v>0</v>
      </c>
      <c r="Z26" s="67" t="s">
        <v>50</v>
      </c>
      <c r="AA26" s="67" t="s">
        <v>94</v>
      </c>
      <c r="AB26" s="67" t="s">
        <v>61</v>
      </c>
      <c r="AC26" s="67"/>
      <c r="AD26" s="67" t="s">
        <v>52</v>
      </c>
      <c r="AE26" s="67"/>
      <c r="AF26" s="67">
        <v>46135</v>
      </c>
      <c r="AG26" s="67">
        <v>46135</v>
      </c>
      <c r="AH26" s="67">
        <v>46136</v>
      </c>
      <c r="AI26" s="67">
        <v>29</v>
      </c>
      <c r="AJ26" s="67">
        <v>36.729999999999997</v>
      </c>
      <c r="AK26" s="67" t="s">
        <v>46</v>
      </c>
      <c r="AL26" s="67">
        <v>36.729999999999997</v>
      </c>
      <c r="AM26" s="67" t="s">
        <v>339</v>
      </c>
      <c r="AN26" s="67">
        <v>2022879</v>
      </c>
      <c r="AO26" s="67"/>
      <c r="AP26" s="68" t="s">
        <v>340</v>
      </c>
      <c r="AQ26" s="69">
        <v>-2</v>
      </c>
      <c r="AR26" s="67" t="s">
        <v>53</v>
      </c>
      <c r="AS26" s="67" t="s">
        <v>54</v>
      </c>
      <c r="AT26" s="70"/>
      <c r="AU26" s="71" t="s">
        <v>510</v>
      </c>
      <c r="AV26" s="72">
        <v>46140.687395833331</v>
      </c>
      <c r="AW26" s="71" t="s">
        <v>511</v>
      </c>
    </row>
    <row r="27" spans="1:49" x14ac:dyDescent="0.35">
      <c r="A27" s="66">
        <v>46135</v>
      </c>
      <c r="B27" s="67" t="s">
        <v>341</v>
      </c>
      <c r="C27" s="67" t="s">
        <v>42</v>
      </c>
      <c r="D27" s="67">
        <v>14073812</v>
      </c>
      <c r="E27" s="67" t="s">
        <v>342</v>
      </c>
      <c r="F27" s="67">
        <v>1</v>
      </c>
      <c r="G27" s="67" t="s">
        <v>43</v>
      </c>
      <c r="H27" s="67" t="s">
        <v>71</v>
      </c>
      <c r="I27" s="67" t="s">
        <v>45</v>
      </c>
      <c r="J27" s="67" t="s">
        <v>45</v>
      </c>
      <c r="K27" s="66">
        <v>46059</v>
      </c>
      <c r="L27" s="67" t="s">
        <v>336</v>
      </c>
      <c r="M27" s="67">
        <v>10.72</v>
      </c>
      <c r="N27" s="67" t="s">
        <v>56</v>
      </c>
      <c r="O27" s="67">
        <v>1</v>
      </c>
      <c r="P27" s="67" t="s">
        <v>43</v>
      </c>
      <c r="Q27" s="67">
        <v>1101</v>
      </c>
      <c r="R27" s="67">
        <v>3</v>
      </c>
      <c r="S27" s="67">
        <v>4500889930</v>
      </c>
      <c r="T27" s="67" t="s">
        <v>337</v>
      </c>
      <c r="U27" s="67" t="s">
        <v>260</v>
      </c>
      <c r="V27" s="67" t="s">
        <v>70</v>
      </c>
      <c r="W27" s="67" t="s">
        <v>73</v>
      </c>
      <c r="X27" s="67" t="s">
        <v>59</v>
      </c>
      <c r="Y27" s="67">
        <v>0</v>
      </c>
      <c r="Z27" s="67" t="s">
        <v>50</v>
      </c>
      <c r="AA27" s="67" t="s">
        <v>74</v>
      </c>
      <c r="AB27" s="67" t="s">
        <v>61</v>
      </c>
      <c r="AC27" s="67"/>
      <c r="AD27" s="67" t="s">
        <v>52</v>
      </c>
      <c r="AE27" s="67"/>
      <c r="AF27" s="67">
        <v>46135</v>
      </c>
      <c r="AG27" s="67">
        <v>46135</v>
      </c>
      <c r="AH27" s="67">
        <v>46136</v>
      </c>
      <c r="AI27" s="67">
        <v>29</v>
      </c>
      <c r="AJ27" s="67">
        <v>36.74</v>
      </c>
      <c r="AK27" s="67" t="s">
        <v>46</v>
      </c>
      <c r="AL27" s="67">
        <v>36.74</v>
      </c>
      <c r="AM27" s="67" t="s">
        <v>343</v>
      </c>
      <c r="AN27" s="67">
        <v>2002882</v>
      </c>
      <c r="AO27" s="67"/>
      <c r="AP27" s="68" t="s">
        <v>344</v>
      </c>
      <c r="AQ27" s="69">
        <v>-2</v>
      </c>
      <c r="AR27" s="67" t="s">
        <v>53</v>
      </c>
      <c r="AS27" s="67" t="s">
        <v>54</v>
      </c>
      <c r="AT27" s="70"/>
      <c r="AU27" s="71" t="s">
        <v>510</v>
      </c>
      <c r="AV27" s="72">
        <v>46140.687395833331</v>
      </c>
      <c r="AW27" s="71" t="s">
        <v>511</v>
      </c>
    </row>
    <row r="28" spans="1:49" ht="27" customHeight="1" x14ac:dyDescent="0.35">
      <c r="A28" s="66">
        <v>46137</v>
      </c>
      <c r="B28" s="67" t="s">
        <v>386</v>
      </c>
      <c r="C28" s="67" t="s">
        <v>42</v>
      </c>
      <c r="D28" s="67">
        <v>14080870</v>
      </c>
      <c r="E28" s="67" t="s">
        <v>387</v>
      </c>
      <c r="F28" s="67">
        <v>1</v>
      </c>
      <c r="G28" s="67" t="s">
        <v>43</v>
      </c>
      <c r="H28" s="67" t="s">
        <v>92</v>
      </c>
      <c r="I28" s="67" t="s">
        <v>45</v>
      </c>
      <c r="J28" s="67" t="s">
        <v>45</v>
      </c>
      <c r="K28" s="66">
        <v>46129</v>
      </c>
      <c r="L28" s="67" t="s">
        <v>336</v>
      </c>
      <c r="M28" s="67">
        <v>10.72</v>
      </c>
      <c r="N28" s="67" t="s">
        <v>56</v>
      </c>
      <c r="O28" s="67">
        <v>1</v>
      </c>
      <c r="P28" s="67" t="s">
        <v>43</v>
      </c>
      <c r="Q28" s="67">
        <v>1208</v>
      </c>
      <c r="R28" s="67">
        <v>1</v>
      </c>
      <c r="S28" s="67">
        <v>4500901463</v>
      </c>
      <c r="T28" s="67" t="s">
        <v>337</v>
      </c>
      <c r="U28" s="67" t="s">
        <v>388</v>
      </c>
      <c r="V28" s="67" t="s">
        <v>70</v>
      </c>
      <c r="W28" s="67" t="s">
        <v>93</v>
      </c>
      <c r="X28" s="67" t="s">
        <v>59</v>
      </c>
      <c r="Y28" s="67">
        <v>0</v>
      </c>
      <c r="Z28" s="67" t="s">
        <v>50</v>
      </c>
      <c r="AA28" s="67" t="s">
        <v>94</v>
      </c>
      <c r="AB28" s="67" t="s">
        <v>61</v>
      </c>
      <c r="AC28" s="67"/>
      <c r="AD28" s="67" t="s">
        <v>52</v>
      </c>
      <c r="AE28" s="67"/>
      <c r="AF28" s="67">
        <v>46137</v>
      </c>
      <c r="AG28" s="67">
        <v>46137</v>
      </c>
      <c r="AH28" s="67">
        <v>46138</v>
      </c>
      <c r="AI28" s="67">
        <v>29</v>
      </c>
      <c r="AJ28" s="67">
        <v>37.04</v>
      </c>
      <c r="AK28" s="67" t="s">
        <v>46</v>
      </c>
      <c r="AL28" s="67">
        <v>37.04</v>
      </c>
      <c r="AM28" s="67" t="s">
        <v>389</v>
      </c>
      <c r="AN28" s="67">
        <v>2023336</v>
      </c>
      <c r="AO28" s="67"/>
      <c r="AP28" s="68" t="s">
        <v>390</v>
      </c>
      <c r="AQ28" s="69">
        <v>0</v>
      </c>
      <c r="AR28" s="67" t="s">
        <v>62</v>
      </c>
      <c r="AS28" s="67" t="s">
        <v>54</v>
      </c>
      <c r="AT28" s="70"/>
      <c r="AU28" s="71" t="s">
        <v>510</v>
      </c>
      <c r="AV28" s="72">
        <v>46140.687395833331</v>
      </c>
      <c r="AW28" s="71" t="s">
        <v>511</v>
      </c>
    </row>
    <row r="29" spans="1:49" x14ac:dyDescent="0.35">
      <c r="A29" s="39">
        <v>46140</v>
      </c>
      <c r="B29" s="40" t="s">
        <v>454</v>
      </c>
      <c r="C29" s="40" t="s">
        <v>81</v>
      </c>
      <c r="D29" s="40">
        <v>14099695</v>
      </c>
      <c r="E29" s="40" t="s">
        <v>455</v>
      </c>
      <c r="F29" s="40">
        <v>150</v>
      </c>
      <c r="G29" s="40" t="s">
        <v>95</v>
      </c>
      <c r="H29" s="40" t="s">
        <v>55</v>
      </c>
      <c r="I29" s="40" t="s">
        <v>45</v>
      </c>
      <c r="J29" s="40" t="s">
        <v>45</v>
      </c>
      <c r="K29" s="39">
        <v>46126</v>
      </c>
      <c r="L29" s="40" t="s">
        <v>336</v>
      </c>
      <c r="M29" s="40">
        <v>0.26</v>
      </c>
      <c r="N29" s="40" t="s">
        <v>56</v>
      </c>
      <c r="O29" s="40">
        <v>1</v>
      </c>
      <c r="P29" s="40" t="s">
        <v>95</v>
      </c>
      <c r="Q29" s="40">
        <v>1601</v>
      </c>
      <c r="R29" s="40">
        <v>300</v>
      </c>
      <c r="S29" s="40">
        <v>4500900735</v>
      </c>
      <c r="T29" s="40" t="s">
        <v>391</v>
      </c>
      <c r="U29" s="40" t="s">
        <v>58</v>
      </c>
      <c r="V29" s="40" t="s">
        <v>47</v>
      </c>
      <c r="W29" s="40" t="s">
        <v>58</v>
      </c>
      <c r="X29" s="40" t="s">
        <v>59</v>
      </c>
      <c r="Y29" s="40">
        <v>0</v>
      </c>
      <c r="Z29" s="40" t="s">
        <v>50</v>
      </c>
      <c r="AA29" s="40" t="s">
        <v>60</v>
      </c>
      <c r="AB29" s="40" t="s">
        <v>83</v>
      </c>
      <c r="AC29" s="40"/>
      <c r="AD29" s="40" t="s">
        <v>52</v>
      </c>
      <c r="AE29" s="40"/>
      <c r="AF29" s="40">
        <v>46140</v>
      </c>
      <c r="AG29" s="40">
        <v>46140</v>
      </c>
      <c r="AH29" s="40">
        <v>46169</v>
      </c>
      <c r="AI29" s="40">
        <v>29</v>
      </c>
      <c r="AJ29" s="40">
        <v>0.89</v>
      </c>
      <c r="AK29" s="40" t="s">
        <v>46</v>
      </c>
      <c r="AL29" s="40">
        <v>133.5</v>
      </c>
      <c r="AM29" s="40"/>
      <c r="AN29" s="40"/>
      <c r="AO29" s="40"/>
      <c r="AP29" s="41" t="s">
        <v>456</v>
      </c>
      <c r="AQ29" s="42">
        <v>3</v>
      </c>
      <c r="AR29" s="40" t="s">
        <v>62</v>
      </c>
      <c r="AS29" s="40" t="s">
        <v>54</v>
      </c>
      <c r="AT29" s="63">
        <v>4500903749</v>
      </c>
      <c r="AU29" s="55"/>
      <c r="AV29" s="55"/>
      <c r="AW29" s="55"/>
    </row>
    <row r="30" spans="1:49" x14ac:dyDescent="0.35">
      <c r="A30" s="39">
        <v>46136</v>
      </c>
      <c r="B30" s="40" t="s">
        <v>392</v>
      </c>
      <c r="C30" s="40" t="s">
        <v>42</v>
      </c>
      <c r="D30" s="40">
        <v>14100347</v>
      </c>
      <c r="E30" s="40" t="s">
        <v>393</v>
      </c>
      <c r="F30" s="40">
        <v>1</v>
      </c>
      <c r="G30" s="40" t="s">
        <v>43</v>
      </c>
      <c r="H30" s="40" t="s">
        <v>44</v>
      </c>
      <c r="I30" s="40" t="s">
        <v>45</v>
      </c>
      <c r="J30" s="40" t="s">
        <v>45</v>
      </c>
      <c r="K30" s="39">
        <v>46134</v>
      </c>
      <c r="L30" s="40" t="s">
        <v>336</v>
      </c>
      <c r="M30" s="40">
        <v>5.51</v>
      </c>
      <c r="N30" s="40" t="s">
        <v>56</v>
      </c>
      <c r="O30" s="40">
        <v>1</v>
      </c>
      <c r="P30" s="40" t="s">
        <v>43</v>
      </c>
      <c r="Q30" s="40">
        <v>1207</v>
      </c>
      <c r="R30" s="40">
        <v>1</v>
      </c>
      <c r="S30" s="40">
        <v>4500902749</v>
      </c>
      <c r="T30" s="40" t="s">
        <v>394</v>
      </c>
      <c r="U30" s="40" t="s">
        <v>226</v>
      </c>
      <c r="V30" s="40" t="s">
        <v>70</v>
      </c>
      <c r="W30" s="40" t="s">
        <v>84</v>
      </c>
      <c r="X30" s="40" t="s">
        <v>49</v>
      </c>
      <c r="Y30" s="40">
        <v>0</v>
      </c>
      <c r="Z30" s="40" t="s">
        <v>131</v>
      </c>
      <c r="AA30" s="40" t="s">
        <v>87</v>
      </c>
      <c r="AB30" s="40" t="s">
        <v>61</v>
      </c>
      <c r="AC30" s="40" t="s">
        <v>457</v>
      </c>
      <c r="AD30" s="40" t="s">
        <v>63</v>
      </c>
      <c r="AE30" s="40">
        <v>46139</v>
      </c>
      <c r="AF30" s="40">
        <v>46136</v>
      </c>
      <c r="AG30" s="40">
        <v>46136</v>
      </c>
      <c r="AH30" s="40">
        <v>46137</v>
      </c>
      <c r="AI30" s="40">
        <v>29</v>
      </c>
      <c r="AJ30" s="40">
        <v>19.059999999999999</v>
      </c>
      <c r="AK30" s="40" t="s">
        <v>46</v>
      </c>
      <c r="AL30" s="40">
        <v>19.059999999999999</v>
      </c>
      <c r="AM30" s="40" t="s">
        <v>395</v>
      </c>
      <c r="AN30" s="40">
        <v>2023120</v>
      </c>
      <c r="AO30" s="40"/>
      <c r="AP30" s="41" t="s">
        <v>396</v>
      </c>
      <c r="AQ30" s="42">
        <v>-1</v>
      </c>
      <c r="AR30" s="40" t="s">
        <v>53</v>
      </c>
      <c r="AS30" s="40" t="s">
        <v>54</v>
      </c>
      <c r="AT30" s="63">
        <v>4500903749</v>
      </c>
      <c r="AU30" s="55"/>
      <c r="AV30" s="55"/>
      <c r="AW30" s="55"/>
    </row>
    <row r="31" spans="1:49" ht="30" customHeight="1" x14ac:dyDescent="0.35">
      <c r="A31" s="11">
        <v>46137</v>
      </c>
      <c r="B31" s="1" t="s">
        <v>398</v>
      </c>
      <c r="C31" s="1" t="s">
        <v>42</v>
      </c>
      <c r="D31" s="1">
        <v>14077982</v>
      </c>
      <c r="E31" s="1" t="s">
        <v>399</v>
      </c>
      <c r="F31" s="1">
        <v>8</v>
      </c>
      <c r="G31" s="1" t="s">
        <v>43</v>
      </c>
      <c r="H31" s="1" t="s">
        <v>71</v>
      </c>
      <c r="I31" s="1" t="s">
        <v>45</v>
      </c>
      <c r="J31" s="1" t="s">
        <v>45</v>
      </c>
      <c r="K31" s="1"/>
      <c r="L31" s="1"/>
      <c r="M31" s="1"/>
      <c r="N31" s="1"/>
      <c r="O31" s="1"/>
      <c r="P31" s="1"/>
      <c r="Q31" s="1"/>
      <c r="R31" s="1"/>
      <c r="S31" s="1"/>
      <c r="T31" s="1" t="s">
        <v>400</v>
      </c>
      <c r="U31" s="1" t="s">
        <v>367</v>
      </c>
      <c r="V31" s="1" t="s">
        <v>70</v>
      </c>
      <c r="W31" s="1" t="s">
        <v>73</v>
      </c>
      <c r="X31" s="1" t="s">
        <v>59</v>
      </c>
      <c r="Y31" s="1">
        <v>0</v>
      </c>
      <c r="Z31" s="1" t="s">
        <v>50</v>
      </c>
      <c r="AA31" s="1" t="s">
        <v>74</v>
      </c>
      <c r="AB31" s="1" t="s">
        <v>61</v>
      </c>
      <c r="AC31" s="1"/>
      <c r="AD31" s="1" t="s">
        <v>52</v>
      </c>
      <c r="AE31" s="1"/>
      <c r="AF31" s="1">
        <v>46137</v>
      </c>
      <c r="AG31" s="1">
        <v>46137</v>
      </c>
      <c r="AH31" s="1">
        <v>46138</v>
      </c>
      <c r="AI31" s="1">
        <v>0</v>
      </c>
      <c r="AJ31" s="1">
        <v>26.29</v>
      </c>
      <c r="AK31" s="1" t="s">
        <v>46</v>
      </c>
      <c r="AL31" s="1">
        <v>210.32</v>
      </c>
      <c r="AM31" s="1" t="s">
        <v>401</v>
      </c>
      <c r="AN31" s="1">
        <v>2023337</v>
      </c>
      <c r="AO31" s="1"/>
      <c r="AP31" s="12" t="s">
        <v>402</v>
      </c>
      <c r="AQ31" s="13">
        <v>0</v>
      </c>
      <c r="AR31" s="1" t="s">
        <v>62</v>
      </c>
      <c r="AS31" s="1" t="s">
        <v>54</v>
      </c>
      <c r="AV31" s="65"/>
    </row>
    <row r="32" spans="1:49" x14ac:dyDescent="0.35">
      <c r="A32" s="11">
        <v>46137</v>
      </c>
      <c r="B32" s="1" t="s">
        <v>398</v>
      </c>
      <c r="C32" s="1" t="s">
        <v>63</v>
      </c>
      <c r="D32" s="1">
        <v>14088444</v>
      </c>
      <c r="E32" s="1" t="s">
        <v>403</v>
      </c>
      <c r="F32" s="1">
        <v>1</v>
      </c>
      <c r="G32" s="1" t="s">
        <v>43</v>
      </c>
      <c r="H32" s="1" t="s">
        <v>71</v>
      </c>
      <c r="I32" s="1" t="s">
        <v>45</v>
      </c>
      <c r="J32" s="1" t="s">
        <v>45</v>
      </c>
      <c r="K32" s="1"/>
      <c r="L32" s="1"/>
      <c r="M32" s="1"/>
      <c r="N32" s="1"/>
      <c r="O32" s="1"/>
      <c r="P32" s="1"/>
      <c r="Q32" s="1"/>
      <c r="R32" s="1"/>
      <c r="S32" s="1"/>
      <c r="T32" s="1" t="s">
        <v>400</v>
      </c>
      <c r="U32" s="1" t="s">
        <v>367</v>
      </c>
      <c r="V32" s="1" t="s">
        <v>70</v>
      </c>
      <c r="W32" s="1" t="s">
        <v>73</v>
      </c>
      <c r="X32" s="1" t="s">
        <v>59</v>
      </c>
      <c r="Y32" s="1">
        <v>0</v>
      </c>
      <c r="Z32" s="1" t="s">
        <v>50</v>
      </c>
      <c r="AA32" s="1" t="s">
        <v>74</v>
      </c>
      <c r="AB32" s="1" t="s">
        <v>61</v>
      </c>
      <c r="AC32" s="1"/>
      <c r="AD32" s="1" t="s">
        <v>52</v>
      </c>
      <c r="AE32" s="1"/>
      <c r="AF32" s="1">
        <v>46137</v>
      </c>
      <c r="AG32" s="1">
        <v>46137</v>
      </c>
      <c r="AH32" s="1">
        <v>46138</v>
      </c>
      <c r="AI32" s="1">
        <v>0</v>
      </c>
      <c r="AJ32" s="1">
        <v>17.71</v>
      </c>
      <c r="AK32" s="1" t="s">
        <v>46</v>
      </c>
      <c r="AL32" s="1">
        <v>17.71</v>
      </c>
      <c r="AM32" s="1" t="s">
        <v>404</v>
      </c>
      <c r="AN32" s="1">
        <v>2023337</v>
      </c>
      <c r="AO32" s="1"/>
      <c r="AP32" s="12" t="s">
        <v>405</v>
      </c>
      <c r="AQ32" s="13">
        <v>0</v>
      </c>
      <c r="AR32" s="1" t="s">
        <v>62</v>
      </c>
      <c r="AS32" s="1" t="s">
        <v>54</v>
      </c>
      <c r="AV32" s="65"/>
    </row>
    <row r="33" spans="1:49" x14ac:dyDescent="0.35">
      <c r="A33" s="11">
        <v>46137</v>
      </c>
      <c r="B33" s="1" t="s">
        <v>398</v>
      </c>
      <c r="C33" s="1" t="s">
        <v>64</v>
      </c>
      <c r="D33" s="1">
        <v>14080029</v>
      </c>
      <c r="E33" s="1" t="s">
        <v>406</v>
      </c>
      <c r="F33" s="1">
        <v>6</v>
      </c>
      <c r="G33" s="1" t="s">
        <v>43</v>
      </c>
      <c r="H33" s="1" t="s">
        <v>71</v>
      </c>
      <c r="I33" s="1" t="s">
        <v>45</v>
      </c>
      <c r="J33" s="1" t="s">
        <v>45</v>
      </c>
      <c r="K33" s="1"/>
      <c r="L33" s="1"/>
      <c r="M33" s="1"/>
      <c r="N33" s="1"/>
      <c r="O33" s="1"/>
      <c r="P33" s="1"/>
      <c r="Q33" s="1"/>
      <c r="R33" s="1"/>
      <c r="S33" s="1"/>
      <c r="T33" s="1" t="s">
        <v>400</v>
      </c>
      <c r="U33" s="1" t="s">
        <v>367</v>
      </c>
      <c r="V33" s="1" t="s">
        <v>397</v>
      </c>
      <c r="W33" s="1" t="s">
        <v>73</v>
      </c>
      <c r="X33" s="1" t="s">
        <v>59</v>
      </c>
      <c r="Y33" s="1">
        <v>0</v>
      </c>
      <c r="Z33" s="1" t="s">
        <v>50</v>
      </c>
      <c r="AA33" s="1" t="s">
        <v>74</v>
      </c>
      <c r="AB33" s="1" t="s">
        <v>61</v>
      </c>
      <c r="AC33" s="1"/>
      <c r="AD33" s="1" t="s">
        <v>52</v>
      </c>
      <c r="AE33" s="1"/>
      <c r="AF33" s="1">
        <v>46137</v>
      </c>
      <c r="AG33" s="1">
        <v>46137</v>
      </c>
      <c r="AH33" s="1">
        <v>46137</v>
      </c>
      <c r="AI33" s="1">
        <v>0</v>
      </c>
      <c r="AJ33" s="1">
        <v>47.62</v>
      </c>
      <c r="AK33" s="1" t="s">
        <v>46</v>
      </c>
      <c r="AL33" s="1">
        <v>285.72000000000003</v>
      </c>
      <c r="AM33" s="1" t="s">
        <v>407</v>
      </c>
      <c r="AN33" s="1">
        <v>2023337</v>
      </c>
      <c r="AO33" s="1"/>
      <c r="AP33" s="12" t="s">
        <v>408</v>
      </c>
      <c r="AQ33" s="13">
        <v>0</v>
      </c>
      <c r="AR33" s="1" t="s">
        <v>62</v>
      </c>
      <c r="AS33" s="1" t="s">
        <v>54</v>
      </c>
    </row>
    <row r="34" spans="1:49" x14ac:dyDescent="0.35">
      <c r="A34" s="11">
        <v>45964</v>
      </c>
      <c r="B34" s="1" t="s">
        <v>345</v>
      </c>
      <c r="C34" s="1" t="s">
        <v>42</v>
      </c>
      <c r="D34" s="1">
        <v>14071061</v>
      </c>
      <c r="E34" s="1" t="s">
        <v>346</v>
      </c>
      <c r="F34" s="1">
        <v>1</v>
      </c>
      <c r="G34" s="1" t="s">
        <v>43</v>
      </c>
      <c r="H34" s="1" t="s">
        <v>92</v>
      </c>
      <c r="I34" s="1" t="s">
        <v>45</v>
      </c>
      <c r="J34" s="1" t="s">
        <v>45</v>
      </c>
      <c r="K34" s="1"/>
      <c r="L34" s="1"/>
      <c r="M34" s="1"/>
      <c r="N34" s="1"/>
      <c r="O34" s="1"/>
      <c r="P34" s="1"/>
      <c r="Q34" s="1"/>
      <c r="R34" s="1"/>
      <c r="S34" s="1"/>
      <c r="T34" s="1" t="s">
        <v>72</v>
      </c>
      <c r="U34" s="1" t="s">
        <v>347</v>
      </c>
      <c r="V34" s="1" t="s">
        <v>104</v>
      </c>
      <c r="W34" s="1" t="s">
        <v>93</v>
      </c>
      <c r="X34" s="1" t="s">
        <v>59</v>
      </c>
      <c r="Y34" s="1">
        <v>0</v>
      </c>
      <c r="Z34" s="1" t="s">
        <v>131</v>
      </c>
      <c r="AA34" s="1" t="s">
        <v>94</v>
      </c>
      <c r="AB34" s="1" t="s">
        <v>61</v>
      </c>
      <c r="AC34" s="1" t="s">
        <v>348</v>
      </c>
      <c r="AD34" s="1" t="s">
        <v>42</v>
      </c>
      <c r="AE34" s="1">
        <v>45980</v>
      </c>
      <c r="AF34" s="1">
        <v>45964</v>
      </c>
      <c r="AG34" s="1">
        <v>45964</v>
      </c>
      <c r="AH34" s="1">
        <v>45994</v>
      </c>
      <c r="AI34" s="1">
        <v>29</v>
      </c>
      <c r="AJ34" s="1">
        <v>7.63</v>
      </c>
      <c r="AK34" s="1" t="s">
        <v>46</v>
      </c>
      <c r="AL34" s="1">
        <v>7.63</v>
      </c>
      <c r="AM34" s="1" t="s">
        <v>349</v>
      </c>
      <c r="AN34" s="1">
        <v>4201895</v>
      </c>
      <c r="AO34" s="1"/>
      <c r="AP34" s="12" t="s">
        <v>350</v>
      </c>
      <c r="AQ34" s="13">
        <v>-173</v>
      </c>
      <c r="AR34" s="1" t="s">
        <v>53</v>
      </c>
      <c r="AS34" s="1" t="s">
        <v>54</v>
      </c>
    </row>
    <row r="35" spans="1:49" x14ac:dyDescent="0.35">
      <c r="A35" s="11">
        <v>46095</v>
      </c>
      <c r="B35" s="1" t="s">
        <v>110</v>
      </c>
      <c r="C35" s="1" t="s">
        <v>42</v>
      </c>
      <c r="D35" s="1">
        <v>14100174</v>
      </c>
      <c r="E35" s="1" t="s">
        <v>111</v>
      </c>
      <c r="F35" s="1">
        <v>2</v>
      </c>
      <c r="G35" s="1" t="s">
        <v>43</v>
      </c>
      <c r="H35" s="1" t="s">
        <v>55</v>
      </c>
      <c r="I35" s="1" t="s">
        <v>45</v>
      </c>
      <c r="J35" s="1" t="s">
        <v>45</v>
      </c>
      <c r="K35" s="1"/>
      <c r="L35" s="1"/>
      <c r="M35" s="1"/>
      <c r="N35" s="1"/>
      <c r="O35" s="1"/>
      <c r="P35" s="1"/>
      <c r="Q35" s="1"/>
      <c r="R35" s="1"/>
      <c r="S35" s="1"/>
      <c r="T35" s="1" t="s">
        <v>72</v>
      </c>
      <c r="U35" s="1" t="s">
        <v>106</v>
      </c>
      <c r="V35" s="1" t="s">
        <v>57</v>
      </c>
      <c r="W35" s="1" t="s">
        <v>58</v>
      </c>
      <c r="X35" s="1" t="s">
        <v>59</v>
      </c>
      <c r="Y35" s="1">
        <v>0</v>
      </c>
      <c r="Z35" s="1" t="s">
        <v>194</v>
      </c>
      <c r="AA35" s="1" t="s">
        <v>60</v>
      </c>
      <c r="AB35" s="1" t="s">
        <v>61</v>
      </c>
      <c r="AC35" s="1"/>
      <c r="AD35" s="1" t="s">
        <v>52</v>
      </c>
      <c r="AE35" s="1"/>
      <c r="AF35" s="1">
        <v>46095</v>
      </c>
      <c r="AG35" s="1">
        <v>46095</v>
      </c>
      <c r="AH35" s="1">
        <v>46096</v>
      </c>
      <c r="AI35" s="1">
        <v>29</v>
      </c>
      <c r="AJ35" s="1">
        <v>48.5</v>
      </c>
      <c r="AK35" s="1" t="s">
        <v>46</v>
      </c>
      <c r="AL35" s="1">
        <v>97</v>
      </c>
      <c r="AM35" s="1" t="s">
        <v>112</v>
      </c>
      <c r="AN35" s="1">
        <v>6200000129</v>
      </c>
      <c r="AO35" s="1"/>
      <c r="AP35" s="12" t="s">
        <v>117</v>
      </c>
      <c r="AQ35" s="13">
        <v>-42</v>
      </c>
      <c r="AR35" s="1" t="s">
        <v>53</v>
      </c>
      <c r="AS35" s="1" t="s">
        <v>54</v>
      </c>
    </row>
    <row r="36" spans="1:49" x14ac:dyDescent="0.35">
      <c r="A36" s="11">
        <v>46117</v>
      </c>
      <c r="B36" s="1" t="s">
        <v>146</v>
      </c>
      <c r="C36" s="1" t="s">
        <v>81</v>
      </c>
      <c r="D36" s="1">
        <v>14095514</v>
      </c>
      <c r="E36" s="1" t="s">
        <v>147</v>
      </c>
      <c r="F36" s="1">
        <v>1</v>
      </c>
      <c r="G36" s="1" t="s">
        <v>43</v>
      </c>
      <c r="H36" s="1" t="s">
        <v>44</v>
      </c>
      <c r="I36" s="1" t="s">
        <v>45</v>
      </c>
      <c r="J36" s="1" t="s">
        <v>45</v>
      </c>
      <c r="K36" s="11">
        <v>46101</v>
      </c>
      <c r="L36" s="1" t="s">
        <v>148</v>
      </c>
      <c r="M36" s="1">
        <v>327.25</v>
      </c>
      <c r="N36" s="1" t="s">
        <v>56</v>
      </c>
      <c r="O36" s="1">
        <v>1</v>
      </c>
      <c r="P36" s="1" t="s">
        <v>43</v>
      </c>
      <c r="Q36" s="1">
        <v>1208</v>
      </c>
      <c r="R36" s="1">
        <v>2</v>
      </c>
      <c r="S36" s="1">
        <v>4500896757</v>
      </c>
      <c r="T36" s="1" t="s">
        <v>72</v>
      </c>
      <c r="U36" s="1" t="s">
        <v>84</v>
      </c>
      <c r="V36" s="1" t="s">
        <v>70</v>
      </c>
      <c r="W36" s="1" t="s">
        <v>84</v>
      </c>
      <c r="X36" s="1" t="s">
        <v>49</v>
      </c>
      <c r="Y36" s="1">
        <v>0</v>
      </c>
      <c r="Z36" s="1" t="s">
        <v>194</v>
      </c>
      <c r="AA36" s="1" t="s">
        <v>96</v>
      </c>
      <c r="AB36" s="1" t="s">
        <v>83</v>
      </c>
      <c r="AC36" s="1"/>
      <c r="AD36" s="1" t="s">
        <v>52</v>
      </c>
      <c r="AE36" s="1"/>
      <c r="AF36" s="1">
        <v>46125</v>
      </c>
      <c r="AG36" s="1">
        <v>46117</v>
      </c>
      <c r="AH36" s="1">
        <v>46154</v>
      </c>
      <c r="AI36" s="1">
        <v>29</v>
      </c>
      <c r="AJ36" s="1">
        <v>2069.12</v>
      </c>
      <c r="AK36" s="1" t="s">
        <v>46</v>
      </c>
      <c r="AL36" s="1">
        <v>2069.12</v>
      </c>
      <c r="AM36" s="1"/>
      <c r="AN36" s="1"/>
      <c r="AO36" s="1"/>
      <c r="AP36" s="12" t="s">
        <v>149</v>
      </c>
      <c r="AQ36" s="13">
        <v>-20</v>
      </c>
      <c r="AR36" s="1" t="s">
        <v>53</v>
      </c>
      <c r="AS36" s="1" t="s">
        <v>54</v>
      </c>
    </row>
    <row r="37" spans="1:49" x14ac:dyDescent="0.35">
      <c r="A37" s="11">
        <v>46137</v>
      </c>
      <c r="B37" s="1" t="s">
        <v>409</v>
      </c>
      <c r="C37" s="1" t="s">
        <v>42</v>
      </c>
      <c r="D37" s="1">
        <v>14071061</v>
      </c>
      <c r="E37" s="1" t="s">
        <v>346</v>
      </c>
      <c r="F37" s="1">
        <v>1</v>
      </c>
      <c r="G37" s="1" t="s">
        <v>43</v>
      </c>
      <c r="H37" s="1" t="s">
        <v>71</v>
      </c>
      <c r="I37" s="1" t="s">
        <v>45</v>
      </c>
      <c r="J37" s="1" t="s">
        <v>45</v>
      </c>
      <c r="K37" s="1"/>
      <c r="L37" s="1"/>
      <c r="M37" s="1"/>
      <c r="N37" s="1"/>
      <c r="O37" s="1"/>
      <c r="P37" s="1"/>
      <c r="Q37" s="1"/>
      <c r="R37" s="1"/>
      <c r="S37" s="1"/>
      <c r="T37" s="1" t="s">
        <v>72</v>
      </c>
      <c r="U37" s="1" t="s">
        <v>69</v>
      </c>
      <c r="V37" s="1" t="s">
        <v>70</v>
      </c>
      <c r="W37" s="1" t="s">
        <v>73</v>
      </c>
      <c r="X37" s="1" t="s">
        <v>59</v>
      </c>
      <c r="Y37" s="1">
        <v>0</v>
      </c>
      <c r="Z37" s="1" t="s">
        <v>50</v>
      </c>
      <c r="AA37" s="1" t="s">
        <v>74</v>
      </c>
      <c r="AB37" s="1" t="s">
        <v>61</v>
      </c>
      <c r="AC37" s="1"/>
      <c r="AD37" s="1" t="s">
        <v>52</v>
      </c>
      <c r="AE37" s="1"/>
      <c r="AF37" s="1">
        <v>46137</v>
      </c>
      <c r="AG37" s="1">
        <v>46137</v>
      </c>
      <c r="AH37" s="1">
        <v>46138</v>
      </c>
      <c r="AI37" s="1">
        <v>0</v>
      </c>
      <c r="AJ37" s="1">
        <v>84.11</v>
      </c>
      <c r="AK37" s="1" t="s">
        <v>46</v>
      </c>
      <c r="AL37" s="1">
        <v>84.11</v>
      </c>
      <c r="AM37" s="1" t="s">
        <v>410</v>
      </c>
      <c r="AN37" s="1">
        <v>4215944</v>
      </c>
      <c r="AO37" s="1"/>
      <c r="AP37" s="12" t="s">
        <v>411</v>
      </c>
      <c r="AQ37" s="13">
        <v>0</v>
      </c>
      <c r="AR37" s="1" t="s">
        <v>62</v>
      </c>
      <c r="AS37" s="1" t="s">
        <v>54</v>
      </c>
    </row>
    <row r="38" spans="1:49" x14ac:dyDescent="0.35">
      <c r="A38" s="39">
        <v>46140</v>
      </c>
      <c r="B38" s="40" t="s">
        <v>458</v>
      </c>
      <c r="C38" s="40" t="s">
        <v>63</v>
      </c>
      <c r="D38" s="40">
        <v>14074144</v>
      </c>
      <c r="E38" s="40" t="s">
        <v>459</v>
      </c>
      <c r="F38" s="40">
        <v>1</v>
      </c>
      <c r="G38" s="40" t="s">
        <v>43</v>
      </c>
      <c r="H38" s="40" t="s">
        <v>71</v>
      </c>
      <c r="I38" s="40">
        <v>12.233898305084747</v>
      </c>
      <c r="J38" s="40">
        <v>152326</v>
      </c>
      <c r="K38" s="39">
        <v>46133</v>
      </c>
      <c r="L38" s="40" t="s">
        <v>330</v>
      </c>
      <c r="M38" s="40">
        <v>12.87</v>
      </c>
      <c r="N38" s="40" t="s">
        <v>46</v>
      </c>
      <c r="O38" s="40">
        <v>1</v>
      </c>
      <c r="P38" s="40" t="s">
        <v>43</v>
      </c>
      <c r="Q38" s="40">
        <v>1102</v>
      </c>
      <c r="R38" s="40">
        <v>1</v>
      </c>
      <c r="S38" s="40">
        <v>4500902388</v>
      </c>
      <c r="T38" s="40" t="s">
        <v>460</v>
      </c>
      <c r="U38" s="40" t="s">
        <v>461</v>
      </c>
      <c r="V38" s="40" t="s">
        <v>70</v>
      </c>
      <c r="W38" s="40" t="s">
        <v>73</v>
      </c>
      <c r="X38" s="40" t="s">
        <v>59</v>
      </c>
      <c r="Y38" s="40">
        <v>0</v>
      </c>
      <c r="Z38" s="40" t="s">
        <v>50</v>
      </c>
      <c r="AA38" s="40" t="s">
        <v>74</v>
      </c>
      <c r="AB38" s="40" t="s">
        <v>61</v>
      </c>
      <c r="AC38" s="40"/>
      <c r="AD38" s="40" t="s">
        <v>52</v>
      </c>
      <c r="AE38" s="40"/>
      <c r="AF38" s="40">
        <v>46140</v>
      </c>
      <c r="AG38" s="40">
        <v>46140</v>
      </c>
      <c r="AH38" s="40">
        <v>46141</v>
      </c>
      <c r="AI38" s="40">
        <v>0</v>
      </c>
      <c r="AJ38" s="40">
        <v>12.34</v>
      </c>
      <c r="AK38" s="40" t="s">
        <v>46</v>
      </c>
      <c r="AL38" s="40">
        <v>12.34</v>
      </c>
      <c r="AM38" s="40" t="s">
        <v>462</v>
      </c>
      <c r="AN38" s="40">
        <v>2023783</v>
      </c>
      <c r="AO38" s="40"/>
      <c r="AP38" s="41" t="s">
        <v>463</v>
      </c>
      <c r="AQ38" s="42">
        <v>3</v>
      </c>
      <c r="AR38" s="40" t="s">
        <v>62</v>
      </c>
      <c r="AS38" s="40" t="s">
        <v>54</v>
      </c>
      <c r="AT38" s="63">
        <v>4500903758</v>
      </c>
      <c r="AU38" s="55" t="s">
        <v>512</v>
      </c>
      <c r="AV38" s="74">
        <v>46140.702789351853</v>
      </c>
      <c r="AW38" s="55"/>
    </row>
    <row r="39" spans="1:49" x14ac:dyDescent="0.35">
      <c r="A39" s="11">
        <v>46126</v>
      </c>
      <c r="B39" s="1" t="s">
        <v>227</v>
      </c>
      <c r="C39" s="1" t="s">
        <v>42</v>
      </c>
      <c r="D39" s="1">
        <v>14904893</v>
      </c>
      <c r="E39" s="1" t="s">
        <v>228</v>
      </c>
      <c r="F39" s="1">
        <v>1</v>
      </c>
      <c r="G39" s="1" t="s">
        <v>43</v>
      </c>
      <c r="H39" s="1" t="s">
        <v>44</v>
      </c>
      <c r="I39" s="1" t="s">
        <v>45</v>
      </c>
      <c r="J39" s="1" t="s">
        <v>45</v>
      </c>
      <c r="K39" s="1"/>
      <c r="L39" s="1"/>
      <c r="M39" s="1"/>
      <c r="N39" s="1"/>
      <c r="O39" s="1"/>
      <c r="P39" s="1"/>
      <c r="Q39" s="1"/>
      <c r="R39" s="1"/>
      <c r="S39" s="1"/>
      <c r="T39" s="1" t="s">
        <v>229</v>
      </c>
      <c r="U39" s="1" t="s">
        <v>128</v>
      </c>
      <c r="V39" s="1" t="s">
        <v>70</v>
      </c>
      <c r="W39" s="1" t="s">
        <v>84</v>
      </c>
      <c r="X39" s="1" t="s">
        <v>49</v>
      </c>
      <c r="Y39" s="1">
        <v>0</v>
      </c>
      <c r="Z39" s="1" t="s">
        <v>50</v>
      </c>
      <c r="AA39" s="1" t="s">
        <v>87</v>
      </c>
      <c r="AB39" s="1" t="s">
        <v>61</v>
      </c>
      <c r="AC39" s="1"/>
      <c r="AD39" s="1" t="s">
        <v>52</v>
      </c>
      <c r="AE39" s="1"/>
      <c r="AF39" s="1">
        <v>46126</v>
      </c>
      <c r="AG39" s="1">
        <v>46126</v>
      </c>
      <c r="AH39" s="1">
        <v>46127</v>
      </c>
      <c r="AI39" s="1">
        <v>0</v>
      </c>
      <c r="AJ39" s="1">
        <v>126.87</v>
      </c>
      <c r="AK39" s="1" t="s">
        <v>46</v>
      </c>
      <c r="AL39" s="1">
        <v>126.87</v>
      </c>
      <c r="AM39" s="1" t="s">
        <v>230</v>
      </c>
      <c r="AN39" s="1">
        <v>4214406</v>
      </c>
      <c r="AO39" s="1"/>
      <c r="AP39" s="12" t="s">
        <v>231</v>
      </c>
      <c r="AQ39" s="13">
        <v>-11</v>
      </c>
      <c r="AR39" s="1" t="s">
        <v>53</v>
      </c>
      <c r="AS39" s="1" t="s">
        <v>54</v>
      </c>
    </row>
    <row r="40" spans="1:49" x14ac:dyDescent="0.35">
      <c r="A40" s="11">
        <v>46136</v>
      </c>
      <c r="B40" s="1" t="s">
        <v>412</v>
      </c>
      <c r="C40" s="1" t="s">
        <v>42</v>
      </c>
      <c r="D40" s="1">
        <v>14084895</v>
      </c>
      <c r="E40" s="1" t="s">
        <v>413</v>
      </c>
      <c r="F40" s="1">
        <v>1</v>
      </c>
      <c r="G40" s="1" t="s">
        <v>43</v>
      </c>
      <c r="H40" s="1" t="s">
        <v>44</v>
      </c>
      <c r="I40" s="1" t="s">
        <v>45</v>
      </c>
      <c r="J40" s="1" t="s">
        <v>45</v>
      </c>
      <c r="K40" s="1"/>
      <c r="L40" s="1"/>
      <c r="M40" s="1"/>
      <c r="N40" s="1"/>
      <c r="O40" s="1"/>
      <c r="P40" s="1"/>
      <c r="Q40" s="1"/>
      <c r="R40" s="1"/>
      <c r="S40" s="1"/>
      <c r="T40" s="1" t="s">
        <v>229</v>
      </c>
      <c r="U40" s="1" t="s">
        <v>128</v>
      </c>
      <c r="V40" s="1" t="s">
        <v>70</v>
      </c>
      <c r="W40" s="1" t="s">
        <v>84</v>
      </c>
      <c r="X40" s="1" t="s">
        <v>49</v>
      </c>
      <c r="Y40" s="1">
        <v>0</v>
      </c>
      <c r="Z40" s="1" t="s">
        <v>50</v>
      </c>
      <c r="AA40" s="1" t="s">
        <v>87</v>
      </c>
      <c r="AB40" s="1" t="s">
        <v>61</v>
      </c>
      <c r="AC40" s="1"/>
      <c r="AD40" s="1" t="s">
        <v>52</v>
      </c>
      <c r="AE40" s="1"/>
      <c r="AF40" s="1">
        <v>46136</v>
      </c>
      <c r="AG40" s="1">
        <v>46136</v>
      </c>
      <c r="AH40" s="1">
        <v>46137</v>
      </c>
      <c r="AI40" s="1">
        <v>0</v>
      </c>
      <c r="AJ40" s="1">
        <v>35.71</v>
      </c>
      <c r="AK40" s="1" t="s">
        <v>46</v>
      </c>
      <c r="AL40" s="1">
        <v>35.71</v>
      </c>
      <c r="AM40" s="1" t="s">
        <v>414</v>
      </c>
      <c r="AN40" s="1">
        <v>4214428</v>
      </c>
      <c r="AO40" s="1"/>
      <c r="AP40" s="12" t="s">
        <v>415</v>
      </c>
      <c r="AQ40" s="13">
        <v>-1</v>
      </c>
      <c r="AR40" s="1" t="s">
        <v>53</v>
      </c>
      <c r="AS40" s="1" t="s">
        <v>54</v>
      </c>
    </row>
    <row r="41" spans="1:49" x14ac:dyDescent="0.35">
      <c r="A41" s="11">
        <v>46113</v>
      </c>
      <c r="B41" s="1" t="s">
        <v>150</v>
      </c>
      <c r="C41" s="1" t="s">
        <v>42</v>
      </c>
      <c r="D41" s="1">
        <v>14086740</v>
      </c>
      <c r="E41" s="1" t="s">
        <v>151</v>
      </c>
      <c r="F41" s="1">
        <v>10</v>
      </c>
      <c r="G41" s="1" t="s">
        <v>43</v>
      </c>
      <c r="H41" s="1" t="s">
        <v>92</v>
      </c>
      <c r="I41" s="1" t="s">
        <v>45</v>
      </c>
      <c r="J41" s="1" t="s">
        <v>45</v>
      </c>
      <c r="K41" s="1"/>
      <c r="L41" s="1"/>
      <c r="M41" s="1"/>
      <c r="N41" s="1"/>
      <c r="O41" s="1"/>
      <c r="P41" s="1"/>
      <c r="Q41" s="1"/>
      <c r="R41" s="1"/>
      <c r="S41" s="1"/>
      <c r="T41" s="1" t="s">
        <v>152</v>
      </c>
      <c r="U41" s="1" t="s">
        <v>134</v>
      </c>
      <c r="V41" s="1" t="s">
        <v>104</v>
      </c>
      <c r="W41" s="1" t="s">
        <v>93</v>
      </c>
      <c r="X41" s="1" t="s">
        <v>59</v>
      </c>
      <c r="Y41" s="1">
        <v>0</v>
      </c>
      <c r="Z41" s="1" t="s">
        <v>50</v>
      </c>
      <c r="AA41" s="1" t="s">
        <v>94</v>
      </c>
      <c r="AB41" s="1" t="s">
        <v>61</v>
      </c>
      <c r="AC41" s="1"/>
      <c r="AD41" s="1" t="s">
        <v>52</v>
      </c>
      <c r="AE41" s="1"/>
      <c r="AF41" s="1">
        <v>46113</v>
      </c>
      <c r="AG41" s="1">
        <v>46113</v>
      </c>
      <c r="AH41" s="1">
        <v>46114</v>
      </c>
      <c r="AI41" s="1">
        <v>0</v>
      </c>
      <c r="AJ41" s="1">
        <v>6.75</v>
      </c>
      <c r="AK41" s="1" t="s">
        <v>46</v>
      </c>
      <c r="AL41" s="1">
        <v>67.5</v>
      </c>
      <c r="AM41" s="1" t="s">
        <v>153</v>
      </c>
      <c r="AN41" s="1">
        <v>4214539</v>
      </c>
      <c r="AO41" s="1"/>
      <c r="AP41" s="12" t="s">
        <v>154</v>
      </c>
      <c r="AQ41" s="13">
        <v>-24</v>
      </c>
      <c r="AR41" s="1" t="s">
        <v>53</v>
      </c>
      <c r="AS41" s="1" t="s">
        <v>54</v>
      </c>
    </row>
    <row r="42" spans="1:49" x14ac:dyDescent="0.35">
      <c r="A42" s="11">
        <v>46123</v>
      </c>
      <c r="B42" s="1" t="s">
        <v>185</v>
      </c>
      <c r="C42" s="1" t="s">
        <v>42</v>
      </c>
      <c r="D42" s="1">
        <v>14077305</v>
      </c>
      <c r="E42" s="1" t="s">
        <v>186</v>
      </c>
      <c r="F42" s="1">
        <v>1</v>
      </c>
      <c r="G42" s="1" t="s">
        <v>43</v>
      </c>
      <c r="H42" s="1" t="s">
        <v>44</v>
      </c>
      <c r="I42" s="1" t="s">
        <v>45</v>
      </c>
      <c r="J42" s="1" t="s">
        <v>45</v>
      </c>
      <c r="K42" s="11">
        <v>46118</v>
      </c>
      <c r="L42" s="1" t="s">
        <v>82</v>
      </c>
      <c r="M42" s="1">
        <v>0.41</v>
      </c>
      <c r="N42" s="1" t="s">
        <v>56</v>
      </c>
      <c r="O42" s="1">
        <v>1</v>
      </c>
      <c r="P42" s="1" t="s">
        <v>43</v>
      </c>
      <c r="Q42" s="1">
        <v>1207</v>
      </c>
      <c r="R42" s="1">
        <v>2</v>
      </c>
      <c r="S42" s="1">
        <v>4500898939</v>
      </c>
      <c r="T42" s="1" t="s">
        <v>152</v>
      </c>
      <c r="U42" s="1" t="s">
        <v>134</v>
      </c>
      <c r="V42" s="1" t="s">
        <v>70</v>
      </c>
      <c r="W42" s="1" t="s">
        <v>84</v>
      </c>
      <c r="X42" s="1" t="s">
        <v>49</v>
      </c>
      <c r="Y42" s="1">
        <v>0</v>
      </c>
      <c r="Z42" s="1" t="s">
        <v>50</v>
      </c>
      <c r="AA42" s="1" t="s">
        <v>87</v>
      </c>
      <c r="AB42" s="1" t="s">
        <v>61</v>
      </c>
      <c r="AC42" s="1"/>
      <c r="AD42" s="1" t="s">
        <v>52</v>
      </c>
      <c r="AE42" s="1"/>
      <c r="AF42" s="1">
        <v>46123</v>
      </c>
      <c r="AG42" s="1">
        <v>46134</v>
      </c>
      <c r="AH42" s="1">
        <v>46124</v>
      </c>
      <c r="AI42" s="1">
        <v>0</v>
      </c>
      <c r="AJ42" s="1">
        <v>1.86</v>
      </c>
      <c r="AK42" s="1" t="s">
        <v>46</v>
      </c>
      <c r="AL42" s="1">
        <v>1.86</v>
      </c>
      <c r="AM42" s="1" t="s">
        <v>187</v>
      </c>
      <c r="AN42" s="1">
        <v>4214666</v>
      </c>
      <c r="AO42" s="1"/>
      <c r="AP42" s="12" t="s">
        <v>188</v>
      </c>
      <c r="AQ42" s="13">
        <v>-14</v>
      </c>
      <c r="AR42" s="1" t="s">
        <v>53</v>
      </c>
      <c r="AS42" s="1" t="s">
        <v>54</v>
      </c>
    </row>
    <row r="43" spans="1:49" x14ac:dyDescent="0.35">
      <c r="A43" s="11">
        <v>46124</v>
      </c>
      <c r="B43" s="1" t="s">
        <v>200</v>
      </c>
      <c r="C43" s="1" t="s">
        <v>42</v>
      </c>
      <c r="D43" s="1">
        <v>14013754</v>
      </c>
      <c r="E43" s="1" t="s">
        <v>201</v>
      </c>
      <c r="F43" s="1">
        <v>24</v>
      </c>
      <c r="G43" s="1" t="s">
        <v>43</v>
      </c>
      <c r="H43" s="1" t="s">
        <v>44</v>
      </c>
      <c r="I43" s="1" t="s">
        <v>45</v>
      </c>
      <c r="J43" s="1" t="s">
        <v>45</v>
      </c>
      <c r="K43" s="1"/>
      <c r="L43" s="1"/>
      <c r="M43" s="1"/>
      <c r="N43" s="1"/>
      <c r="O43" s="1"/>
      <c r="P43" s="1"/>
      <c r="Q43" s="1"/>
      <c r="R43" s="1"/>
      <c r="S43" s="1"/>
      <c r="T43" s="1" t="s">
        <v>152</v>
      </c>
      <c r="U43" s="1" t="s">
        <v>109</v>
      </c>
      <c r="V43" s="1" t="s">
        <v>70</v>
      </c>
      <c r="W43" s="1" t="s">
        <v>84</v>
      </c>
      <c r="X43" s="1" t="s">
        <v>49</v>
      </c>
      <c r="Y43" s="1">
        <v>0</v>
      </c>
      <c r="Z43" s="1" t="s">
        <v>50</v>
      </c>
      <c r="AA43" s="1" t="s">
        <v>87</v>
      </c>
      <c r="AB43" s="1" t="s">
        <v>61</v>
      </c>
      <c r="AC43" s="1"/>
      <c r="AD43" s="1" t="s">
        <v>52</v>
      </c>
      <c r="AE43" s="1"/>
      <c r="AF43" s="1">
        <v>46124</v>
      </c>
      <c r="AG43" s="1">
        <v>46124</v>
      </c>
      <c r="AH43" s="1">
        <v>46154</v>
      </c>
      <c r="AI43" s="1">
        <v>29</v>
      </c>
      <c r="AJ43" s="1">
        <v>3.46</v>
      </c>
      <c r="AK43" s="1" t="s">
        <v>46</v>
      </c>
      <c r="AL43" s="1">
        <v>83.04</v>
      </c>
      <c r="AM43" s="1" t="s">
        <v>202</v>
      </c>
      <c r="AN43" s="1">
        <v>4215124</v>
      </c>
      <c r="AO43" s="1"/>
      <c r="AP43" s="12" t="s">
        <v>203</v>
      </c>
      <c r="AQ43" s="13">
        <v>-13</v>
      </c>
      <c r="AR43" s="1" t="s">
        <v>53</v>
      </c>
      <c r="AS43" s="1" t="s">
        <v>54</v>
      </c>
    </row>
    <row r="44" spans="1:49" x14ac:dyDescent="0.35">
      <c r="A44" s="11">
        <v>46133</v>
      </c>
      <c r="B44" s="1" t="s">
        <v>299</v>
      </c>
      <c r="C44" s="1" t="s">
        <v>42</v>
      </c>
      <c r="D44" s="1">
        <v>14092817</v>
      </c>
      <c r="E44" s="1" t="s">
        <v>300</v>
      </c>
      <c r="F44" s="1">
        <v>15</v>
      </c>
      <c r="G44" s="1" t="s">
        <v>43</v>
      </c>
      <c r="H44" s="1" t="s">
        <v>88</v>
      </c>
      <c r="I44" s="1" t="s">
        <v>45</v>
      </c>
      <c r="J44" s="1" t="s">
        <v>45</v>
      </c>
      <c r="K44" s="1"/>
      <c r="L44" s="1"/>
      <c r="M44" s="1"/>
      <c r="N44" s="1"/>
      <c r="O44" s="1"/>
      <c r="P44" s="1"/>
      <c r="Q44" s="1"/>
      <c r="R44" s="1"/>
      <c r="S44" s="1"/>
      <c r="T44" s="1" t="s">
        <v>152</v>
      </c>
      <c r="U44" s="1" t="s">
        <v>301</v>
      </c>
      <c r="V44" s="1" t="s">
        <v>70</v>
      </c>
      <c r="W44" s="1" t="s">
        <v>89</v>
      </c>
      <c r="X44" s="1" t="s">
        <v>59</v>
      </c>
      <c r="Y44" s="1">
        <v>0</v>
      </c>
      <c r="Z44" s="1" t="s">
        <v>50</v>
      </c>
      <c r="AA44" s="1" t="s">
        <v>90</v>
      </c>
      <c r="AB44" s="1" t="s">
        <v>61</v>
      </c>
      <c r="AC44" s="1"/>
      <c r="AD44" s="1" t="s">
        <v>52</v>
      </c>
      <c r="AE44" s="1"/>
      <c r="AF44" s="1">
        <v>46133</v>
      </c>
      <c r="AG44" s="1">
        <v>46133</v>
      </c>
      <c r="AH44" s="1">
        <v>46134</v>
      </c>
      <c r="AI44" s="1">
        <v>0</v>
      </c>
      <c r="AJ44" s="1">
        <v>23.24</v>
      </c>
      <c r="AK44" s="1" t="s">
        <v>46</v>
      </c>
      <c r="AL44" s="1">
        <v>348.6</v>
      </c>
      <c r="AM44" s="1" t="s">
        <v>302</v>
      </c>
      <c r="AN44" s="1">
        <v>2022437</v>
      </c>
      <c r="AO44" s="1"/>
      <c r="AP44" s="12" t="s">
        <v>303</v>
      </c>
      <c r="AQ44" s="13">
        <v>-4</v>
      </c>
      <c r="AR44" s="1" t="s">
        <v>53</v>
      </c>
      <c r="AS44" s="1" t="s">
        <v>54</v>
      </c>
    </row>
    <row r="45" spans="1:49" x14ac:dyDescent="0.35">
      <c r="A45" s="11">
        <v>46133</v>
      </c>
      <c r="B45" s="1" t="s">
        <v>299</v>
      </c>
      <c r="C45" s="1" t="s">
        <v>63</v>
      </c>
      <c r="D45" s="1">
        <v>14091436</v>
      </c>
      <c r="E45" s="1" t="s">
        <v>304</v>
      </c>
      <c r="F45" s="1">
        <v>15</v>
      </c>
      <c r="G45" s="1" t="s">
        <v>43</v>
      </c>
      <c r="H45" s="1" t="s">
        <v>88</v>
      </c>
      <c r="I45" s="1" t="s">
        <v>45</v>
      </c>
      <c r="J45" s="1" t="s">
        <v>45</v>
      </c>
      <c r="K45" s="1"/>
      <c r="L45" s="1"/>
      <c r="M45" s="1"/>
      <c r="N45" s="1"/>
      <c r="O45" s="1"/>
      <c r="P45" s="1"/>
      <c r="Q45" s="1"/>
      <c r="R45" s="1"/>
      <c r="S45" s="1"/>
      <c r="T45" s="1" t="s">
        <v>152</v>
      </c>
      <c r="U45" s="1" t="s">
        <v>301</v>
      </c>
      <c r="V45" s="1" t="s">
        <v>70</v>
      </c>
      <c r="W45" s="1" t="s">
        <v>89</v>
      </c>
      <c r="X45" s="1" t="s">
        <v>59</v>
      </c>
      <c r="Y45" s="1">
        <v>0</v>
      </c>
      <c r="Z45" s="1" t="s">
        <v>50</v>
      </c>
      <c r="AA45" s="1" t="s">
        <v>90</v>
      </c>
      <c r="AB45" s="1" t="s">
        <v>61</v>
      </c>
      <c r="AC45" s="1"/>
      <c r="AD45" s="1" t="s">
        <v>52</v>
      </c>
      <c r="AE45" s="1"/>
      <c r="AF45" s="1">
        <v>46133</v>
      </c>
      <c r="AG45" s="1">
        <v>46133</v>
      </c>
      <c r="AH45" s="1">
        <v>46134</v>
      </c>
      <c r="AI45" s="1">
        <v>0</v>
      </c>
      <c r="AJ45" s="1">
        <v>18.239999999999998</v>
      </c>
      <c r="AK45" s="1" t="s">
        <v>46</v>
      </c>
      <c r="AL45" s="1">
        <v>273.60000000000002</v>
      </c>
      <c r="AM45" s="1" t="s">
        <v>305</v>
      </c>
      <c r="AN45" s="1">
        <v>2022437</v>
      </c>
      <c r="AO45" s="1"/>
      <c r="AP45" s="12" t="s">
        <v>306</v>
      </c>
      <c r="AQ45" s="13">
        <v>-4</v>
      </c>
      <c r="AR45" s="1" t="s">
        <v>53</v>
      </c>
      <c r="AS45" s="1" t="s">
        <v>54</v>
      </c>
    </row>
    <row r="46" spans="1:49" x14ac:dyDescent="0.35">
      <c r="A46" s="11">
        <v>46134</v>
      </c>
      <c r="B46" s="1" t="s">
        <v>307</v>
      </c>
      <c r="C46" s="1" t="s">
        <v>42</v>
      </c>
      <c r="D46" s="1">
        <v>14093053</v>
      </c>
      <c r="E46" s="1" t="s">
        <v>308</v>
      </c>
      <c r="F46" s="1">
        <v>10</v>
      </c>
      <c r="G46" s="1" t="s">
        <v>43</v>
      </c>
      <c r="H46" s="1" t="s">
        <v>88</v>
      </c>
      <c r="I46" s="1" t="s">
        <v>45</v>
      </c>
      <c r="J46" s="1" t="s">
        <v>45</v>
      </c>
      <c r="K46" s="11">
        <v>45904</v>
      </c>
      <c r="L46" s="1" t="s">
        <v>82</v>
      </c>
      <c r="M46" s="1">
        <v>667.5</v>
      </c>
      <c r="N46" s="1" t="s">
        <v>56</v>
      </c>
      <c r="O46" s="1">
        <v>100</v>
      </c>
      <c r="P46" s="1" t="s">
        <v>43</v>
      </c>
      <c r="Q46" s="1">
        <v>1103</v>
      </c>
      <c r="R46" s="1">
        <v>10</v>
      </c>
      <c r="S46" s="1">
        <v>4500862990</v>
      </c>
      <c r="T46" s="1" t="s">
        <v>152</v>
      </c>
      <c r="U46" s="1" t="s">
        <v>301</v>
      </c>
      <c r="V46" s="1" t="s">
        <v>70</v>
      </c>
      <c r="W46" s="1" t="s">
        <v>89</v>
      </c>
      <c r="X46" s="1" t="s">
        <v>59</v>
      </c>
      <c r="Y46" s="1">
        <v>0</v>
      </c>
      <c r="Z46" s="1" t="s">
        <v>50</v>
      </c>
      <c r="AA46" s="1" t="s">
        <v>90</v>
      </c>
      <c r="AB46" s="1" t="s">
        <v>61</v>
      </c>
      <c r="AC46" s="1"/>
      <c r="AD46" s="1" t="s">
        <v>52</v>
      </c>
      <c r="AE46" s="1"/>
      <c r="AF46" s="1">
        <v>46134</v>
      </c>
      <c r="AG46" s="1">
        <v>46134</v>
      </c>
      <c r="AH46" s="1">
        <v>46135</v>
      </c>
      <c r="AI46" s="1">
        <v>0</v>
      </c>
      <c r="AJ46" s="1">
        <v>25.82</v>
      </c>
      <c r="AK46" s="1" t="s">
        <v>46</v>
      </c>
      <c r="AL46" s="1">
        <v>258.2</v>
      </c>
      <c r="AM46" s="1" t="s">
        <v>309</v>
      </c>
      <c r="AN46" s="1">
        <v>2022617</v>
      </c>
      <c r="AO46" s="1"/>
      <c r="AP46" s="12" t="s">
        <v>310</v>
      </c>
      <c r="AQ46" s="13">
        <v>-3</v>
      </c>
      <c r="AR46" s="1" t="s">
        <v>53</v>
      </c>
      <c r="AS46" s="1" t="s">
        <v>54</v>
      </c>
    </row>
    <row r="47" spans="1:49" x14ac:dyDescent="0.35">
      <c r="A47" s="11">
        <v>46134</v>
      </c>
      <c r="B47" s="1" t="s">
        <v>311</v>
      </c>
      <c r="C47" s="1" t="s">
        <v>42</v>
      </c>
      <c r="D47" s="1">
        <v>14077305</v>
      </c>
      <c r="E47" s="1" t="s">
        <v>312</v>
      </c>
      <c r="F47" s="1">
        <v>20</v>
      </c>
      <c r="G47" s="1" t="s">
        <v>43</v>
      </c>
      <c r="H47" s="1" t="s">
        <v>44</v>
      </c>
      <c r="I47" s="1" t="s">
        <v>45</v>
      </c>
      <c r="J47" s="1" t="s">
        <v>45</v>
      </c>
      <c r="K47" s="11">
        <v>46118</v>
      </c>
      <c r="L47" s="1" t="s">
        <v>82</v>
      </c>
      <c r="M47" s="1">
        <v>0.41</v>
      </c>
      <c r="N47" s="1" t="s">
        <v>56</v>
      </c>
      <c r="O47" s="1">
        <v>1</v>
      </c>
      <c r="P47" s="1" t="s">
        <v>43</v>
      </c>
      <c r="Q47" s="1">
        <v>1207</v>
      </c>
      <c r="R47" s="1">
        <v>2</v>
      </c>
      <c r="S47" s="1">
        <v>4500898939</v>
      </c>
      <c r="T47" s="1" t="s">
        <v>152</v>
      </c>
      <c r="U47" s="1" t="s">
        <v>269</v>
      </c>
      <c r="V47" s="1" t="s">
        <v>70</v>
      </c>
      <c r="W47" s="1" t="s">
        <v>84</v>
      </c>
      <c r="X47" s="1" t="s">
        <v>49</v>
      </c>
      <c r="Y47" s="1">
        <v>0</v>
      </c>
      <c r="Z47" s="1" t="s">
        <v>50</v>
      </c>
      <c r="AA47" s="1" t="s">
        <v>87</v>
      </c>
      <c r="AB47" s="1" t="s">
        <v>61</v>
      </c>
      <c r="AC47" s="1"/>
      <c r="AD47" s="1" t="s">
        <v>52</v>
      </c>
      <c r="AE47" s="1"/>
      <c r="AF47" s="1">
        <v>46134</v>
      </c>
      <c r="AG47" s="1">
        <v>46134</v>
      </c>
      <c r="AH47" s="1">
        <v>46135</v>
      </c>
      <c r="AI47" s="1">
        <v>0</v>
      </c>
      <c r="AJ47" s="1">
        <v>1.86</v>
      </c>
      <c r="AK47" s="1" t="s">
        <v>46</v>
      </c>
      <c r="AL47" s="1">
        <v>37.200000000000003</v>
      </c>
      <c r="AM47" s="1" t="s">
        <v>313</v>
      </c>
      <c r="AN47" s="1">
        <v>4214725</v>
      </c>
      <c r="AO47" s="1"/>
      <c r="AP47" s="12" t="s">
        <v>314</v>
      </c>
      <c r="AQ47" s="13">
        <v>-3</v>
      </c>
      <c r="AR47" s="1" t="s">
        <v>53</v>
      </c>
      <c r="AS47" s="1" t="s">
        <v>54</v>
      </c>
    </row>
    <row r="48" spans="1:49" x14ac:dyDescent="0.35">
      <c r="A48" s="35">
        <v>46106</v>
      </c>
      <c r="B48" s="36" t="s">
        <v>119</v>
      </c>
      <c r="C48" s="36" t="s">
        <v>42</v>
      </c>
      <c r="D48" s="36">
        <v>14070752</v>
      </c>
      <c r="E48" s="36" t="s">
        <v>120</v>
      </c>
      <c r="F48" s="36">
        <v>7</v>
      </c>
      <c r="G48" s="36" t="s">
        <v>43</v>
      </c>
      <c r="H48" s="36" t="s">
        <v>44</v>
      </c>
      <c r="I48" s="36" t="s">
        <v>45</v>
      </c>
      <c r="J48" s="36" t="s">
        <v>45</v>
      </c>
      <c r="K48" s="36"/>
      <c r="L48" s="36"/>
      <c r="M48" s="36"/>
      <c r="N48" s="36"/>
      <c r="O48" s="36"/>
      <c r="P48" s="36"/>
      <c r="Q48" s="36"/>
      <c r="R48" s="36"/>
      <c r="S48" s="36"/>
      <c r="T48" s="36" t="s">
        <v>98</v>
      </c>
      <c r="U48" s="36" t="s">
        <v>109</v>
      </c>
      <c r="V48" s="36" t="s">
        <v>70</v>
      </c>
      <c r="W48" s="36" t="s">
        <v>84</v>
      </c>
      <c r="X48" s="36" t="s">
        <v>49</v>
      </c>
      <c r="Y48" s="36">
        <v>0</v>
      </c>
      <c r="Z48" s="36" t="s">
        <v>50</v>
      </c>
      <c r="AA48" s="36" t="s">
        <v>87</v>
      </c>
      <c r="AB48" s="36" t="s">
        <v>61</v>
      </c>
      <c r="AC48" s="36"/>
      <c r="AD48" s="36" t="s">
        <v>52</v>
      </c>
      <c r="AE48" s="36"/>
      <c r="AF48" s="36">
        <v>46106</v>
      </c>
      <c r="AG48" s="36">
        <v>46106</v>
      </c>
      <c r="AH48" s="36">
        <v>46107</v>
      </c>
      <c r="AI48" s="36">
        <v>0</v>
      </c>
      <c r="AJ48" s="36">
        <v>155.47999999999999</v>
      </c>
      <c r="AK48" s="36" t="s">
        <v>46</v>
      </c>
      <c r="AL48" s="36">
        <v>1088.3599999999999</v>
      </c>
      <c r="AM48" s="36" t="s">
        <v>121</v>
      </c>
      <c r="AN48" s="36">
        <v>4211794</v>
      </c>
      <c r="AO48" s="36" t="s">
        <v>446</v>
      </c>
      <c r="AP48" s="37" t="s">
        <v>122</v>
      </c>
      <c r="AQ48" s="38">
        <v>-31</v>
      </c>
      <c r="AR48" s="36" t="s">
        <v>53</v>
      </c>
      <c r="AS48" s="36" t="s">
        <v>54</v>
      </c>
    </row>
    <row r="49" spans="1:49" x14ac:dyDescent="0.35">
      <c r="A49" s="35">
        <v>46106</v>
      </c>
      <c r="B49" s="36" t="s">
        <v>123</v>
      </c>
      <c r="C49" s="36" t="s">
        <v>42</v>
      </c>
      <c r="D49" s="36">
        <v>14070752</v>
      </c>
      <c r="E49" s="36" t="s">
        <v>120</v>
      </c>
      <c r="F49" s="36">
        <v>6</v>
      </c>
      <c r="G49" s="36" t="s">
        <v>43</v>
      </c>
      <c r="H49" s="36" t="s">
        <v>44</v>
      </c>
      <c r="I49" s="36" t="s">
        <v>45</v>
      </c>
      <c r="J49" s="36" t="s">
        <v>45</v>
      </c>
      <c r="K49" s="36"/>
      <c r="L49" s="36"/>
      <c r="M49" s="36"/>
      <c r="N49" s="36"/>
      <c r="O49" s="36"/>
      <c r="P49" s="36"/>
      <c r="Q49" s="36"/>
      <c r="R49" s="36"/>
      <c r="S49" s="36"/>
      <c r="T49" s="36" t="s">
        <v>98</v>
      </c>
      <c r="U49" s="36" t="s">
        <v>109</v>
      </c>
      <c r="V49" s="36" t="s">
        <v>70</v>
      </c>
      <c r="W49" s="36" t="s">
        <v>84</v>
      </c>
      <c r="X49" s="36" t="s">
        <v>49</v>
      </c>
      <c r="Y49" s="36">
        <v>0</v>
      </c>
      <c r="Z49" s="36" t="s">
        <v>50</v>
      </c>
      <c r="AA49" s="36" t="s">
        <v>87</v>
      </c>
      <c r="AB49" s="36" t="s">
        <v>61</v>
      </c>
      <c r="AC49" s="36"/>
      <c r="AD49" s="36" t="s">
        <v>52</v>
      </c>
      <c r="AE49" s="36"/>
      <c r="AF49" s="36">
        <v>46106</v>
      </c>
      <c r="AG49" s="36">
        <v>46106</v>
      </c>
      <c r="AH49" s="36">
        <v>46107</v>
      </c>
      <c r="AI49" s="36">
        <v>0</v>
      </c>
      <c r="AJ49" s="36">
        <v>155.47999999999999</v>
      </c>
      <c r="AK49" s="36" t="s">
        <v>46</v>
      </c>
      <c r="AL49" s="36">
        <v>932.88</v>
      </c>
      <c r="AM49" s="36" t="s">
        <v>124</v>
      </c>
      <c r="AN49" s="36">
        <v>4211794</v>
      </c>
      <c r="AO49" s="36" t="s">
        <v>446</v>
      </c>
      <c r="AP49" s="37" t="s">
        <v>125</v>
      </c>
      <c r="AQ49" s="38">
        <v>-31</v>
      </c>
      <c r="AR49" s="36" t="s">
        <v>53</v>
      </c>
      <c r="AS49" s="36" t="s">
        <v>54</v>
      </c>
    </row>
    <row r="50" spans="1:49" x14ac:dyDescent="0.35">
      <c r="A50" s="11">
        <v>46114</v>
      </c>
      <c r="B50" s="1" t="s">
        <v>155</v>
      </c>
      <c r="C50" s="1" t="s">
        <v>63</v>
      </c>
      <c r="D50" s="1">
        <v>14079477</v>
      </c>
      <c r="E50" s="1" t="s">
        <v>156</v>
      </c>
      <c r="F50" s="1">
        <v>10</v>
      </c>
      <c r="G50" s="1" t="s">
        <v>43</v>
      </c>
      <c r="H50" s="1" t="s">
        <v>44</v>
      </c>
      <c r="I50" s="1" t="s">
        <v>45</v>
      </c>
      <c r="J50" s="1" t="s">
        <v>45</v>
      </c>
      <c r="K50" s="11">
        <v>45978</v>
      </c>
      <c r="L50" s="1" t="s">
        <v>80</v>
      </c>
      <c r="M50" s="1">
        <v>574.13</v>
      </c>
      <c r="N50" s="1" t="s">
        <v>56</v>
      </c>
      <c r="O50" s="1">
        <v>100</v>
      </c>
      <c r="P50" s="1" t="s">
        <v>43</v>
      </c>
      <c r="Q50" s="1">
        <v>1208</v>
      </c>
      <c r="R50" s="1">
        <v>8</v>
      </c>
      <c r="S50" s="1">
        <v>4500874512</v>
      </c>
      <c r="T50" s="1" t="s">
        <v>98</v>
      </c>
      <c r="U50" s="1" t="s">
        <v>144</v>
      </c>
      <c r="V50" s="1" t="s">
        <v>70</v>
      </c>
      <c r="W50" s="1" t="s">
        <v>84</v>
      </c>
      <c r="X50" s="1" t="s">
        <v>49</v>
      </c>
      <c r="Y50" s="1">
        <v>0</v>
      </c>
      <c r="Z50" s="1" t="s">
        <v>50</v>
      </c>
      <c r="AA50" s="1" t="s">
        <v>87</v>
      </c>
      <c r="AB50" s="1" t="s">
        <v>61</v>
      </c>
      <c r="AC50" s="1"/>
      <c r="AD50" s="1" t="s">
        <v>52</v>
      </c>
      <c r="AE50" s="1"/>
      <c r="AF50" s="1">
        <v>46114</v>
      </c>
      <c r="AG50" s="1">
        <v>46114</v>
      </c>
      <c r="AH50" s="1">
        <v>46115</v>
      </c>
      <c r="AI50" s="1">
        <v>0</v>
      </c>
      <c r="AJ50" s="1">
        <v>23.33</v>
      </c>
      <c r="AK50" s="1" t="s">
        <v>46</v>
      </c>
      <c r="AL50" s="1">
        <v>233.3</v>
      </c>
      <c r="AM50" s="1" t="s">
        <v>157</v>
      </c>
      <c r="AN50" s="1">
        <v>4214639</v>
      </c>
      <c r="AO50" s="1"/>
      <c r="AP50" s="12" t="s">
        <v>158</v>
      </c>
      <c r="AQ50" s="13">
        <v>-23</v>
      </c>
      <c r="AR50" s="1" t="s">
        <v>53</v>
      </c>
      <c r="AS50" s="1" t="s">
        <v>54</v>
      </c>
    </row>
    <row r="51" spans="1:49" x14ac:dyDescent="0.35">
      <c r="A51" s="11">
        <v>46120</v>
      </c>
      <c r="B51" s="1" t="s">
        <v>170</v>
      </c>
      <c r="C51" s="1" t="s">
        <v>42</v>
      </c>
      <c r="D51" s="1">
        <v>14082173</v>
      </c>
      <c r="E51" s="1" t="s">
        <v>171</v>
      </c>
      <c r="F51" s="1">
        <v>1</v>
      </c>
      <c r="G51" s="1" t="s">
        <v>43</v>
      </c>
      <c r="H51" s="1" t="s">
        <v>44</v>
      </c>
      <c r="I51" s="1" t="s">
        <v>45</v>
      </c>
      <c r="J51" s="1" t="s">
        <v>45</v>
      </c>
      <c r="K51" s="1"/>
      <c r="L51" s="1"/>
      <c r="M51" s="1"/>
      <c r="N51" s="1"/>
      <c r="O51" s="1"/>
      <c r="P51" s="1"/>
      <c r="Q51" s="1"/>
      <c r="R51" s="1"/>
      <c r="S51" s="1"/>
      <c r="T51" s="1" t="s">
        <v>98</v>
      </c>
      <c r="U51" s="1" t="s">
        <v>134</v>
      </c>
      <c r="V51" s="1" t="s">
        <v>70</v>
      </c>
      <c r="W51" s="1" t="s">
        <v>84</v>
      </c>
      <c r="X51" s="1" t="s">
        <v>49</v>
      </c>
      <c r="Y51" s="1">
        <v>0</v>
      </c>
      <c r="Z51" s="1" t="s">
        <v>50</v>
      </c>
      <c r="AA51" s="1" t="s">
        <v>87</v>
      </c>
      <c r="AB51" s="1" t="s">
        <v>61</v>
      </c>
      <c r="AC51" s="1"/>
      <c r="AD51" s="1" t="s">
        <v>52</v>
      </c>
      <c r="AE51" s="1"/>
      <c r="AF51" s="1">
        <v>46120</v>
      </c>
      <c r="AG51" s="1">
        <v>46120</v>
      </c>
      <c r="AH51" s="1">
        <v>46121</v>
      </c>
      <c r="AI51" s="1">
        <v>29</v>
      </c>
      <c r="AJ51" s="1">
        <v>13.66</v>
      </c>
      <c r="AK51" s="1" t="s">
        <v>46</v>
      </c>
      <c r="AL51" s="1">
        <v>13.66</v>
      </c>
      <c r="AM51" s="1" t="s">
        <v>172</v>
      </c>
      <c r="AN51" s="1">
        <v>4214531</v>
      </c>
      <c r="AO51" s="1"/>
      <c r="AP51" s="12" t="s">
        <v>173</v>
      </c>
      <c r="AQ51" s="13">
        <v>-17</v>
      </c>
      <c r="AR51" s="1" t="s">
        <v>53</v>
      </c>
      <c r="AS51" s="1" t="s">
        <v>54</v>
      </c>
    </row>
    <row r="52" spans="1:49" x14ac:dyDescent="0.35">
      <c r="A52" s="11">
        <v>46127</v>
      </c>
      <c r="B52" s="1" t="s">
        <v>232</v>
      </c>
      <c r="C52" s="1" t="s">
        <v>81</v>
      </c>
      <c r="D52" s="1">
        <v>14079384</v>
      </c>
      <c r="E52" s="1" t="s">
        <v>233</v>
      </c>
      <c r="F52" s="1">
        <v>12</v>
      </c>
      <c r="G52" s="1" t="s">
        <v>43</v>
      </c>
      <c r="H52" s="1" t="s">
        <v>44</v>
      </c>
      <c r="I52" s="1" t="s">
        <v>45</v>
      </c>
      <c r="J52" s="1" t="s">
        <v>45</v>
      </c>
      <c r="K52" s="11">
        <v>46071</v>
      </c>
      <c r="L52" s="1" t="s">
        <v>82</v>
      </c>
      <c r="M52" s="1">
        <v>6.3</v>
      </c>
      <c r="N52" s="1" t="s">
        <v>56</v>
      </c>
      <c r="O52" s="1">
        <v>1</v>
      </c>
      <c r="P52" s="1" t="s">
        <v>43</v>
      </c>
      <c r="Q52" s="1">
        <v>1207</v>
      </c>
      <c r="R52" s="1">
        <v>2</v>
      </c>
      <c r="S52" s="1">
        <v>4500891475</v>
      </c>
      <c r="T52" s="1" t="s">
        <v>98</v>
      </c>
      <c r="U52" s="1" t="s">
        <v>84</v>
      </c>
      <c r="V52" s="1" t="s">
        <v>47</v>
      </c>
      <c r="W52" s="1" t="s">
        <v>84</v>
      </c>
      <c r="X52" s="1" t="s">
        <v>49</v>
      </c>
      <c r="Y52" s="1">
        <v>0</v>
      </c>
      <c r="Z52" s="1" t="s">
        <v>50</v>
      </c>
      <c r="AA52" s="1" t="s">
        <v>96</v>
      </c>
      <c r="AB52" s="1" t="s">
        <v>83</v>
      </c>
      <c r="AC52" s="1"/>
      <c r="AD52" s="1" t="s">
        <v>52</v>
      </c>
      <c r="AE52" s="1"/>
      <c r="AF52" s="1">
        <v>46135</v>
      </c>
      <c r="AG52" s="1">
        <v>46127</v>
      </c>
      <c r="AH52" s="1">
        <v>46164</v>
      </c>
      <c r="AI52" s="1">
        <v>29</v>
      </c>
      <c r="AJ52" s="1">
        <v>13.32</v>
      </c>
      <c r="AK52" s="1" t="s">
        <v>46</v>
      </c>
      <c r="AL52" s="1">
        <v>159.84</v>
      </c>
      <c r="AM52" s="1"/>
      <c r="AN52" s="1"/>
      <c r="AO52" s="1"/>
      <c r="AP52" s="12" t="s">
        <v>234</v>
      </c>
      <c r="AQ52" s="13">
        <v>-10</v>
      </c>
      <c r="AR52" s="1" t="s">
        <v>53</v>
      </c>
      <c r="AS52" s="1" t="s">
        <v>54</v>
      </c>
    </row>
    <row r="53" spans="1:49" x14ac:dyDescent="0.35">
      <c r="A53" s="11">
        <v>46131</v>
      </c>
      <c r="B53" s="1" t="s">
        <v>253</v>
      </c>
      <c r="C53" s="1" t="s">
        <v>42</v>
      </c>
      <c r="D53" s="1">
        <v>14089502</v>
      </c>
      <c r="E53" s="1" t="s">
        <v>254</v>
      </c>
      <c r="F53" s="1">
        <v>1</v>
      </c>
      <c r="G53" s="1" t="s">
        <v>43</v>
      </c>
      <c r="H53" s="1" t="s">
        <v>44</v>
      </c>
      <c r="I53" s="1" t="s">
        <v>45</v>
      </c>
      <c r="J53" s="1" t="s">
        <v>45</v>
      </c>
      <c r="K53" s="11">
        <v>46071</v>
      </c>
      <c r="L53" s="1" t="s">
        <v>82</v>
      </c>
      <c r="M53" s="1">
        <v>7</v>
      </c>
      <c r="N53" s="1" t="s">
        <v>56</v>
      </c>
      <c r="O53" s="1">
        <v>1</v>
      </c>
      <c r="P53" s="1" t="s">
        <v>43</v>
      </c>
      <c r="Q53" s="1">
        <v>1207</v>
      </c>
      <c r="R53" s="1">
        <v>9</v>
      </c>
      <c r="S53" s="1">
        <v>4500891475</v>
      </c>
      <c r="T53" s="1" t="s">
        <v>98</v>
      </c>
      <c r="U53" s="1" t="s">
        <v>86</v>
      </c>
      <c r="V53" s="1" t="s">
        <v>70</v>
      </c>
      <c r="W53" s="1" t="s">
        <v>84</v>
      </c>
      <c r="X53" s="1" t="s">
        <v>49</v>
      </c>
      <c r="Y53" s="1">
        <v>0</v>
      </c>
      <c r="Z53" s="1" t="s">
        <v>50</v>
      </c>
      <c r="AA53" s="1" t="s">
        <v>85</v>
      </c>
      <c r="AB53" s="1" t="s">
        <v>61</v>
      </c>
      <c r="AC53" s="1"/>
      <c r="AD53" s="1" t="s">
        <v>52</v>
      </c>
      <c r="AE53" s="1"/>
      <c r="AF53" s="1">
        <v>46131</v>
      </c>
      <c r="AG53" s="1">
        <v>46131</v>
      </c>
      <c r="AH53" s="1">
        <v>46132</v>
      </c>
      <c r="AI53" s="1">
        <v>0</v>
      </c>
      <c r="AJ53" s="1">
        <v>20.95</v>
      </c>
      <c r="AK53" s="1" t="s">
        <v>46</v>
      </c>
      <c r="AL53" s="1">
        <v>20.95</v>
      </c>
      <c r="AM53" s="1" t="s">
        <v>255</v>
      </c>
      <c r="AN53" s="1">
        <v>4211058</v>
      </c>
      <c r="AO53" s="1"/>
      <c r="AP53" s="12" t="s">
        <v>256</v>
      </c>
      <c r="AQ53" s="13">
        <v>-6</v>
      </c>
      <c r="AR53" s="1" t="s">
        <v>53</v>
      </c>
      <c r="AS53" s="1" t="s">
        <v>54</v>
      </c>
    </row>
    <row r="54" spans="1:49" x14ac:dyDescent="0.35">
      <c r="A54" s="11">
        <v>46132</v>
      </c>
      <c r="B54" s="1" t="s">
        <v>257</v>
      </c>
      <c r="C54" s="1" t="s">
        <v>42</v>
      </c>
      <c r="D54" s="1">
        <v>14082173</v>
      </c>
      <c r="E54" s="1" t="s">
        <v>171</v>
      </c>
      <c r="F54" s="1">
        <v>3</v>
      </c>
      <c r="G54" s="1" t="s">
        <v>43</v>
      </c>
      <c r="H54" s="1" t="s">
        <v>92</v>
      </c>
      <c r="I54" s="1" t="s">
        <v>45</v>
      </c>
      <c r="J54" s="1" t="s">
        <v>45</v>
      </c>
      <c r="K54" s="1"/>
      <c r="L54" s="1"/>
      <c r="M54" s="1"/>
      <c r="N54" s="1"/>
      <c r="O54" s="1"/>
      <c r="P54" s="1"/>
      <c r="Q54" s="1"/>
      <c r="R54" s="1"/>
      <c r="S54" s="1"/>
      <c r="T54" s="1" t="s">
        <v>98</v>
      </c>
      <c r="U54" s="1" t="s">
        <v>226</v>
      </c>
      <c r="V54" s="1" t="s">
        <v>104</v>
      </c>
      <c r="W54" s="1" t="s">
        <v>93</v>
      </c>
      <c r="X54" s="1" t="s">
        <v>59</v>
      </c>
      <c r="Y54" s="1">
        <v>0</v>
      </c>
      <c r="Z54" s="1" t="s">
        <v>50</v>
      </c>
      <c r="AA54" s="1" t="s">
        <v>94</v>
      </c>
      <c r="AB54" s="1" t="s">
        <v>61</v>
      </c>
      <c r="AC54" s="1"/>
      <c r="AD54" s="1" t="s">
        <v>52</v>
      </c>
      <c r="AE54" s="1"/>
      <c r="AF54" s="1">
        <v>46132</v>
      </c>
      <c r="AG54" s="1">
        <v>46132</v>
      </c>
      <c r="AH54" s="1">
        <v>46133</v>
      </c>
      <c r="AI54" s="1">
        <v>29</v>
      </c>
      <c r="AJ54" s="1">
        <v>13.61</v>
      </c>
      <c r="AK54" s="1" t="s">
        <v>46</v>
      </c>
      <c r="AL54" s="1">
        <v>40.83</v>
      </c>
      <c r="AM54" s="1" t="s">
        <v>258</v>
      </c>
      <c r="AN54" s="1">
        <v>2021885</v>
      </c>
      <c r="AO54" s="1"/>
      <c r="AP54" s="12" t="s">
        <v>259</v>
      </c>
      <c r="AQ54" s="13">
        <v>-5</v>
      </c>
      <c r="AR54" s="1" t="s">
        <v>53</v>
      </c>
      <c r="AS54" s="1" t="s">
        <v>54</v>
      </c>
    </row>
    <row r="55" spans="1:49" x14ac:dyDescent="0.35">
      <c r="A55" s="11">
        <v>46135</v>
      </c>
      <c r="B55" s="1" t="s">
        <v>351</v>
      </c>
      <c r="C55" s="1" t="s">
        <v>42</v>
      </c>
      <c r="D55" s="1">
        <v>14086338</v>
      </c>
      <c r="E55" s="1" t="s">
        <v>352</v>
      </c>
      <c r="F55" s="1">
        <v>2</v>
      </c>
      <c r="G55" s="1" t="s">
        <v>43</v>
      </c>
      <c r="H55" s="1" t="s">
        <v>44</v>
      </c>
      <c r="I55" s="1" t="s">
        <v>45</v>
      </c>
      <c r="J55" s="1" t="s">
        <v>45</v>
      </c>
      <c r="K55" s="11">
        <v>46118</v>
      </c>
      <c r="L55" s="1" t="s">
        <v>80</v>
      </c>
      <c r="M55" s="1">
        <v>19.41</v>
      </c>
      <c r="N55" s="1" t="s">
        <v>56</v>
      </c>
      <c r="O55" s="1">
        <v>1</v>
      </c>
      <c r="P55" s="1" t="s">
        <v>43</v>
      </c>
      <c r="Q55" s="1">
        <v>1207</v>
      </c>
      <c r="R55" s="1">
        <v>2</v>
      </c>
      <c r="S55" s="1">
        <v>4500898953</v>
      </c>
      <c r="T55" s="1" t="s">
        <v>98</v>
      </c>
      <c r="U55" s="1" t="s">
        <v>144</v>
      </c>
      <c r="V55" s="1" t="s">
        <v>70</v>
      </c>
      <c r="W55" s="1" t="s">
        <v>84</v>
      </c>
      <c r="X55" s="1" t="s">
        <v>49</v>
      </c>
      <c r="Y55" s="1">
        <v>0</v>
      </c>
      <c r="Z55" s="1" t="s">
        <v>50</v>
      </c>
      <c r="AA55" s="1" t="s">
        <v>87</v>
      </c>
      <c r="AB55" s="1" t="s">
        <v>61</v>
      </c>
      <c r="AC55" s="1"/>
      <c r="AD55" s="1" t="s">
        <v>52</v>
      </c>
      <c r="AE55" s="1"/>
      <c r="AF55" s="1">
        <v>46135</v>
      </c>
      <c r="AG55" s="1">
        <v>46135</v>
      </c>
      <c r="AH55" s="1">
        <v>46136</v>
      </c>
      <c r="AI55" s="1">
        <v>0</v>
      </c>
      <c r="AJ55" s="1">
        <v>69.86</v>
      </c>
      <c r="AK55" s="1" t="s">
        <v>46</v>
      </c>
      <c r="AL55" s="1">
        <v>139.72</v>
      </c>
      <c r="AM55" s="1" t="s">
        <v>353</v>
      </c>
      <c r="AN55" s="1">
        <v>4214645</v>
      </c>
      <c r="AO55" s="1"/>
      <c r="AP55" s="12" t="s">
        <v>354</v>
      </c>
      <c r="AQ55" s="13">
        <v>-2</v>
      </c>
      <c r="AR55" s="1" t="s">
        <v>53</v>
      </c>
      <c r="AS55" s="1" t="s">
        <v>54</v>
      </c>
    </row>
    <row r="56" spans="1:49" x14ac:dyDescent="0.35">
      <c r="A56" s="11">
        <v>46137</v>
      </c>
      <c r="B56" s="1" t="s">
        <v>416</v>
      </c>
      <c r="C56" s="1" t="s">
        <v>42</v>
      </c>
      <c r="D56" s="1">
        <v>14079477</v>
      </c>
      <c r="E56" s="1" t="s">
        <v>156</v>
      </c>
      <c r="F56" s="1">
        <v>2</v>
      </c>
      <c r="G56" s="1" t="s">
        <v>43</v>
      </c>
      <c r="H56" s="1" t="s">
        <v>92</v>
      </c>
      <c r="I56" s="1" t="s">
        <v>45</v>
      </c>
      <c r="J56" s="1" t="s">
        <v>45</v>
      </c>
      <c r="K56" s="11">
        <v>45978</v>
      </c>
      <c r="L56" s="1" t="s">
        <v>80</v>
      </c>
      <c r="M56" s="1">
        <v>574.13</v>
      </c>
      <c r="N56" s="1" t="s">
        <v>56</v>
      </c>
      <c r="O56" s="1">
        <v>100</v>
      </c>
      <c r="P56" s="1" t="s">
        <v>43</v>
      </c>
      <c r="Q56" s="1">
        <v>1208</v>
      </c>
      <c r="R56" s="1">
        <v>8</v>
      </c>
      <c r="S56" s="1">
        <v>4500874512</v>
      </c>
      <c r="T56" s="1" t="s">
        <v>98</v>
      </c>
      <c r="U56" s="1" t="s">
        <v>69</v>
      </c>
      <c r="V56" s="1" t="s">
        <v>70</v>
      </c>
      <c r="W56" s="1" t="s">
        <v>93</v>
      </c>
      <c r="X56" s="1" t="s">
        <v>59</v>
      </c>
      <c r="Y56" s="1">
        <v>0</v>
      </c>
      <c r="Z56" s="1" t="s">
        <v>50</v>
      </c>
      <c r="AA56" s="1" t="s">
        <v>94</v>
      </c>
      <c r="AB56" s="1" t="s">
        <v>61</v>
      </c>
      <c r="AC56" s="1"/>
      <c r="AD56" s="1" t="s">
        <v>52</v>
      </c>
      <c r="AE56" s="1"/>
      <c r="AF56" s="1">
        <v>46137</v>
      </c>
      <c r="AG56" s="1">
        <v>46137</v>
      </c>
      <c r="AH56" s="1">
        <v>46138</v>
      </c>
      <c r="AI56" s="1">
        <v>0</v>
      </c>
      <c r="AJ56" s="1">
        <v>17.79</v>
      </c>
      <c r="AK56" s="1" t="s">
        <v>46</v>
      </c>
      <c r="AL56" s="1">
        <v>35.58</v>
      </c>
      <c r="AM56" s="1" t="s">
        <v>417</v>
      </c>
      <c r="AN56" s="1">
        <v>4216025</v>
      </c>
      <c r="AO56" s="1"/>
      <c r="AP56" s="12" t="s">
        <v>418</v>
      </c>
      <c r="AQ56" s="13">
        <v>0</v>
      </c>
      <c r="AR56" s="1" t="s">
        <v>62</v>
      </c>
      <c r="AS56" s="1" t="s">
        <v>54</v>
      </c>
    </row>
    <row r="57" spans="1:49" x14ac:dyDescent="0.35">
      <c r="A57" s="11">
        <v>46137</v>
      </c>
      <c r="B57" s="1" t="s">
        <v>419</v>
      </c>
      <c r="C57" s="1" t="s">
        <v>42</v>
      </c>
      <c r="D57" s="1">
        <v>14092511</v>
      </c>
      <c r="E57" s="1" t="s">
        <v>352</v>
      </c>
      <c r="F57" s="1">
        <v>1</v>
      </c>
      <c r="G57" s="1" t="s">
        <v>43</v>
      </c>
      <c r="H57" s="1" t="s">
        <v>44</v>
      </c>
      <c r="I57" s="1" t="s">
        <v>45</v>
      </c>
      <c r="J57" s="1" t="s">
        <v>45</v>
      </c>
      <c r="K57" s="1"/>
      <c r="L57" s="1"/>
      <c r="M57" s="1"/>
      <c r="N57" s="1"/>
      <c r="O57" s="1"/>
      <c r="P57" s="1"/>
      <c r="Q57" s="1"/>
      <c r="R57" s="1"/>
      <c r="S57" s="1"/>
      <c r="T57" s="1" t="s">
        <v>98</v>
      </c>
      <c r="U57" s="1" t="s">
        <v>144</v>
      </c>
      <c r="V57" s="1" t="s">
        <v>70</v>
      </c>
      <c r="W57" s="1" t="s">
        <v>84</v>
      </c>
      <c r="X57" s="1" t="s">
        <v>49</v>
      </c>
      <c r="Y57" s="1">
        <v>0</v>
      </c>
      <c r="Z57" s="1" t="s">
        <v>50</v>
      </c>
      <c r="AA57" s="1" t="s">
        <v>87</v>
      </c>
      <c r="AB57" s="1" t="s">
        <v>61</v>
      </c>
      <c r="AC57" s="1"/>
      <c r="AD57" s="1" t="s">
        <v>52</v>
      </c>
      <c r="AE57" s="1"/>
      <c r="AF57" s="1">
        <v>46137</v>
      </c>
      <c r="AG57" s="1">
        <v>46137</v>
      </c>
      <c r="AH57" s="1">
        <v>46138</v>
      </c>
      <c r="AI57" s="1">
        <v>0</v>
      </c>
      <c r="AJ57" s="1">
        <v>91.93</v>
      </c>
      <c r="AK57" s="1" t="s">
        <v>46</v>
      </c>
      <c r="AL57" s="1">
        <v>91.93</v>
      </c>
      <c r="AM57" s="1" t="s">
        <v>420</v>
      </c>
      <c r="AN57" s="1">
        <v>4214734</v>
      </c>
      <c r="AO57" s="1"/>
      <c r="AP57" s="12" t="s">
        <v>421</v>
      </c>
      <c r="AQ57" s="13">
        <v>0</v>
      </c>
      <c r="AR57" s="1" t="s">
        <v>62</v>
      </c>
      <c r="AS57" s="1" t="s">
        <v>54</v>
      </c>
    </row>
    <row r="58" spans="1:49" x14ac:dyDescent="0.35">
      <c r="A58" s="11">
        <v>46140</v>
      </c>
      <c r="B58" s="1" t="s">
        <v>464</v>
      </c>
      <c r="C58" s="1" t="s">
        <v>81</v>
      </c>
      <c r="D58" s="1">
        <v>14076051</v>
      </c>
      <c r="E58" s="1" t="s">
        <v>465</v>
      </c>
      <c r="F58" s="1">
        <v>12</v>
      </c>
      <c r="G58" s="1" t="s">
        <v>43</v>
      </c>
      <c r="H58" s="1" t="s">
        <v>44</v>
      </c>
      <c r="I58" s="1" t="s">
        <v>45</v>
      </c>
      <c r="J58" s="1" t="s">
        <v>45</v>
      </c>
      <c r="K58" s="11">
        <v>46058</v>
      </c>
      <c r="L58" s="1" t="s">
        <v>80</v>
      </c>
      <c r="M58" s="1">
        <v>1</v>
      </c>
      <c r="N58" s="1" t="s">
        <v>56</v>
      </c>
      <c r="O58" s="1">
        <v>1</v>
      </c>
      <c r="P58" s="1" t="s">
        <v>43</v>
      </c>
      <c r="Q58" s="1">
        <v>1207</v>
      </c>
      <c r="R58" s="1">
        <v>12</v>
      </c>
      <c r="S58" s="1">
        <v>4500889644</v>
      </c>
      <c r="T58" s="1" t="s">
        <v>98</v>
      </c>
      <c r="U58" s="1" t="s">
        <v>84</v>
      </c>
      <c r="V58" s="1" t="s">
        <v>47</v>
      </c>
      <c r="W58" s="1" t="s">
        <v>84</v>
      </c>
      <c r="X58" s="1" t="s">
        <v>49</v>
      </c>
      <c r="Y58" s="1">
        <v>0</v>
      </c>
      <c r="Z58" s="1" t="s">
        <v>50</v>
      </c>
      <c r="AA58" s="1" t="s">
        <v>96</v>
      </c>
      <c r="AB58" s="1" t="s">
        <v>83</v>
      </c>
      <c r="AC58" s="1"/>
      <c r="AD58" s="1" t="s">
        <v>52</v>
      </c>
      <c r="AE58" s="1"/>
      <c r="AF58" s="1">
        <v>46140</v>
      </c>
      <c r="AG58" s="1">
        <v>46140</v>
      </c>
      <c r="AH58" s="1">
        <v>46169</v>
      </c>
      <c r="AI58" s="1">
        <v>29</v>
      </c>
      <c r="AJ58" s="1">
        <v>3.62</v>
      </c>
      <c r="AK58" s="1" t="s">
        <v>46</v>
      </c>
      <c r="AL58" s="1">
        <v>43.44</v>
      </c>
      <c r="AM58" s="1"/>
      <c r="AN58" s="1"/>
      <c r="AO58" s="1"/>
      <c r="AP58" s="12" t="s">
        <v>466</v>
      </c>
      <c r="AQ58" s="13">
        <v>3</v>
      </c>
      <c r="AR58" s="1" t="s">
        <v>62</v>
      </c>
      <c r="AS58" s="1" t="s">
        <v>54</v>
      </c>
    </row>
    <row r="59" spans="1:49" x14ac:dyDescent="0.35">
      <c r="A59" s="11">
        <v>46083</v>
      </c>
      <c r="B59" s="1" t="s">
        <v>99</v>
      </c>
      <c r="C59" s="1" t="s">
        <v>63</v>
      </c>
      <c r="D59" s="1">
        <v>14055145</v>
      </c>
      <c r="E59" s="1" t="s">
        <v>100</v>
      </c>
      <c r="F59" s="1">
        <v>200</v>
      </c>
      <c r="G59" s="1" t="s">
        <v>43</v>
      </c>
      <c r="H59" s="1" t="s">
        <v>75</v>
      </c>
      <c r="I59" s="1" t="s">
        <v>45</v>
      </c>
      <c r="J59" s="1" t="s">
        <v>45</v>
      </c>
      <c r="K59" s="11">
        <v>45877</v>
      </c>
      <c r="L59" s="1" t="s">
        <v>101</v>
      </c>
      <c r="M59" s="1">
        <v>30.69</v>
      </c>
      <c r="N59" s="1" t="s">
        <v>46</v>
      </c>
      <c r="O59" s="1">
        <v>1</v>
      </c>
      <c r="P59" s="1" t="s">
        <v>43</v>
      </c>
      <c r="Q59" s="1">
        <v>1611</v>
      </c>
      <c r="R59" s="1">
        <v>6</v>
      </c>
      <c r="S59" s="1">
        <v>4500857445</v>
      </c>
      <c r="T59" s="1" t="s">
        <v>102</v>
      </c>
      <c r="U59" s="1"/>
      <c r="V59" s="1" t="s">
        <v>47</v>
      </c>
      <c r="W59" s="1" t="s">
        <v>48</v>
      </c>
      <c r="X59" s="1" t="s">
        <v>103</v>
      </c>
      <c r="Y59" s="1">
        <v>0</v>
      </c>
      <c r="Z59" s="1" t="s">
        <v>194</v>
      </c>
      <c r="AA59" s="1"/>
      <c r="AB59" s="1" t="s">
        <v>51</v>
      </c>
      <c r="AC59" s="1"/>
      <c r="AD59" s="1" t="s">
        <v>52</v>
      </c>
      <c r="AE59" s="1"/>
      <c r="AF59" s="1">
        <v>46083</v>
      </c>
      <c r="AG59" s="1">
        <v>46083</v>
      </c>
      <c r="AH59" s="1">
        <v>46083</v>
      </c>
      <c r="AI59" s="1">
        <v>0</v>
      </c>
      <c r="AJ59" s="1">
        <v>20.440000000000001</v>
      </c>
      <c r="AK59" s="1" t="s">
        <v>46</v>
      </c>
      <c r="AL59" s="1">
        <v>4088</v>
      </c>
      <c r="AM59" s="1"/>
      <c r="AN59" s="1"/>
      <c r="AO59" s="1"/>
      <c r="AP59" s="12" t="s">
        <v>118</v>
      </c>
      <c r="AQ59" s="13">
        <v>-54</v>
      </c>
      <c r="AR59" s="1" t="s">
        <v>53</v>
      </c>
      <c r="AS59" s="1" t="s">
        <v>54</v>
      </c>
    </row>
    <row r="60" spans="1:49" x14ac:dyDescent="0.35">
      <c r="A60" s="11">
        <v>46118</v>
      </c>
      <c r="B60" s="1" t="s">
        <v>159</v>
      </c>
      <c r="C60" s="1" t="s">
        <v>64</v>
      </c>
      <c r="D60" s="1">
        <v>14043011</v>
      </c>
      <c r="E60" s="1" t="s">
        <v>160</v>
      </c>
      <c r="F60" s="1">
        <v>100</v>
      </c>
      <c r="G60" s="1" t="s">
        <v>43</v>
      </c>
      <c r="H60" s="1" t="s">
        <v>75</v>
      </c>
      <c r="I60" s="1" t="s">
        <v>45</v>
      </c>
      <c r="J60" s="1" t="s">
        <v>45</v>
      </c>
      <c r="K60" s="1"/>
      <c r="L60" s="1"/>
      <c r="M60" s="1"/>
      <c r="N60" s="1"/>
      <c r="O60" s="1"/>
      <c r="P60" s="1"/>
      <c r="Q60" s="1"/>
      <c r="R60" s="1"/>
      <c r="S60" s="1"/>
      <c r="T60" s="1" t="s">
        <v>102</v>
      </c>
      <c r="U60" s="1" t="s">
        <v>161</v>
      </c>
      <c r="V60" s="1" t="s">
        <v>162</v>
      </c>
      <c r="W60" s="1" t="s">
        <v>97</v>
      </c>
      <c r="X60" s="1" t="s">
        <v>103</v>
      </c>
      <c r="Y60" s="1">
        <v>0</v>
      </c>
      <c r="Z60" s="1" t="s">
        <v>194</v>
      </c>
      <c r="AA60" s="1" t="s">
        <v>78</v>
      </c>
      <c r="AB60" s="1" t="s">
        <v>51</v>
      </c>
      <c r="AC60" s="1"/>
      <c r="AD60" s="1" t="s">
        <v>52</v>
      </c>
      <c r="AE60" s="1"/>
      <c r="AF60" s="1">
        <v>46118</v>
      </c>
      <c r="AG60" s="1">
        <v>46118</v>
      </c>
      <c r="AH60" s="1">
        <v>46118</v>
      </c>
      <c r="AI60" s="1">
        <v>0</v>
      </c>
      <c r="AJ60" s="1">
        <v>7.43</v>
      </c>
      <c r="AK60" s="1" t="s">
        <v>46</v>
      </c>
      <c r="AL60" s="1">
        <v>743</v>
      </c>
      <c r="AM60" s="1"/>
      <c r="AN60" s="1"/>
      <c r="AO60" s="1"/>
      <c r="AP60" s="12" t="s">
        <v>163</v>
      </c>
      <c r="AQ60" s="13">
        <v>-19</v>
      </c>
      <c r="AR60" s="1" t="s">
        <v>53</v>
      </c>
      <c r="AS60" s="1" t="s">
        <v>54</v>
      </c>
    </row>
    <row r="61" spans="1:49" x14ac:dyDescent="0.35">
      <c r="A61" s="11">
        <v>46118</v>
      </c>
      <c r="B61" s="1" t="s">
        <v>159</v>
      </c>
      <c r="C61" s="1" t="s">
        <v>105</v>
      </c>
      <c r="D61" s="1">
        <v>14055145</v>
      </c>
      <c r="E61" s="1" t="s">
        <v>100</v>
      </c>
      <c r="F61" s="1">
        <v>200</v>
      </c>
      <c r="G61" s="1" t="s">
        <v>43</v>
      </c>
      <c r="H61" s="1" t="s">
        <v>75</v>
      </c>
      <c r="I61" s="1" t="s">
        <v>45</v>
      </c>
      <c r="J61" s="1" t="s">
        <v>45</v>
      </c>
      <c r="K61" s="11">
        <v>45877</v>
      </c>
      <c r="L61" s="1" t="s">
        <v>101</v>
      </c>
      <c r="M61" s="1">
        <v>30.69</v>
      </c>
      <c r="N61" s="1" t="s">
        <v>46</v>
      </c>
      <c r="O61" s="1">
        <v>1</v>
      </c>
      <c r="P61" s="1" t="s">
        <v>43</v>
      </c>
      <c r="Q61" s="1">
        <v>1611</v>
      </c>
      <c r="R61" s="1">
        <v>6</v>
      </c>
      <c r="S61" s="1">
        <v>4500857445</v>
      </c>
      <c r="T61" s="1" t="s">
        <v>102</v>
      </c>
      <c r="U61" s="1" t="s">
        <v>161</v>
      </c>
      <c r="V61" s="1" t="s">
        <v>162</v>
      </c>
      <c r="W61" s="1" t="s">
        <v>97</v>
      </c>
      <c r="X61" s="1" t="s">
        <v>103</v>
      </c>
      <c r="Y61" s="1">
        <v>0</v>
      </c>
      <c r="Z61" s="1" t="s">
        <v>194</v>
      </c>
      <c r="AA61" s="1"/>
      <c r="AB61" s="1" t="s">
        <v>51</v>
      </c>
      <c r="AC61" s="1"/>
      <c r="AD61" s="1" t="s">
        <v>52</v>
      </c>
      <c r="AE61" s="1"/>
      <c r="AF61" s="1">
        <v>46118</v>
      </c>
      <c r="AG61" s="1">
        <v>46118</v>
      </c>
      <c r="AH61" s="1">
        <v>46118</v>
      </c>
      <c r="AI61" s="1">
        <v>0</v>
      </c>
      <c r="AJ61" s="1">
        <v>20.440000000000001</v>
      </c>
      <c r="AK61" s="1" t="s">
        <v>46</v>
      </c>
      <c r="AL61" s="1">
        <v>4088</v>
      </c>
      <c r="AM61" s="1"/>
      <c r="AN61" s="1"/>
      <c r="AO61" s="1"/>
      <c r="AP61" s="12" t="s">
        <v>164</v>
      </c>
      <c r="AQ61" s="13">
        <v>-19</v>
      </c>
      <c r="AR61" s="1" t="s">
        <v>53</v>
      </c>
      <c r="AS61" s="1" t="s">
        <v>54</v>
      </c>
    </row>
    <row r="62" spans="1:49" x14ac:dyDescent="0.35">
      <c r="A62" s="11">
        <v>46139</v>
      </c>
      <c r="B62" s="1" t="s">
        <v>467</v>
      </c>
      <c r="C62" s="1" t="s">
        <v>105</v>
      </c>
      <c r="D62" s="1">
        <v>14055145</v>
      </c>
      <c r="E62" s="1" t="s">
        <v>100</v>
      </c>
      <c r="F62" s="1">
        <v>48</v>
      </c>
      <c r="G62" s="1" t="s">
        <v>43</v>
      </c>
      <c r="H62" s="1" t="s">
        <v>55</v>
      </c>
      <c r="I62" s="1" t="s">
        <v>45</v>
      </c>
      <c r="J62" s="1" t="s">
        <v>45</v>
      </c>
      <c r="K62" s="11">
        <v>45877</v>
      </c>
      <c r="L62" s="1" t="s">
        <v>101</v>
      </c>
      <c r="M62" s="1">
        <v>30.69</v>
      </c>
      <c r="N62" s="1" t="s">
        <v>46</v>
      </c>
      <c r="O62" s="1">
        <v>1</v>
      </c>
      <c r="P62" s="1" t="s">
        <v>43</v>
      </c>
      <c r="Q62" s="1">
        <v>1611</v>
      </c>
      <c r="R62" s="1">
        <v>6</v>
      </c>
      <c r="S62" s="1">
        <v>4500857445</v>
      </c>
      <c r="T62" s="1" t="s">
        <v>102</v>
      </c>
      <c r="U62" s="1" t="s">
        <v>468</v>
      </c>
      <c r="V62" s="1" t="s">
        <v>57</v>
      </c>
      <c r="W62" s="1" t="s">
        <v>97</v>
      </c>
      <c r="X62" s="1" t="s">
        <v>103</v>
      </c>
      <c r="Y62" s="1">
        <v>0</v>
      </c>
      <c r="Z62" s="1" t="s">
        <v>50</v>
      </c>
      <c r="AA62" s="1" t="s">
        <v>60</v>
      </c>
      <c r="AB62" s="1" t="s">
        <v>51</v>
      </c>
      <c r="AC62" s="1"/>
      <c r="AD62" s="1" t="s">
        <v>52</v>
      </c>
      <c r="AE62" s="1"/>
      <c r="AF62" s="1">
        <v>46139</v>
      </c>
      <c r="AG62" s="1">
        <v>46139</v>
      </c>
      <c r="AH62" s="1">
        <v>46139</v>
      </c>
      <c r="AI62" s="1">
        <v>0</v>
      </c>
      <c r="AJ62" s="1">
        <v>20.29</v>
      </c>
      <c r="AK62" s="1" t="s">
        <v>46</v>
      </c>
      <c r="AL62" s="1">
        <v>973.92</v>
      </c>
      <c r="AM62" s="1"/>
      <c r="AN62" s="1"/>
      <c r="AO62" s="1"/>
      <c r="AP62" s="12" t="s">
        <v>469</v>
      </c>
      <c r="AQ62" s="13">
        <v>2</v>
      </c>
      <c r="AR62" s="1" t="s">
        <v>62</v>
      </c>
      <c r="AS62" s="1" t="s">
        <v>54</v>
      </c>
    </row>
    <row r="63" spans="1:49" ht="15" customHeight="1" x14ac:dyDescent="0.35">
      <c r="A63" s="39">
        <v>46128</v>
      </c>
      <c r="B63" s="40" t="s">
        <v>242</v>
      </c>
      <c r="C63" s="40" t="s">
        <v>42</v>
      </c>
      <c r="D63" s="40">
        <v>14905383</v>
      </c>
      <c r="E63" s="40" t="s">
        <v>243</v>
      </c>
      <c r="F63" s="40">
        <v>2</v>
      </c>
      <c r="G63" s="40" t="s">
        <v>43</v>
      </c>
      <c r="H63" s="40" t="s">
        <v>65</v>
      </c>
      <c r="I63" s="40" t="s">
        <v>45</v>
      </c>
      <c r="J63" s="40" t="s">
        <v>45</v>
      </c>
      <c r="K63" s="40"/>
      <c r="L63" s="40"/>
      <c r="M63" s="40"/>
      <c r="N63" s="40"/>
      <c r="O63" s="40"/>
      <c r="P63" s="40"/>
      <c r="Q63" s="40"/>
      <c r="R63" s="40"/>
      <c r="S63" s="40"/>
      <c r="T63" s="40" t="s">
        <v>244</v>
      </c>
      <c r="U63" s="40" t="s">
        <v>204</v>
      </c>
      <c r="V63" s="40" t="s">
        <v>133</v>
      </c>
      <c r="W63" s="40" t="s">
        <v>66</v>
      </c>
      <c r="X63" s="40" t="s">
        <v>59</v>
      </c>
      <c r="Y63" s="40">
        <v>0</v>
      </c>
      <c r="Z63" s="40" t="s">
        <v>50</v>
      </c>
      <c r="AA63" s="40" t="s">
        <v>67</v>
      </c>
      <c r="AB63" s="40" t="s">
        <v>61</v>
      </c>
      <c r="AC63" s="40"/>
      <c r="AD63" s="40" t="s">
        <v>52</v>
      </c>
      <c r="AE63" s="40"/>
      <c r="AF63" s="40">
        <v>46128</v>
      </c>
      <c r="AG63" s="40">
        <v>46128</v>
      </c>
      <c r="AH63" s="40">
        <v>46129</v>
      </c>
      <c r="AI63" s="40">
        <v>0</v>
      </c>
      <c r="AJ63" s="40">
        <v>815.06</v>
      </c>
      <c r="AK63" s="40" t="s">
        <v>46</v>
      </c>
      <c r="AL63" s="40">
        <v>1630.12</v>
      </c>
      <c r="AM63" s="40" t="s">
        <v>245</v>
      </c>
      <c r="AN63" s="40">
        <v>4214561</v>
      </c>
      <c r="AO63" s="40"/>
      <c r="AP63" s="41" t="s">
        <v>246</v>
      </c>
      <c r="AQ63" s="42">
        <v>-9</v>
      </c>
      <c r="AR63" s="40" t="s">
        <v>53</v>
      </c>
      <c r="AS63" s="40" t="s">
        <v>54</v>
      </c>
      <c r="AT63" s="63">
        <v>4500903724</v>
      </c>
      <c r="AU63" s="55"/>
      <c r="AV63" s="55"/>
      <c r="AW63" s="55"/>
    </row>
    <row r="64" spans="1:49" x14ac:dyDescent="0.35">
      <c r="A64" s="39">
        <v>46128</v>
      </c>
      <c r="B64" s="40" t="s">
        <v>242</v>
      </c>
      <c r="C64" s="40" t="s">
        <v>63</v>
      </c>
      <c r="D64" s="40">
        <v>14090929</v>
      </c>
      <c r="E64" s="40" t="s">
        <v>247</v>
      </c>
      <c r="F64" s="40">
        <v>4</v>
      </c>
      <c r="G64" s="40" t="s">
        <v>43</v>
      </c>
      <c r="H64" s="40" t="s">
        <v>65</v>
      </c>
      <c r="I64" s="40" t="s">
        <v>45</v>
      </c>
      <c r="J64" s="40" t="s">
        <v>45</v>
      </c>
      <c r="K64" s="39">
        <v>45944</v>
      </c>
      <c r="L64" s="40" t="s">
        <v>248</v>
      </c>
      <c r="M64" s="40">
        <v>23.89</v>
      </c>
      <c r="N64" s="40" t="s">
        <v>46</v>
      </c>
      <c r="O64" s="40">
        <v>1</v>
      </c>
      <c r="P64" s="40" t="s">
        <v>43</v>
      </c>
      <c r="Q64" s="40">
        <v>1601</v>
      </c>
      <c r="R64" s="40">
        <v>70</v>
      </c>
      <c r="S64" s="40">
        <v>4500869024</v>
      </c>
      <c r="T64" s="40" t="s">
        <v>244</v>
      </c>
      <c r="U64" s="40" t="s">
        <v>204</v>
      </c>
      <c r="V64" s="40" t="s">
        <v>133</v>
      </c>
      <c r="W64" s="40" t="s">
        <v>66</v>
      </c>
      <c r="X64" s="40" t="s">
        <v>59</v>
      </c>
      <c r="Y64" s="40">
        <v>0</v>
      </c>
      <c r="Z64" s="40" t="s">
        <v>50</v>
      </c>
      <c r="AA64" s="40" t="s">
        <v>67</v>
      </c>
      <c r="AB64" s="40" t="s">
        <v>61</v>
      </c>
      <c r="AC64" s="40"/>
      <c r="AD64" s="40" t="s">
        <v>52</v>
      </c>
      <c r="AE64" s="40"/>
      <c r="AF64" s="40">
        <v>46128</v>
      </c>
      <c r="AG64" s="40">
        <v>46128</v>
      </c>
      <c r="AH64" s="40">
        <v>46129</v>
      </c>
      <c r="AI64" s="40">
        <v>0</v>
      </c>
      <c r="AJ64" s="40">
        <v>15</v>
      </c>
      <c r="AK64" s="40" t="s">
        <v>46</v>
      </c>
      <c r="AL64" s="40">
        <v>60</v>
      </c>
      <c r="AM64" s="40" t="s">
        <v>249</v>
      </c>
      <c r="AN64" s="40">
        <v>4214561</v>
      </c>
      <c r="AO64" s="40"/>
      <c r="AP64" s="41" t="s">
        <v>250</v>
      </c>
      <c r="AQ64" s="42">
        <v>-9</v>
      </c>
      <c r="AR64" s="40" t="s">
        <v>53</v>
      </c>
      <c r="AS64" s="40" t="s">
        <v>54</v>
      </c>
      <c r="AT64" s="63">
        <v>4500903724</v>
      </c>
      <c r="AU64" s="55"/>
      <c r="AV64" s="55"/>
      <c r="AW64" s="55"/>
    </row>
    <row r="65" spans="1:49" x14ac:dyDescent="0.35">
      <c r="A65" s="11">
        <v>46024</v>
      </c>
      <c r="B65" s="1" t="s">
        <v>189</v>
      </c>
      <c r="C65" s="1" t="s">
        <v>91</v>
      </c>
      <c r="D65" s="1">
        <v>14099959</v>
      </c>
      <c r="E65" s="1" t="s">
        <v>190</v>
      </c>
      <c r="F65" s="1">
        <v>1</v>
      </c>
      <c r="G65" s="1" t="s">
        <v>43</v>
      </c>
      <c r="H65" s="1" t="s">
        <v>75</v>
      </c>
      <c r="I65" s="1" t="s">
        <v>45</v>
      </c>
      <c r="J65" s="1" t="s">
        <v>45</v>
      </c>
      <c r="K65" s="1"/>
      <c r="L65" s="1"/>
      <c r="M65" s="1"/>
      <c r="N65" s="1"/>
      <c r="O65" s="1"/>
      <c r="P65" s="1"/>
      <c r="Q65" s="1"/>
      <c r="R65" s="1"/>
      <c r="S65" s="1"/>
      <c r="T65" s="1" t="s">
        <v>107</v>
      </c>
      <c r="U65" s="1" t="s">
        <v>76</v>
      </c>
      <c r="V65" s="1" t="s">
        <v>57</v>
      </c>
      <c r="W65" s="1" t="s">
        <v>77</v>
      </c>
      <c r="X65" s="1" t="s">
        <v>59</v>
      </c>
      <c r="Y65" s="1">
        <v>0</v>
      </c>
      <c r="Z65" s="1" t="s">
        <v>131</v>
      </c>
      <c r="AA65" s="1" t="s">
        <v>78</v>
      </c>
      <c r="AB65" s="1" t="s">
        <v>61</v>
      </c>
      <c r="AC65" s="1" t="s">
        <v>191</v>
      </c>
      <c r="AD65" s="1" t="s">
        <v>42</v>
      </c>
      <c r="AE65" s="1">
        <v>46028</v>
      </c>
      <c r="AF65" s="1">
        <v>46024</v>
      </c>
      <c r="AG65" s="1">
        <v>46024</v>
      </c>
      <c r="AH65" s="1">
        <v>46025</v>
      </c>
      <c r="AI65" s="1">
        <v>29</v>
      </c>
      <c r="AJ65" s="1">
        <v>32.950000000000003</v>
      </c>
      <c r="AK65" s="1" t="s">
        <v>46</v>
      </c>
      <c r="AL65" s="1">
        <v>32.950000000000003</v>
      </c>
      <c r="AM65" s="1" t="s">
        <v>192</v>
      </c>
      <c r="AN65" s="1">
        <v>2001584</v>
      </c>
      <c r="AO65" s="1"/>
      <c r="AP65" s="12" t="s">
        <v>193</v>
      </c>
      <c r="AQ65" s="13">
        <v>-113</v>
      </c>
      <c r="AR65" s="1" t="s">
        <v>53</v>
      </c>
      <c r="AS65" s="1" t="s">
        <v>54</v>
      </c>
    </row>
    <row r="66" spans="1:49" x14ac:dyDescent="0.35">
      <c r="A66" s="11">
        <v>46099</v>
      </c>
      <c r="B66" s="1" t="s">
        <v>113</v>
      </c>
      <c r="C66" s="1" t="s">
        <v>63</v>
      </c>
      <c r="D66" s="1">
        <v>14101609</v>
      </c>
      <c r="E66" s="1" t="s">
        <v>114</v>
      </c>
      <c r="F66" s="1">
        <v>7</v>
      </c>
      <c r="G66" s="1" t="s">
        <v>43</v>
      </c>
      <c r="H66" s="1" t="s">
        <v>44</v>
      </c>
      <c r="I66" s="1" t="s">
        <v>45</v>
      </c>
      <c r="J66" s="1" t="s">
        <v>45</v>
      </c>
      <c r="K66" s="1"/>
      <c r="L66" s="1"/>
      <c r="M66" s="1"/>
      <c r="N66" s="1"/>
      <c r="O66" s="1"/>
      <c r="P66" s="1"/>
      <c r="Q66" s="1"/>
      <c r="R66" s="1"/>
      <c r="S66" s="1"/>
      <c r="T66" s="1" t="s">
        <v>107</v>
      </c>
      <c r="U66" s="1" t="s">
        <v>69</v>
      </c>
      <c r="V66" s="1" t="s">
        <v>70</v>
      </c>
      <c r="W66" s="1" t="s">
        <v>84</v>
      </c>
      <c r="X66" s="1" t="s">
        <v>49</v>
      </c>
      <c r="Y66" s="1">
        <v>0</v>
      </c>
      <c r="Z66" s="1" t="s">
        <v>50</v>
      </c>
      <c r="AA66" s="1" t="s">
        <v>96</v>
      </c>
      <c r="AB66" s="1" t="s">
        <v>61</v>
      </c>
      <c r="AC66" s="1"/>
      <c r="AD66" s="1" t="s">
        <v>52</v>
      </c>
      <c r="AE66" s="1"/>
      <c r="AF66" s="1">
        <v>46099</v>
      </c>
      <c r="AG66" s="1">
        <v>46099</v>
      </c>
      <c r="AH66" s="1">
        <v>46100</v>
      </c>
      <c r="AI66" s="1">
        <v>0</v>
      </c>
      <c r="AJ66" s="1">
        <v>33.07</v>
      </c>
      <c r="AK66" s="1" t="s">
        <v>46</v>
      </c>
      <c r="AL66" s="1">
        <v>231.49</v>
      </c>
      <c r="AM66" s="1" t="s">
        <v>115</v>
      </c>
      <c r="AN66" s="1">
        <v>4213917</v>
      </c>
      <c r="AO66" s="1"/>
      <c r="AP66" s="12" t="s">
        <v>116</v>
      </c>
      <c r="AQ66" s="13">
        <v>-38</v>
      </c>
      <c r="AR66" s="1" t="s">
        <v>53</v>
      </c>
      <c r="AS66" s="1" t="s">
        <v>54</v>
      </c>
    </row>
    <row r="67" spans="1:49" x14ac:dyDescent="0.35">
      <c r="A67" s="39">
        <v>46139</v>
      </c>
      <c r="B67" s="40" t="s">
        <v>470</v>
      </c>
      <c r="C67" s="40" t="s">
        <v>63</v>
      </c>
      <c r="D67" s="40">
        <v>14015107</v>
      </c>
      <c r="E67" s="40" t="s">
        <v>471</v>
      </c>
      <c r="F67" s="40">
        <v>2</v>
      </c>
      <c r="G67" s="40" t="s">
        <v>43</v>
      </c>
      <c r="H67" s="40" t="s">
        <v>75</v>
      </c>
      <c r="I67" s="40" t="s">
        <v>45</v>
      </c>
      <c r="J67" s="40" t="s">
        <v>45</v>
      </c>
      <c r="K67" s="39">
        <v>46069</v>
      </c>
      <c r="L67" s="40" t="s">
        <v>240</v>
      </c>
      <c r="M67" s="40">
        <v>2.41</v>
      </c>
      <c r="N67" s="40" t="s">
        <v>56</v>
      </c>
      <c r="O67" s="40">
        <v>1</v>
      </c>
      <c r="P67" s="40" t="s">
        <v>43</v>
      </c>
      <c r="Q67" s="40">
        <v>1601</v>
      </c>
      <c r="R67" s="40">
        <v>2</v>
      </c>
      <c r="S67" s="40">
        <v>4500891021</v>
      </c>
      <c r="T67" s="40" t="s">
        <v>107</v>
      </c>
      <c r="U67" s="40" t="s">
        <v>76</v>
      </c>
      <c r="V67" s="40" t="s">
        <v>57</v>
      </c>
      <c r="W67" s="40" t="s">
        <v>77</v>
      </c>
      <c r="X67" s="40" t="s">
        <v>59</v>
      </c>
      <c r="Y67" s="40">
        <v>0</v>
      </c>
      <c r="Z67" s="40" t="s">
        <v>50</v>
      </c>
      <c r="AA67" s="40" t="s">
        <v>78</v>
      </c>
      <c r="AB67" s="40" t="s">
        <v>61</v>
      </c>
      <c r="AC67" s="40"/>
      <c r="AD67" s="40" t="s">
        <v>52</v>
      </c>
      <c r="AE67" s="40"/>
      <c r="AF67" s="40">
        <v>46139</v>
      </c>
      <c r="AG67" s="40">
        <v>46139</v>
      </c>
      <c r="AH67" s="40">
        <v>46139</v>
      </c>
      <c r="AI67" s="40">
        <v>0</v>
      </c>
      <c r="AJ67" s="40">
        <v>8.57</v>
      </c>
      <c r="AK67" s="40" t="s">
        <v>46</v>
      </c>
      <c r="AL67" s="40">
        <v>17.14</v>
      </c>
      <c r="AM67" s="40" t="s">
        <v>472</v>
      </c>
      <c r="AN67" s="40">
        <v>6200000131</v>
      </c>
      <c r="AO67" s="40"/>
      <c r="AP67" s="41" t="s">
        <v>473</v>
      </c>
      <c r="AQ67" s="42">
        <v>2</v>
      </c>
      <c r="AR67" s="40" t="s">
        <v>62</v>
      </c>
      <c r="AS67" s="40" t="s">
        <v>54</v>
      </c>
      <c r="AT67" s="63">
        <v>4500903748</v>
      </c>
      <c r="AU67" s="55"/>
      <c r="AV67" s="55"/>
      <c r="AW67" s="55"/>
    </row>
    <row r="68" spans="1:49" x14ac:dyDescent="0.35">
      <c r="A68" s="39">
        <v>46139</v>
      </c>
      <c r="B68" s="40" t="s">
        <v>474</v>
      </c>
      <c r="C68" s="40" t="s">
        <v>42</v>
      </c>
      <c r="D68" s="40">
        <v>14075085</v>
      </c>
      <c r="E68" s="40" t="s">
        <v>475</v>
      </c>
      <c r="F68" s="40">
        <v>100</v>
      </c>
      <c r="G68" s="40" t="s">
        <v>43</v>
      </c>
      <c r="H68" s="40" t="s">
        <v>55</v>
      </c>
      <c r="I68" s="40" t="s">
        <v>45</v>
      </c>
      <c r="J68" s="40" t="s">
        <v>45</v>
      </c>
      <c r="K68" s="39">
        <v>46133</v>
      </c>
      <c r="L68" s="40" t="s">
        <v>240</v>
      </c>
      <c r="M68" s="40">
        <v>2.35</v>
      </c>
      <c r="N68" s="40" t="s">
        <v>56</v>
      </c>
      <c r="O68" s="40">
        <v>1</v>
      </c>
      <c r="P68" s="40" t="s">
        <v>43</v>
      </c>
      <c r="Q68" s="40">
        <v>1606</v>
      </c>
      <c r="R68" s="40">
        <v>40</v>
      </c>
      <c r="S68" s="40">
        <v>4500902481</v>
      </c>
      <c r="T68" s="40" t="s">
        <v>261</v>
      </c>
      <c r="U68" s="40" t="s">
        <v>468</v>
      </c>
      <c r="V68" s="40" t="s">
        <v>57</v>
      </c>
      <c r="W68" s="40" t="s">
        <v>97</v>
      </c>
      <c r="X68" s="40" t="s">
        <v>293</v>
      </c>
      <c r="Y68" s="40">
        <v>0</v>
      </c>
      <c r="Z68" s="40" t="s">
        <v>50</v>
      </c>
      <c r="AA68" s="40" t="s">
        <v>60</v>
      </c>
      <c r="AB68" s="40" t="s">
        <v>51</v>
      </c>
      <c r="AC68" s="40"/>
      <c r="AD68" s="40" t="s">
        <v>52</v>
      </c>
      <c r="AE68" s="40"/>
      <c r="AF68" s="40">
        <v>46139</v>
      </c>
      <c r="AG68" s="40">
        <v>46139</v>
      </c>
      <c r="AH68" s="40">
        <v>46139</v>
      </c>
      <c r="AI68" s="40">
        <v>0</v>
      </c>
      <c r="AJ68" s="40">
        <v>8.17</v>
      </c>
      <c r="AK68" s="40" t="s">
        <v>46</v>
      </c>
      <c r="AL68" s="40">
        <v>817</v>
      </c>
      <c r="AM68" s="40"/>
      <c r="AN68" s="40"/>
      <c r="AO68" s="40"/>
      <c r="AP68" s="41" t="s">
        <v>476</v>
      </c>
      <c r="AQ68" s="42">
        <v>2</v>
      </c>
      <c r="AR68" s="40" t="s">
        <v>62</v>
      </c>
      <c r="AS68" s="40" t="s">
        <v>54</v>
      </c>
      <c r="AT68" s="63">
        <v>4500903748</v>
      </c>
      <c r="AU68" s="55"/>
      <c r="AV68" s="55"/>
      <c r="AW68" s="55"/>
    </row>
    <row r="69" spans="1:49" x14ac:dyDescent="0.35">
      <c r="A69" s="39">
        <v>46139</v>
      </c>
      <c r="B69" s="40" t="s">
        <v>470</v>
      </c>
      <c r="C69" s="40" t="s">
        <v>42</v>
      </c>
      <c r="D69" s="40">
        <v>14069035</v>
      </c>
      <c r="E69" s="40" t="s">
        <v>422</v>
      </c>
      <c r="F69" s="40">
        <v>2</v>
      </c>
      <c r="G69" s="40" t="s">
        <v>43</v>
      </c>
      <c r="H69" s="40" t="s">
        <v>75</v>
      </c>
      <c r="I69" s="40" t="s">
        <v>45</v>
      </c>
      <c r="J69" s="40" t="s">
        <v>45</v>
      </c>
      <c r="K69" s="39">
        <v>46139</v>
      </c>
      <c r="L69" s="40" t="s">
        <v>240</v>
      </c>
      <c r="M69" s="40">
        <v>18.98</v>
      </c>
      <c r="N69" s="40" t="s">
        <v>56</v>
      </c>
      <c r="O69" s="40">
        <v>1</v>
      </c>
      <c r="P69" s="40" t="s">
        <v>43</v>
      </c>
      <c r="Q69" s="40">
        <v>1601</v>
      </c>
      <c r="R69" s="40">
        <v>3</v>
      </c>
      <c r="S69" s="40">
        <v>4500903467</v>
      </c>
      <c r="T69" s="40" t="s">
        <v>261</v>
      </c>
      <c r="U69" s="40" t="s">
        <v>76</v>
      </c>
      <c r="V69" s="40" t="s">
        <v>57</v>
      </c>
      <c r="W69" s="40" t="s">
        <v>77</v>
      </c>
      <c r="X69" s="40" t="s">
        <v>59</v>
      </c>
      <c r="Y69" s="40">
        <v>0</v>
      </c>
      <c r="Z69" s="40" t="s">
        <v>50</v>
      </c>
      <c r="AA69" s="40" t="s">
        <v>78</v>
      </c>
      <c r="AB69" s="40" t="s">
        <v>61</v>
      </c>
      <c r="AC69" s="40"/>
      <c r="AD69" s="40" t="s">
        <v>52</v>
      </c>
      <c r="AE69" s="40"/>
      <c r="AF69" s="40">
        <v>46139</v>
      </c>
      <c r="AG69" s="40">
        <v>46139</v>
      </c>
      <c r="AH69" s="40">
        <v>46140</v>
      </c>
      <c r="AI69" s="40">
        <v>0</v>
      </c>
      <c r="AJ69" s="40">
        <v>69.260000000000005</v>
      </c>
      <c r="AK69" s="40" t="s">
        <v>46</v>
      </c>
      <c r="AL69" s="40">
        <v>138.52000000000001</v>
      </c>
      <c r="AM69" s="40" t="s">
        <v>477</v>
      </c>
      <c r="AN69" s="40">
        <v>6200000131</v>
      </c>
      <c r="AO69" s="40"/>
      <c r="AP69" s="41" t="s">
        <v>478</v>
      </c>
      <c r="AQ69" s="42">
        <v>2</v>
      </c>
      <c r="AR69" s="40" t="s">
        <v>62</v>
      </c>
      <c r="AS69" s="40" t="s">
        <v>54</v>
      </c>
      <c r="AT69" s="63">
        <v>4500903748</v>
      </c>
      <c r="AU69" s="55"/>
      <c r="AV69" s="55"/>
      <c r="AW69" s="55"/>
    </row>
    <row r="70" spans="1:49" x14ac:dyDescent="0.35">
      <c r="A70" s="39">
        <v>46139</v>
      </c>
      <c r="B70" s="40" t="s">
        <v>470</v>
      </c>
      <c r="C70" s="40" t="s">
        <v>64</v>
      </c>
      <c r="D70" s="40">
        <v>14093388</v>
      </c>
      <c r="E70" s="40" t="s">
        <v>479</v>
      </c>
      <c r="F70" s="40">
        <v>4</v>
      </c>
      <c r="G70" s="40" t="s">
        <v>43</v>
      </c>
      <c r="H70" s="40" t="s">
        <v>75</v>
      </c>
      <c r="I70" s="40" t="s">
        <v>45</v>
      </c>
      <c r="J70" s="40" t="s">
        <v>45</v>
      </c>
      <c r="K70" s="39">
        <v>45965</v>
      </c>
      <c r="L70" s="40" t="s">
        <v>240</v>
      </c>
      <c r="M70" s="40">
        <v>2</v>
      </c>
      <c r="N70" s="40" t="s">
        <v>56</v>
      </c>
      <c r="O70" s="40">
        <v>1</v>
      </c>
      <c r="P70" s="40" t="s">
        <v>43</v>
      </c>
      <c r="Q70" s="40">
        <v>1601</v>
      </c>
      <c r="R70" s="40">
        <v>12</v>
      </c>
      <c r="S70" s="40">
        <v>4500872224</v>
      </c>
      <c r="T70" s="40" t="s">
        <v>270</v>
      </c>
      <c r="U70" s="40" t="s">
        <v>76</v>
      </c>
      <c r="V70" s="40" t="s">
        <v>57</v>
      </c>
      <c r="W70" s="40" t="s">
        <v>77</v>
      </c>
      <c r="X70" s="40" t="s">
        <v>59</v>
      </c>
      <c r="Y70" s="40">
        <v>0</v>
      </c>
      <c r="Z70" s="40" t="s">
        <v>50</v>
      </c>
      <c r="AA70" s="40" t="s">
        <v>78</v>
      </c>
      <c r="AB70" s="40" t="s">
        <v>61</v>
      </c>
      <c r="AC70" s="40"/>
      <c r="AD70" s="40" t="s">
        <v>52</v>
      </c>
      <c r="AE70" s="40"/>
      <c r="AF70" s="40">
        <v>46139</v>
      </c>
      <c r="AG70" s="40">
        <v>46139</v>
      </c>
      <c r="AH70" s="40">
        <v>46140</v>
      </c>
      <c r="AI70" s="40">
        <v>0</v>
      </c>
      <c r="AJ70" s="40">
        <v>8.81</v>
      </c>
      <c r="AK70" s="40" t="s">
        <v>46</v>
      </c>
      <c r="AL70" s="40">
        <v>35.24</v>
      </c>
      <c r="AM70" s="40" t="s">
        <v>480</v>
      </c>
      <c r="AN70" s="40">
        <v>6200000131</v>
      </c>
      <c r="AO70" s="40"/>
      <c r="AP70" s="41" t="s">
        <v>481</v>
      </c>
      <c r="AQ70" s="42">
        <v>2</v>
      </c>
      <c r="AR70" s="40" t="s">
        <v>62</v>
      </c>
      <c r="AS70" s="40" t="s">
        <v>54</v>
      </c>
      <c r="AT70" s="63">
        <v>4500903748</v>
      </c>
      <c r="AU70" s="55"/>
      <c r="AV70" s="55"/>
      <c r="AW70" s="55"/>
    </row>
    <row r="71" spans="1:49" x14ac:dyDescent="0.35">
      <c r="A71" s="11">
        <v>45904</v>
      </c>
      <c r="B71" s="1" t="s">
        <v>356</v>
      </c>
      <c r="C71" s="1" t="s">
        <v>64</v>
      </c>
      <c r="D71" s="1">
        <v>14076908</v>
      </c>
      <c r="E71" s="1" t="s">
        <v>357</v>
      </c>
      <c r="F71" s="1">
        <v>50</v>
      </c>
      <c r="G71" s="1" t="s">
        <v>43</v>
      </c>
      <c r="H71" s="1" t="s">
        <v>92</v>
      </c>
      <c r="I71" s="1" t="s">
        <v>45</v>
      </c>
      <c r="J71" s="1" t="s">
        <v>45</v>
      </c>
      <c r="K71" s="1"/>
      <c r="L71" s="1"/>
      <c r="M71" s="1"/>
      <c r="N71" s="1"/>
      <c r="O71" s="1"/>
      <c r="P71" s="1"/>
      <c r="Q71" s="1"/>
      <c r="R71" s="1"/>
      <c r="S71" s="1"/>
      <c r="T71" s="1" t="s">
        <v>68</v>
      </c>
      <c r="U71" s="1" t="s">
        <v>355</v>
      </c>
      <c r="V71" s="1" t="s">
        <v>104</v>
      </c>
      <c r="W71" s="1" t="s">
        <v>93</v>
      </c>
      <c r="X71" s="1" t="s">
        <v>59</v>
      </c>
      <c r="Y71" s="1">
        <v>0</v>
      </c>
      <c r="Z71" s="1" t="s">
        <v>131</v>
      </c>
      <c r="AA71" s="1" t="s">
        <v>94</v>
      </c>
      <c r="AB71" s="1" t="s">
        <v>61</v>
      </c>
      <c r="AC71" s="1" t="s">
        <v>358</v>
      </c>
      <c r="AD71" s="1" t="s">
        <v>42</v>
      </c>
      <c r="AE71" s="1">
        <v>45910</v>
      </c>
      <c r="AF71" s="1">
        <v>45904</v>
      </c>
      <c r="AG71" s="1">
        <v>45910</v>
      </c>
      <c r="AH71" s="1">
        <v>45934</v>
      </c>
      <c r="AI71" s="1">
        <v>29</v>
      </c>
      <c r="AJ71" s="1">
        <v>32.72</v>
      </c>
      <c r="AK71" s="1" t="s">
        <v>46</v>
      </c>
      <c r="AL71" s="1">
        <v>1636</v>
      </c>
      <c r="AM71" s="1" t="s">
        <v>359</v>
      </c>
      <c r="AN71" s="1">
        <v>4204477</v>
      </c>
      <c r="AO71" s="1"/>
      <c r="AP71" s="12" t="s">
        <v>360</v>
      </c>
      <c r="AQ71" s="13">
        <v>-233</v>
      </c>
      <c r="AR71" s="1" t="s">
        <v>53</v>
      </c>
      <c r="AS71" s="1" t="s">
        <v>54</v>
      </c>
    </row>
    <row r="72" spans="1:49" x14ac:dyDescent="0.35">
      <c r="A72" s="39">
        <v>46059</v>
      </c>
      <c r="B72" s="40" t="s">
        <v>363</v>
      </c>
      <c r="C72" s="40" t="s">
        <v>79</v>
      </c>
      <c r="D72" s="40">
        <v>14092263</v>
      </c>
      <c r="E72" s="40" t="s">
        <v>364</v>
      </c>
      <c r="F72" s="40">
        <v>24</v>
      </c>
      <c r="G72" s="40" t="s">
        <v>43</v>
      </c>
      <c r="H72" s="40" t="s">
        <v>44</v>
      </c>
      <c r="I72" s="40" t="s">
        <v>45</v>
      </c>
      <c r="J72" s="40" t="s">
        <v>45</v>
      </c>
      <c r="K72" s="40"/>
      <c r="L72" s="40"/>
      <c r="M72" s="40"/>
      <c r="N72" s="40"/>
      <c r="O72" s="40"/>
      <c r="P72" s="40"/>
      <c r="Q72" s="40"/>
      <c r="R72" s="40"/>
      <c r="S72" s="40"/>
      <c r="T72" s="40" t="s">
        <v>68</v>
      </c>
      <c r="U72" s="40" t="s">
        <v>69</v>
      </c>
      <c r="V72" s="40" t="s">
        <v>57</v>
      </c>
      <c r="W72" s="40" t="s">
        <v>84</v>
      </c>
      <c r="X72" s="40" t="s">
        <v>49</v>
      </c>
      <c r="Y72" s="40">
        <v>0</v>
      </c>
      <c r="Z72" s="40" t="s">
        <v>131</v>
      </c>
      <c r="AA72" s="40" t="s">
        <v>85</v>
      </c>
      <c r="AB72" s="40" t="s">
        <v>61</v>
      </c>
      <c r="AC72" s="40" t="s">
        <v>362</v>
      </c>
      <c r="AD72" s="40" t="s">
        <v>64</v>
      </c>
      <c r="AE72" s="40">
        <v>46062</v>
      </c>
      <c r="AF72" s="40">
        <v>46059</v>
      </c>
      <c r="AG72" s="40">
        <v>46059</v>
      </c>
      <c r="AH72" s="40">
        <v>46060</v>
      </c>
      <c r="AI72" s="40">
        <v>0</v>
      </c>
      <c r="AJ72" s="40">
        <v>7.4</v>
      </c>
      <c r="AK72" s="40" t="s">
        <v>46</v>
      </c>
      <c r="AL72" s="40">
        <v>177.6</v>
      </c>
      <c r="AM72" s="40" t="s">
        <v>365</v>
      </c>
      <c r="AN72" s="40">
        <v>4210745</v>
      </c>
      <c r="AO72" s="40"/>
      <c r="AP72" s="41" t="s">
        <v>366</v>
      </c>
      <c r="AQ72" s="42">
        <v>-78</v>
      </c>
      <c r="AR72" s="40" t="s">
        <v>53</v>
      </c>
      <c r="AS72" s="40" t="s">
        <v>54</v>
      </c>
      <c r="AT72" s="63">
        <v>4500903640</v>
      </c>
      <c r="AU72" s="55"/>
      <c r="AV72" s="55"/>
      <c r="AW72" s="55"/>
    </row>
    <row r="73" spans="1:49" x14ac:dyDescent="0.35">
      <c r="A73" s="39">
        <v>46122</v>
      </c>
      <c r="B73" s="40" t="s">
        <v>195</v>
      </c>
      <c r="C73" s="40" t="s">
        <v>42</v>
      </c>
      <c r="D73" s="40">
        <v>14101338</v>
      </c>
      <c r="E73" s="40" t="s">
        <v>196</v>
      </c>
      <c r="F73" s="40">
        <v>1</v>
      </c>
      <c r="G73" s="40" t="s">
        <v>43</v>
      </c>
      <c r="H73" s="40" t="s">
        <v>92</v>
      </c>
      <c r="I73" s="40" t="s">
        <v>45</v>
      </c>
      <c r="J73" s="40" t="s">
        <v>45</v>
      </c>
      <c r="K73" s="39">
        <v>46029</v>
      </c>
      <c r="L73" s="40" t="s">
        <v>197</v>
      </c>
      <c r="M73" s="40">
        <v>25</v>
      </c>
      <c r="N73" s="40" t="s">
        <v>56</v>
      </c>
      <c r="O73" s="40">
        <v>1</v>
      </c>
      <c r="P73" s="40" t="s">
        <v>43</v>
      </c>
      <c r="Q73" s="40">
        <v>1208</v>
      </c>
      <c r="R73" s="40">
        <v>3</v>
      </c>
      <c r="S73" s="40">
        <v>4500884687</v>
      </c>
      <c r="T73" s="40" t="s">
        <v>68</v>
      </c>
      <c r="U73" s="40" t="s">
        <v>69</v>
      </c>
      <c r="V73" s="40" t="s">
        <v>70</v>
      </c>
      <c r="W73" s="40" t="s">
        <v>93</v>
      </c>
      <c r="X73" s="40" t="s">
        <v>59</v>
      </c>
      <c r="Y73" s="40">
        <v>0</v>
      </c>
      <c r="Z73" s="40" t="s">
        <v>50</v>
      </c>
      <c r="AA73" s="40" t="s">
        <v>94</v>
      </c>
      <c r="AB73" s="40" t="s">
        <v>61</v>
      </c>
      <c r="AC73" s="40"/>
      <c r="AD73" s="40" t="s">
        <v>52</v>
      </c>
      <c r="AE73" s="40"/>
      <c r="AF73" s="40">
        <v>46122</v>
      </c>
      <c r="AG73" s="40">
        <v>46122</v>
      </c>
      <c r="AH73" s="40">
        <v>46123</v>
      </c>
      <c r="AI73" s="40">
        <v>0</v>
      </c>
      <c r="AJ73" s="40">
        <v>111.33</v>
      </c>
      <c r="AK73" s="40" t="s">
        <v>46</v>
      </c>
      <c r="AL73" s="40">
        <v>111.33</v>
      </c>
      <c r="AM73" s="40" t="s">
        <v>198</v>
      </c>
      <c r="AN73" s="40">
        <v>4214966</v>
      </c>
      <c r="AO73" s="40"/>
      <c r="AP73" s="41" t="s">
        <v>199</v>
      </c>
      <c r="AQ73" s="42">
        <v>-15</v>
      </c>
      <c r="AR73" s="40" t="s">
        <v>53</v>
      </c>
      <c r="AS73" s="40" t="s">
        <v>54</v>
      </c>
      <c r="AT73" s="63">
        <v>4500903640</v>
      </c>
      <c r="AU73" s="55"/>
      <c r="AV73" s="55"/>
      <c r="AW73" s="55"/>
    </row>
    <row r="74" spans="1:49" x14ac:dyDescent="0.35">
      <c r="A74" s="39">
        <v>46138</v>
      </c>
      <c r="B74" s="40" t="s">
        <v>423</v>
      </c>
      <c r="C74" s="40" t="s">
        <v>81</v>
      </c>
      <c r="D74" s="40">
        <v>14010011</v>
      </c>
      <c r="E74" s="40" t="s">
        <v>424</v>
      </c>
      <c r="F74" s="40">
        <v>20</v>
      </c>
      <c r="G74" s="40" t="s">
        <v>43</v>
      </c>
      <c r="H74" s="40" t="s">
        <v>44</v>
      </c>
      <c r="I74" s="40">
        <v>6.6</v>
      </c>
      <c r="J74" s="40">
        <v>107912</v>
      </c>
      <c r="K74" s="39">
        <v>45982</v>
      </c>
      <c r="L74" s="40" t="s">
        <v>330</v>
      </c>
      <c r="M74" s="40">
        <v>6.6</v>
      </c>
      <c r="N74" s="40" t="s">
        <v>46</v>
      </c>
      <c r="O74" s="40">
        <v>1</v>
      </c>
      <c r="P74" s="40" t="s">
        <v>43</v>
      </c>
      <c r="Q74" s="40">
        <v>1207</v>
      </c>
      <c r="R74" s="40">
        <v>20</v>
      </c>
      <c r="S74" s="40">
        <v>4500875560</v>
      </c>
      <c r="T74" s="40" t="s">
        <v>68</v>
      </c>
      <c r="U74" s="40" t="s">
        <v>84</v>
      </c>
      <c r="V74" s="40" t="s">
        <v>47</v>
      </c>
      <c r="W74" s="40" t="s">
        <v>84</v>
      </c>
      <c r="X74" s="40" t="s">
        <v>49</v>
      </c>
      <c r="Y74" s="40">
        <v>0</v>
      </c>
      <c r="Z74" s="40" t="s">
        <v>50</v>
      </c>
      <c r="AA74" s="40" t="s">
        <v>96</v>
      </c>
      <c r="AB74" s="40" t="s">
        <v>83</v>
      </c>
      <c r="AC74" s="40"/>
      <c r="AD74" s="40" t="s">
        <v>52</v>
      </c>
      <c r="AE74" s="40"/>
      <c r="AF74" s="40">
        <v>46139</v>
      </c>
      <c r="AG74" s="40">
        <v>46138</v>
      </c>
      <c r="AH74" s="40">
        <v>46168</v>
      </c>
      <c r="AI74" s="40">
        <v>29</v>
      </c>
      <c r="AJ74" s="40">
        <v>7.52</v>
      </c>
      <c r="AK74" s="40" t="s">
        <v>46</v>
      </c>
      <c r="AL74" s="40">
        <v>150.4</v>
      </c>
      <c r="AM74" s="40"/>
      <c r="AN74" s="40"/>
      <c r="AO74" s="40"/>
      <c r="AP74" s="41" t="s">
        <v>425</v>
      </c>
      <c r="AQ74" s="42">
        <v>1</v>
      </c>
      <c r="AR74" s="40" t="s">
        <v>62</v>
      </c>
      <c r="AS74" s="40" t="s">
        <v>54</v>
      </c>
      <c r="AT74" s="63">
        <v>4500903640</v>
      </c>
      <c r="AU74" s="55"/>
      <c r="AV74" s="55"/>
      <c r="AW74" s="55"/>
    </row>
    <row r="75" spans="1:49" x14ac:dyDescent="0.35">
      <c r="A75" s="11">
        <v>46115</v>
      </c>
      <c r="B75" s="1" t="s">
        <v>165</v>
      </c>
      <c r="C75" s="1" t="s">
        <v>81</v>
      </c>
      <c r="D75" s="1">
        <v>14017759</v>
      </c>
      <c r="E75" s="1" t="s">
        <v>166</v>
      </c>
      <c r="F75" s="1">
        <v>900</v>
      </c>
      <c r="G75" s="1" t="s">
        <v>43</v>
      </c>
      <c r="H75" s="1" t="s">
        <v>44</v>
      </c>
      <c r="I75" s="1" t="s">
        <v>45</v>
      </c>
      <c r="J75" s="1" t="s">
        <v>45</v>
      </c>
      <c r="K75" s="11">
        <v>45957</v>
      </c>
      <c r="L75" s="1" t="s">
        <v>167</v>
      </c>
      <c r="M75" s="1">
        <v>70</v>
      </c>
      <c r="N75" s="1" t="s">
        <v>46</v>
      </c>
      <c r="O75" s="1">
        <v>100</v>
      </c>
      <c r="P75" s="1" t="s">
        <v>43</v>
      </c>
      <c r="Q75" s="1">
        <v>1207</v>
      </c>
      <c r="R75" s="1">
        <v>900</v>
      </c>
      <c r="S75" s="1">
        <v>4500870816</v>
      </c>
      <c r="T75" s="1" t="s">
        <v>108</v>
      </c>
      <c r="U75" s="1" t="s">
        <v>84</v>
      </c>
      <c r="V75" s="1" t="s">
        <v>47</v>
      </c>
      <c r="W75" s="1" t="s">
        <v>84</v>
      </c>
      <c r="X75" s="1" t="s">
        <v>49</v>
      </c>
      <c r="Y75" s="1">
        <v>0</v>
      </c>
      <c r="Z75" s="1" t="s">
        <v>194</v>
      </c>
      <c r="AA75" s="1" t="s">
        <v>96</v>
      </c>
      <c r="AB75" s="1" t="s">
        <v>83</v>
      </c>
      <c r="AC75" s="1"/>
      <c r="AD75" s="1" t="s">
        <v>52</v>
      </c>
      <c r="AE75" s="1"/>
      <c r="AF75" s="1">
        <v>46132</v>
      </c>
      <c r="AG75" s="1">
        <v>46115</v>
      </c>
      <c r="AH75" s="1">
        <v>46161</v>
      </c>
      <c r="AI75" s="1">
        <v>29</v>
      </c>
      <c r="AJ75" s="1">
        <v>0.61</v>
      </c>
      <c r="AK75" s="1" t="s">
        <v>46</v>
      </c>
      <c r="AL75" s="1">
        <v>549</v>
      </c>
      <c r="AM75" s="1"/>
      <c r="AN75" s="1"/>
      <c r="AO75" s="1"/>
      <c r="AP75" s="12" t="s">
        <v>168</v>
      </c>
      <c r="AQ75" s="13">
        <v>-22</v>
      </c>
      <c r="AR75" s="1" t="s">
        <v>53</v>
      </c>
      <c r="AS75" s="1" t="s">
        <v>54</v>
      </c>
    </row>
    <row r="76" spans="1:49" x14ac:dyDescent="0.35">
      <c r="A76" s="11">
        <v>46122</v>
      </c>
      <c r="B76" s="1" t="s">
        <v>182</v>
      </c>
      <c r="C76" s="1" t="s">
        <v>81</v>
      </c>
      <c r="D76" s="1">
        <v>14079295</v>
      </c>
      <c r="E76" s="1" t="s">
        <v>183</v>
      </c>
      <c r="F76" s="1">
        <v>400</v>
      </c>
      <c r="G76" s="1" t="s">
        <v>43</v>
      </c>
      <c r="H76" s="1" t="s">
        <v>44</v>
      </c>
      <c r="I76" s="1" t="s">
        <v>45</v>
      </c>
      <c r="J76" s="1" t="s">
        <v>45</v>
      </c>
      <c r="K76" s="11">
        <v>46091</v>
      </c>
      <c r="L76" s="1" t="s">
        <v>80</v>
      </c>
      <c r="M76" s="1">
        <v>5.86</v>
      </c>
      <c r="N76" s="1" t="s">
        <v>56</v>
      </c>
      <c r="O76" s="1">
        <v>300</v>
      </c>
      <c r="P76" s="1" t="s">
        <v>43</v>
      </c>
      <c r="Q76" s="1">
        <v>1207</v>
      </c>
      <c r="R76" s="1">
        <v>300</v>
      </c>
      <c r="S76" s="1">
        <v>4500894964</v>
      </c>
      <c r="T76" s="1" t="s">
        <v>108</v>
      </c>
      <c r="U76" s="1" t="s">
        <v>84</v>
      </c>
      <c r="V76" s="1" t="s">
        <v>47</v>
      </c>
      <c r="W76" s="1" t="s">
        <v>84</v>
      </c>
      <c r="X76" s="1" t="s">
        <v>49</v>
      </c>
      <c r="Y76" s="1">
        <v>0</v>
      </c>
      <c r="Z76" s="1" t="s">
        <v>194</v>
      </c>
      <c r="AA76" s="1" t="s">
        <v>96</v>
      </c>
      <c r="AB76" s="1" t="s">
        <v>83</v>
      </c>
      <c r="AC76" s="1"/>
      <c r="AD76" s="1" t="s">
        <v>52</v>
      </c>
      <c r="AE76" s="1"/>
      <c r="AF76" s="1">
        <v>46127</v>
      </c>
      <c r="AG76" s="1">
        <v>46122</v>
      </c>
      <c r="AH76" s="1">
        <v>46156</v>
      </c>
      <c r="AI76" s="1">
        <v>29</v>
      </c>
      <c r="AJ76" s="1">
        <v>7.0000000000000007E-2</v>
      </c>
      <c r="AK76" s="1" t="s">
        <v>46</v>
      </c>
      <c r="AL76" s="1">
        <v>28</v>
      </c>
      <c r="AM76" s="1"/>
      <c r="AN76" s="1"/>
      <c r="AO76" s="1"/>
      <c r="AP76" s="12" t="s">
        <v>184</v>
      </c>
      <c r="AQ76" s="13">
        <v>-15</v>
      </c>
      <c r="AR76" s="1" t="s">
        <v>53</v>
      </c>
      <c r="AS76" s="1" t="s">
        <v>54</v>
      </c>
    </row>
    <row r="77" spans="1:49" x14ac:dyDescent="0.35">
      <c r="A77" s="11">
        <v>46125</v>
      </c>
      <c r="B77" s="1" t="s">
        <v>205</v>
      </c>
      <c r="C77" s="1" t="s">
        <v>81</v>
      </c>
      <c r="D77" s="1">
        <v>14077711</v>
      </c>
      <c r="E77" s="1" t="s">
        <v>129</v>
      </c>
      <c r="F77" s="1">
        <v>300</v>
      </c>
      <c r="G77" s="1" t="s">
        <v>43</v>
      </c>
      <c r="H77" s="1" t="s">
        <v>44</v>
      </c>
      <c r="I77" s="1" t="s">
        <v>45</v>
      </c>
      <c r="J77" s="1" t="s">
        <v>45</v>
      </c>
      <c r="K77" s="11">
        <v>46084</v>
      </c>
      <c r="L77" s="1" t="s">
        <v>82</v>
      </c>
      <c r="M77" s="1">
        <v>0.73</v>
      </c>
      <c r="N77" s="1" t="s">
        <v>56</v>
      </c>
      <c r="O77" s="1">
        <v>100</v>
      </c>
      <c r="P77" s="1" t="s">
        <v>43</v>
      </c>
      <c r="Q77" s="1">
        <v>1207</v>
      </c>
      <c r="R77" s="1">
        <v>500</v>
      </c>
      <c r="S77" s="1">
        <v>4500893861</v>
      </c>
      <c r="T77" s="1" t="s">
        <v>108</v>
      </c>
      <c r="U77" s="1" t="s">
        <v>84</v>
      </c>
      <c r="V77" s="1" t="s">
        <v>47</v>
      </c>
      <c r="W77" s="1" t="s">
        <v>84</v>
      </c>
      <c r="X77" s="1" t="s">
        <v>49</v>
      </c>
      <c r="Y77" s="1">
        <v>0</v>
      </c>
      <c r="Z77" s="1" t="s">
        <v>194</v>
      </c>
      <c r="AA77" s="1" t="s">
        <v>96</v>
      </c>
      <c r="AB77" s="1" t="s">
        <v>83</v>
      </c>
      <c r="AC77" s="1"/>
      <c r="AD77" s="1" t="s">
        <v>52</v>
      </c>
      <c r="AE77" s="1"/>
      <c r="AF77" s="1">
        <v>46128</v>
      </c>
      <c r="AG77" s="1">
        <v>46125</v>
      </c>
      <c r="AH77" s="1">
        <v>46157</v>
      </c>
      <c r="AI77" s="1">
        <v>29</v>
      </c>
      <c r="AJ77" s="1">
        <v>0.03</v>
      </c>
      <c r="AK77" s="1" t="s">
        <v>46</v>
      </c>
      <c r="AL77" s="1">
        <v>9</v>
      </c>
      <c r="AM77" s="1"/>
      <c r="AN77" s="1"/>
      <c r="AO77" s="1"/>
      <c r="AP77" s="12" t="s">
        <v>206</v>
      </c>
      <c r="AQ77" s="13">
        <v>-12</v>
      </c>
      <c r="AR77" s="1" t="s">
        <v>53</v>
      </c>
      <c r="AS77" s="1" t="s">
        <v>54</v>
      </c>
    </row>
    <row r="78" spans="1:49" x14ac:dyDescent="0.35">
      <c r="A78" s="39">
        <v>46140</v>
      </c>
      <c r="B78" s="40" t="s">
        <v>482</v>
      </c>
      <c r="C78" s="40" t="s">
        <v>81</v>
      </c>
      <c r="D78" s="40">
        <v>14011500</v>
      </c>
      <c r="E78" s="40" t="s">
        <v>483</v>
      </c>
      <c r="F78" s="40">
        <v>5</v>
      </c>
      <c r="G78" s="40" t="s">
        <v>43</v>
      </c>
      <c r="H78" s="40" t="s">
        <v>65</v>
      </c>
      <c r="I78" s="40" t="s">
        <v>45</v>
      </c>
      <c r="J78" s="40" t="s">
        <v>45</v>
      </c>
      <c r="K78" s="40"/>
      <c r="L78" s="40"/>
      <c r="M78" s="40"/>
      <c r="N78" s="40"/>
      <c r="O78" s="40"/>
      <c r="P78" s="40"/>
      <c r="Q78" s="40"/>
      <c r="R78" s="40"/>
      <c r="S78" s="40"/>
      <c r="T78" s="40" t="s">
        <v>136</v>
      </c>
      <c r="U78" s="40" t="s">
        <v>66</v>
      </c>
      <c r="V78" s="40" t="s">
        <v>47</v>
      </c>
      <c r="W78" s="40" t="s">
        <v>66</v>
      </c>
      <c r="X78" s="40" t="s">
        <v>59</v>
      </c>
      <c r="Y78" s="40">
        <v>0</v>
      </c>
      <c r="Z78" s="40" t="s">
        <v>50</v>
      </c>
      <c r="AA78" s="40" t="s">
        <v>67</v>
      </c>
      <c r="AB78" s="40" t="s">
        <v>83</v>
      </c>
      <c r="AC78" s="40"/>
      <c r="AD78" s="40" t="s">
        <v>52</v>
      </c>
      <c r="AE78" s="40"/>
      <c r="AF78" s="40">
        <v>46140</v>
      </c>
      <c r="AG78" s="40">
        <v>46140</v>
      </c>
      <c r="AH78" s="40">
        <v>46169</v>
      </c>
      <c r="AI78" s="40">
        <v>29</v>
      </c>
      <c r="AJ78" s="40">
        <v>39.53</v>
      </c>
      <c r="AK78" s="40" t="s">
        <v>46</v>
      </c>
      <c r="AL78" s="40">
        <v>197.65</v>
      </c>
      <c r="AM78" s="40"/>
      <c r="AN78" s="40"/>
      <c r="AO78" s="40"/>
      <c r="AP78" s="41" t="s">
        <v>484</v>
      </c>
      <c r="AQ78" s="42">
        <v>3</v>
      </c>
      <c r="AR78" s="40" t="s">
        <v>62</v>
      </c>
      <c r="AS78" s="40" t="s">
        <v>54</v>
      </c>
      <c r="AT78" s="63">
        <v>4500903748</v>
      </c>
      <c r="AU78" s="55"/>
      <c r="AV78" s="55"/>
      <c r="AW78" s="55"/>
    </row>
    <row r="79" spans="1:49" ht="16" customHeight="1" x14ac:dyDescent="0.35">
      <c r="A79" s="24"/>
      <c r="B79" s="21"/>
      <c r="C79" s="21"/>
      <c r="D79" s="21"/>
      <c r="E79" s="21"/>
      <c r="F79" s="21"/>
      <c r="G79" s="21"/>
      <c r="H79" s="21"/>
      <c r="I79" s="21"/>
      <c r="J79" s="21"/>
      <c r="K79" s="24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6"/>
      <c r="AQ79" s="27"/>
      <c r="AR79" s="21"/>
      <c r="AS79" s="21"/>
    </row>
    <row r="80" spans="1:49" x14ac:dyDescent="0.35">
      <c r="A80" s="24"/>
      <c r="B80" s="21"/>
      <c r="C80" s="21"/>
      <c r="D80" s="21"/>
      <c r="E80" s="21"/>
      <c r="F80" s="21"/>
      <c r="G80" s="21"/>
      <c r="H80" s="21"/>
      <c r="I80" s="21"/>
      <c r="J80" s="21"/>
      <c r="K80" s="24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6"/>
      <c r="AQ80" s="27"/>
      <c r="AR80" s="21"/>
      <c r="AS80" s="21"/>
    </row>
    <row r="81" spans="1:49" x14ac:dyDescent="0.35">
      <c r="A81" s="24"/>
      <c r="B81" s="21"/>
      <c r="C81" s="21"/>
      <c r="D81" s="21"/>
      <c r="E81" s="21"/>
      <c r="F81" s="21"/>
      <c r="G81" s="21"/>
      <c r="H81" s="21"/>
      <c r="I81" s="21"/>
      <c r="J81" s="21"/>
      <c r="K81" s="24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6"/>
      <c r="AQ81" s="27"/>
      <c r="AR81" s="21"/>
      <c r="AS81" s="21"/>
    </row>
    <row r="82" spans="1:49" x14ac:dyDescent="0.35">
      <c r="A82" s="24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6"/>
      <c r="AQ82" s="27"/>
      <c r="AR82" s="21"/>
      <c r="AS82" s="21"/>
    </row>
    <row r="83" spans="1:49" x14ac:dyDescent="0.35">
      <c r="A83" s="24"/>
      <c r="B83" s="21"/>
      <c r="C83" s="21"/>
      <c r="D83" s="21"/>
      <c r="E83" s="21"/>
      <c r="F83" s="21"/>
      <c r="G83" s="21"/>
      <c r="H83" s="21"/>
      <c r="I83" s="21"/>
      <c r="J83" s="21"/>
      <c r="K83" s="24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6"/>
      <c r="AQ83" s="27"/>
      <c r="AR83" s="21"/>
      <c r="AS83" s="21"/>
    </row>
    <row r="84" spans="1:49" x14ac:dyDescent="0.35">
      <c r="A84" s="24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6"/>
      <c r="AQ84" s="27"/>
      <c r="AR84" s="21"/>
      <c r="AS84" s="21"/>
    </row>
    <row r="85" spans="1:49" x14ac:dyDescent="0.35">
      <c r="A85" s="24"/>
      <c r="B85" s="21"/>
      <c r="C85" s="21"/>
      <c r="D85" s="21"/>
      <c r="E85" s="21"/>
      <c r="F85" s="21"/>
      <c r="G85" s="21"/>
      <c r="H85" s="21"/>
      <c r="I85" s="21"/>
      <c r="J85" s="21"/>
      <c r="K85" s="24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6"/>
      <c r="AQ85" s="27"/>
      <c r="AR85" s="21"/>
      <c r="AS85" s="21"/>
    </row>
    <row r="86" spans="1:49" x14ac:dyDescent="0.35">
      <c r="A86" s="24"/>
      <c r="B86" s="21"/>
      <c r="C86" s="21"/>
      <c r="D86" s="21"/>
      <c r="E86" s="21"/>
      <c r="F86" s="21"/>
      <c r="G86" s="21"/>
      <c r="H86" s="21"/>
      <c r="I86" s="21"/>
      <c r="J86" s="21"/>
      <c r="K86" s="24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6"/>
      <c r="AQ86" s="27"/>
      <c r="AR86" s="21"/>
      <c r="AS86" s="21"/>
    </row>
    <row r="87" spans="1:49" x14ac:dyDescent="0.35">
      <c r="A87" s="24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6"/>
      <c r="AQ87" s="27"/>
      <c r="AR87" s="21"/>
      <c r="AS87" s="21"/>
    </row>
    <row r="88" spans="1:49" x14ac:dyDescent="0.35">
      <c r="A88" s="24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6"/>
      <c r="AQ88" s="27"/>
      <c r="AR88" s="21"/>
      <c r="AS88" s="21"/>
    </row>
    <row r="89" spans="1:49" x14ac:dyDescent="0.35">
      <c r="A89" s="24"/>
      <c r="B89" s="21"/>
      <c r="C89" s="21"/>
      <c r="D89" s="21"/>
      <c r="E89" s="21"/>
      <c r="F89" s="21"/>
      <c r="G89" s="21"/>
      <c r="H89" s="21"/>
      <c r="I89" s="21"/>
      <c r="J89" s="21"/>
      <c r="K89" s="24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6"/>
      <c r="AQ89" s="27"/>
      <c r="AR89" s="21"/>
      <c r="AS89" s="21"/>
    </row>
    <row r="90" spans="1:49" s="23" customFormat="1" x14ac:dyDescent="0.3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4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6"/>
      <c r="AQ90" s="27"/>
      <c r="AR90" s="21"/>
      <c r="AS90" s="21"/>
      <c r="AT90" s="64"/>
      <c r="AU90" s="22"/>
      <c r="AV90" s="22"/>
      <c r="AW90" s="22"/>
    </row>
    <row r="91" spans="1:49" x14ac:dyDescent="0.35">
      <c r="A91" s="24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6"/>
      <c r="AQ91" s="27"/>
      <c r="AR91" s="21"/>
      <c r="AS91" s="21"/>
    </row>
    <row r="92" spans="1:49" s="23" customFormat="1" x14ac:dyDescent="0.35">
      <c r="A92" s="24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6"/>
      <c r="AQ92" s="27"/>
      <c r="AR92" s="21"/>
      <c r="AS92" s="21"/>
      <c r="AT92" s="28"/>
      <c r="AU92" s="22"/>
      <c r="AV92" s="22"/>
      <c r="AW92" s="22"/>
    </row>
    <row r="93" spans="1:49" s="23" customFormat="1" x14ac:dyDescent="0.35">
      <c r="A93" s="24"/>
      <c r="B93" s="21"/>
      <c r="C93" s="21"/>
      <c r="D93" s="21"/>
      <c r="E93" s="21"/>
      <c r="F93" s="21"/>
      <c r="G93" s="21"/>
      <c r="H93" s="21"/>
      <c r="I93" s="21"/>
      <c r="J93" s="21"/>
      <c r="K93" s="24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6"/>
      <c r="AQ93" s="27"/>
      <c r="AR93" s="21"/>
      <c r="AS93" s="21"/>
      <c r="AT93" s="64"/>
      <c r="AU93" s="22"/>
      <c r="AV93" s="22"/>
      <c r="AW93" s="22"/>
    </row>
    <row r="94" spans="1:49" x14ac:dyDescent="0.35">
      <c r="A94" s="24"/>
      <c r="B94" s="21"/>
      <c r="C94" s="21"/>
      <c r="D94" s="21"/>
      <c r="E94" s="21"/>
      <c r="F94" s="21"/>
      <c r="G94" s="21"/>
      <c r="H94" s="21"/>
      <c r="I94" s="21"/>
      <c r="J94" s="21"/>
      <c r="K94" s="24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6"/>
      <c r="AQ94" s="27"/>
      <c r="AR94" s="21"/>
      <c r="AS94" s="21"/>
    </row>
    <row r="95" spans="1:49" x14ac:dyDescent="0.35">
      <c r="A95" s="24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6"/>
      <c r="AQ95" s="27"/>
      <c r="AR95" s="21"/>
      <c r="AS95" s="21"/>
    </row>
    <row r="96" spans="1:49" x14ac:dyDescent="0.35">
      <c r="A96" s="24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6"/>
      <c r="AQ96" s="27"/>
      <c r="AR96" s="21"/>
      <c r="AS96" s="21"/>
      <c r="AT96" s="64"/>
    </row>
    <row r="97" spans="1:49" x14ac:dyDescent="0.35">
      <c r="A97" s="24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6"/>
      <c r="AQ97" s="27"/>
      <c r="AR97" s="21"/>
      <c r="AS97" s="21"/>
    </row>
    <row r="98" spans="1:49" x14ac:dyDescent="0.35">
      <c r="A98" s="24"/>
      <c r="B98" s="21"/>
      <c r="C98" s="21"/>
      <c r="D98" s="21"/>
      <c r="E98" s="21"/>
      <c r="F98" s="21"/>
      <c r="G98" s="21"/>
      <c r="H98" s="21"/>
      <c r="I98" s="21"/>
      <c r="J98" s="21"/>
      <c r="K98" s="24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6"/>
      <c r="AQ98" s="27"/>
      <c r="AR98" s="21"/>
      <c r="AS98" s="21"/>
    </row>
    <row r="99" spans="1:49" x14ac:dyDescent="0.35">
      <c r="A99" s="24"/>
      <c r="B99" s="21"/>
      <c r="C99" s="21"/>
      <c r="D99" s="21"/>
      <c r="E99" s="21"/>
      <c r="F99" s="21"/>
      <c r="G99" s="21"/>
      <c r="H99" s="21"/>
      <c r="I99" s="21"/>
      <c r="J99" s="21"/>
      <c r="K99" s="24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6"/>
      <c r="AQ99" s="27"/>
      <c r="AR99" s="21"/>
      <c r="AS99" s="21"/>
    </row>
    <row r="100" spans="1:49" s="23" customFormat="1" x14ac:dyDescent="0.35">
      <c r="A100" s="24"/>
      <c r="B100" s="21"/>
      <c r="C100" s="21"/>
      <c r="D100" s="21"/>
      <c r="E100" s="21"/>
      <c r="F100" s="21"/>
      <c r="G100" s="21"/>
      <c r="H100" s="21"/>
      <c r="I100" s="21"/>
      <c r="J100" s="21"/>
      <c r="K100" s="24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6"/>
      <c r="AQ100" s="27"/>
      <c r="AR100" s="21"/>
      <c r="AS100" s="21"/>
      <c r="AT100" s="28"/>
      <c r="AU100" s="22"/>
      <c r="AV100" s="22"/>
      <c r="AW100" s="22"/>
    </row>
    <row r="101" spans="1:49" x14ac:dyDescent="0.35">
      <c r="A101" s="24"/>
      <c r="B101" s="21"/>
      <c r="C101" s="21"/>
      <c r="D101" s="21"/>
      <c r="E101" s="21"/>
      <c r="F101" s="21"/>
      <c r="G101" s="21"/>
      <c r="H101" s="21"/>
      <c r="I101" s="21"/>
      <c r="J101" s="21"/>
      <c r="K101" s="24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6"/>
      <c r="AQ101" s="27"/>
      <c r="AR101" s="21"/>
      <c r="AS101" s="21"/>
    </row>
    <row r="102" spans="1:49" x14ac:dyDescent="0.35">
      <c r="A102" s="24"/>
      <c r="B102" s="21"/>
      <c r="C102" s="21"/>
      <c r="D102" s="21"/>
      <c r="E102" s="21"/>
      <c r="F102" s="21"/>
      <c r="G102" s="21"/>
      <c r="H102" s="21"/>
      <c r="I102" s="21"/>
      <c r="J102" s="21"/>
      <c r="K102" s="24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6"/>
      <c r="AQ102" s="27"/>
      <c r="AR102" s="21"/>
      <c r="AS102" s="21"/>
    </row>
    <row r="103" spans="1:49" x14ac:dyDescent="0.35">
      <c r="A103" s="24"/>
      <c r="B103" s="21"/>
      <c r="C103" s="21"/>
      <c r="D103" s="21"/>
      <c r="E103" s="21"/>
      <c r="F103" s="21"/>
      <c r="G103" s="21"/>
      <c r="H103" s="21"/>
      <c r="I103" s="21"/>
      <c r="J103" s="21"/>
      <c r="K103" s="24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6"/>
      <c r="AQ103" s="27"/>
      <c r="AR103" s="21"/>
      <c r="AS103" s="21"/>
    </row>
    <row r="104" spans="1:49" x14ac:dyDescent="0.35">
      <c r="A104" s="24"/>
      <c r="B104" s="21"/>
      <c r="C104" s="21"/>
      <c r="D104" s="21"/>
      <c r="E104" s="21"/>
      <c r="F104" s="21"/>
      <c r="G104" s="21"/>
      <c r="H104" s="21"/>
      <c r="I104" s="21"/>
      <c r="J104" s="21"/>
      <c r="K104" s="24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6"/>
      <c r="AQ104" s="27"/>
      <c r="AR104" s="21"/>
      <c r="AS104" s="21"/>
    </row>
    <row r="105" spans="1:49" x14ac:dyDescent="0.35">
      <c r="A105" s="24"/>
      <c r="B105" s="21"/>
      <c r="C105" s="21"/>
      <c r="D105" s="21"/>
      <c r="E105" s="21"/>
      <c r="F105" s="21"/>
      <c r="G105" s="21"/>
      <c r="H105" s="21"/>
      <c r="I105" s="21"/>
      <c r="J105" s="21"/>
      <c r="K105" s="24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6"/>
      <c r="AQ105" s="27"/>
      <c r="AR105" s="21"/>
      <c r="AS105" s="21"/>
    </row>
    <row r="106" spans="1:49" x14ac:dyDescent="0.35">
      <c r="A106" s="24"/>
      <c r="B106" s="21"/>
      <c r="C106" s="21"/>
      <c r="D106" s="21"/>
      <c r="E106" s="21"/>
      <c r="F106" s="21"/>
      <c r="G106" s="21"/>
      <c r="H106" s="21"/>
      <c r="I106" s="21"/>
      <c r="J106" s="21"/>
      <c r="K106" s="24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6"/>
      <c r="AQ106" s="27"/>
      <c r="AR106" s="21"/>
      <c r="AS106" s="21"/>
    </row>
    <row r="107" spans="1:49" s="23" customFormat="1" x14ac:dyDescent="0.35">
      <c r="A107" s="24"/>
      <c r="B107" s="21"/>
      <c r="C107" s="21"/>
      <c r="D107" s="21"/>
      <c r="E107" s="21"/>
      <c r="F107" s="21"/>
      <c r="G107" s="21"/>
      <c r="H107" s="21"/>
      <c r="I107" s="21"/>
      <c r="J107" s="21"/>
      <c r="K107" s="24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6"/>
      <c r="AQ107" s="27"/>
      <c r="AR107" s="21"/>
      <c r="AS107" s="21"/>
      <c r="AT107" s="64"/>
      <c r="AU107" s="22"/>
      <c r="AV107" s="22"/>
      <c r="AW107" s="22"/>
    </row>
    <row r="108" spans="1:49" s="23" customFormat="1" x14ac:dyDescent="0.35">
      <c r="A108" s="24"/>
      <c r="B108" s="21"/>
      <c r="C108" s="21"/>
      <c r="D108" s="21"/>
      <c r="E108" s="21"/>
      <c r="F108" s="21"/>
      <c r="G108" s="21"/>
      <c r="H108" s="21"/>
      <c r="I108" s="21"/>
      <c r="J108" s="21"/>
      <c r="K108" s="24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6"/>
      <c r="AQ108" s="27"/>
      <c r="AR108" s="21"/>
      <c r="AS108" s="21"/>
      <c r="AT108" s="28"/>
      <c r="AU108" s="22"/>
      <c r="AV108" s="22"/>
      <c r="AW108" s="22"/>
    </row>
    <row r="109" spans="1:49" x14ac:dyDescent="0.35">
      <c r="A109" s="24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6"/>
      <c r="AQ109" s="27"/>
      <c r="AR109" s="21"/>
      <c r="AS109" s="21"/>
    </row>
    <row r="110" spans="1:49" x14ac:dyDescent="0.35">
      <c r="A110" s="24"/>
      <c r="B110" s="21"/>
      <c r="C110" s="21"/>
      <c r="D110" s="21"/>
      <c r="E110" s="21"/>
      <c r="F110" s="21"/>
      <c r="G110" s="21"/>
      <c r="H110" s="21"/>
      <c r="I110" s="21"/>
      <c r="J110" s="21"/>
      <c r="K110" s="24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6"/>
      <c r="AQ110" s="27"/>
      <c r="AR110" s="21"/>
      <c r="AS110" s="21"/>
    </row>
    <row r="111" spans="1:49" x14ac:dyDescent="0.35">
      <c r="A111" s="24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6"/>
      <c r="AQ111" s="27"/>
      <c r="AR111" s="21"/>
      <c r="AS111" s="21"/>
    </row>
    <row r="112" spans="1:49" x14ac:dyDescent="0.35">
      <c r="A112" s="24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6"/>
      <c r="AQ112" s="27"/>
      <c r="AR112" s="21"/>
      <c r="AS112" s="21"/>
    </row>
    <row r="113" spans="1:46" x14ac:dyDescent="0.35">
      <c r="A113" s="24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6"/>
      <c r="AQ113" s="27"/>
      <c r="AR113" s="21"/>
      <c r="AS113" s="21"/>
    </row>
    <row r="114" spans="1:46" x14ac:dyDescent="0.35">
      <c r="A114" s="24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6"/>
      <c r="AQ114" s="27"/>
      <c r="AR114" s="21"/>
      <c r="AS114" s="21"/>
    </row>
    <row r="115" spans="1:46" x14ac:dyDescent="0.35">
      <c r="A115" s="24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6"/>
      <c r="AQ115" s="27"/>
      <c r="AR115" s="21"/>
      <c r="AS115" s="21"/>
    </row>
    <row r="116" spans="1:46" x14ac:dyDescent="0.35">
      <c r="A116" s="24"/>
      <c r="B116" s="21"/>
      <c r="C116" s="21"/>
      <c r="D116" s="21"/>
      <c r="E116" s="21"/>
      <c r="F116" s="21"/>
      <c r="G116" s="21"/>
      <c r="H116" s="21"/>
      <c r="I116" s="21"/>
      <c r="J116" s="21"/>
      <c r="K116" s="24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6"/>
      <c r="AQ116" s="27"/>
      <c r="AR116" s="21"/>
      <c r="AS116" s="21"/>
    </row>
    <row r="117" spans="1:46" x14ac:dyDescent="0.35">
      <c r="A117" s="24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6"/>
      <c r="AQ117" s="27"/>
      <c r="AR117" s="21"/>
      <c r="AS117" s="21"/>
      <c r="AT117" s="64"/>
    </row>
    <row r="118" spans="1:46" x14ac:dyDescent="0.35">
      <c r="A118" s="24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6"/>
      <c r="AQ118" s="27"/>
      <c r="AR118" s="21"/>
      <c r="AS118" s="21"/>
    </row>
    <row r="119" spans="1:46" x14ac:dyDescent="0.35">
      <c r="A119" s="24"/>
      <c r="B119" s="21"/>
      <c r="C119" s="21"/>
      <c r="D119" s="21"/>
      <c r="E119" s="21"/>
      <c r="F119" s="21"/>
      <c r="G119" s="21"/>
      <c r="H119" s="21"/>
      <c r="I119" s="21"/>
      <c r="J119" s="21"/>
      <c r="K119" s="24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6"/>
      <c r="AQ119" s="27"/>
      <c r="AR119" s="21"/>
      <c r="AS119" s="21"/>
    </row>
    <row r="120" spans="1:46" x14ac:dyDescent="0.35">
      <c r="A120" s="24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6"/>
      <c r="AQ120" s="27"/>
      <c r="AR120" s="21"/>
      <c r="AS120" s="21"/>
    </row>
    <row r="121" spans="1:46" x14ac:dyDescent="0.35">
      <c r="A121" s="24"/>
      <c r="B121" s="21"/>
      <c r="C121" s="21"/>
      <c r="D121" s="21"/>
      <c r="E121" s="21"/>
      <c r="F121" s="21"/>
      <c r="G121" s="21"/>
      <c r="H121" s="21"/>
      <c r="I121" s="21"/>
      <c r="J121" s="21"/>
      <c r="K121" s="24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6"/>
      <c r="AQ121" s="27"/>
      <c r="AR121" s="21"/>
      <c r="AS121" s="21"/>
    </row>
    <row r="122" spans="1:46" x14ac:dyDescent="0.35">
      <c r="A122" s="24"/>
      <c r="B122" s="21"/>
      <c r="C122" s="21"/>
      <c r="D122" s="21"/>
      <c r="E122" s="21"/>
      <c r="F122" s="21"/>
      <c r="G122" s="21"/>
      <c r="H122" s="21"/>
      <c r="I122" s="21"/>
      <c r="J122" s="21"/>
      <c r="K122" s="24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6"/>
      <c r="AQ122" s="27"/>
      <c r="AR122" s="21"/>
      <c r="AS122" s="21"/>
    </row>
    <row r="123" spans="1:46" x14ac:dyDescent="0.35">
      <c r="A123" s="24"/>
      <c r="B123" s="21"/>
      <c r="C123" s="21"/>
      <c r="D123" s="21"/>
      <c r="E123" s="21"/>
      <c r="F123" s="21"/>
      <c r="G123" s="21"/>
      <c r="H123" s="21"/>
      <c r="I123" s="21"/>
      <c r="J123" s="21"/>
      <c r="K123" s="24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6"/>
      <c r="AQ123" s="27"/>
      <c r="AR123" s="21"/>
      <c r="AS123" s="21"/>
    </row>
    <row r="124" spans="1:46" ht="15.5" customHeight="1" x14ac:dyDescent="0.35">
      <c r="A124" s="24"/>
      <c r="B124" s="21"/>
      <c r="C124" s="21"/>
      <c r="D124" s="21"/>
      <c r="E124" s="21"/>
      <c r="F124" s="21"/>
      <c r="G124" s="21"/>
      <c r="H124" s="21"/>
      <c r="I124" s="21"/>
      <c r="J124" s="21"/>
      <c r="K124" s="24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6"/>
      <c r="AQ124" s="27"/>
      <c r="AR124" s="21"/>
      <c r="AS124" s="21"/>
    </row>
    <row r="125" spans="1:46" x14ac:dyDescent="0.35">
      <c r="A125" s="24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6"/>
      <c r="AQ125" s="27"/>
      <c r="AR125" s="21"/>
      <c r="AS125" s="21"/>
      <c r="AT125" s="64"/>
    </row>
    <row r="126" spans="1:46" x14ac:dyDescent="0.35">
      <c r="A126" s="24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6"/>
      <c r="AQ126" s="27"/>
      <c r="AR126" s="21"/>
      <c r="AS126" s="21"/>
    </row>
    <row r="127" spans="1:46" x14ac:dyDescent="0.35">
      <c r="A127" s="24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6"/>
      <c r="AQ127" s="27"/>
      <c r="AR127" s="21"/>
      <c r="AS127" s="21"/>
    </row>
    <row r="128" spans="1:46" x14ac:dyDescent="0.35">
      <c r="A128" s="24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6"/>
      <c r="AQ128" s="27"/>
      <c r="AR128" s="21"/>
      <c r="AS128" s="21"/>
    </row>
    <row r="129" spans="1:45" ht="18.5" customHeight="1" x14ac:dyDescent="0.35">
      <c r="A129" s="24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6"/>
      <c r="AQ129" s="27"/>
      <c r="AR129" s="21"/>
      <c r="AS129" s="21"/>
    </row>
    <row r="130" spans="1:45" x14ac:dyDescent="0.35">
      <c r="A130" s="24"/>
      <c r="B130" s="21"/>
      <c r="C130" s="21"/>
      <c r="D130" s="21"/>
      <c r="E130" s="21"/>
      <c r="F130" s="21"/>
      <c r="G130" s="21"/>
      <c r="H130" s="21"/>
      <c r="I130" s="21"/>
      <c r="J130" s="21"/>
      <c r="K130" s="24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6"/>
      <c r="AQ130" s="27"/>
      <c r="AR130" s="21"/>
      <c r="AS130" s="21"/>
    </row>
    <row r="131" spans="1:45" x14ac:dyDescent="0.35">
      <c r="A131" s="24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6"/>
      <c r="AQ131" s="27"/>
      <c r="AR131" s="21"/>
      <c r="AS131" s="21"/>
    </row>
    <row r="132" spans="1:45" x14ac:dyDescent="0.35">
      <c r="A132" s="24"/>
      <c r="B132" s="21"/>
      <c r="C132" s="21"/>
      <c r="D132" s="21"/>
      <c r="E132" s="21"/>
      <c r="F132" s="21"/>
      <c r="G132" s="21"/>
      <c r="H132" s="21"/>
      <c r="I132" s="21"/>
      <c r="J132" s="21"/>
      <c r="K132" s="24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6"/>
      <c r="AQ132" s="27"/>
      <c r="AR132" s="21"/>
      <c r="AS132" s="21"/>
    </row>
    <row r="133" spans="1:45" x14ac:dyDescent="0.35">
      <c r="A133" s="24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6"/>
      <c r="AQ133" s="27"/>
      <c r="AR133" s="21"/>
      <c r="AS133" s="21"/>
    </row>
    <row r="134" spans="1:45" x14ac:dyDescent="0.35">
      <c r="A134" s="24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6"/>
      <c r="AQ134" s="27"/>
      <c r="AR134" s="21"/>
      <c r="AS134" s="21"/>
    </row>
    <row r="135" spans="1:45" x14ac:dyDescent="0.35">
      <c r="A135" s="24"/>
      <c r="B135" s="21"/>
      <c r="C135" s="21"/>
      <c r="D135" s="21"/>
      <c r="E135" s="21"/>
      <c r="F135" s="21"/>
      <c r="G135" s="21"/>
      <c r="H135" s="21"/>
      <c r="I135" s="21"/>
      <c r="J135" s="21"/>
      <c r="K135" s="24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6"/>
      <c r="AQ135" s="27"/>
      <c r="AR135" s="21"/>
      <c r="AS135" s="21"/>
    </row>
    <row r="136" spans="1:45" x14ac:dyDescent="0.35">
      <c r="A136" s="24"/>
      <c r="B136" s="21"/>
      <c r="C136" s="21"/>
      <c r="D136" s="21"/>
      <c r="E136" s="21"/>
      <c r="F136" s="21"/>
      <c r="G136" s="21"/>
      <c r="H136" s="21"/>
      <c r="I136" s="21"/>
      <c r="J136" s="21"/>
      <c r="K136" s="24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6"/>
      <c r="AQ136" s="27"/>
      <c r="AR136" s="21"/>
      <c r="AS136" s="21"/>
    </row>
    <row r="137" spans="1:45" ht="15" customHeight="1" x14ac:dyDescent="0.35">
      <c r="A137" s="24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6"/>
      <c r="AQ137" s="27"/>
      <c r="AR137" s="21"/>
      <c r="AS137" s="21"/>
    </row>
    <row r="138" spans="1:45" x14ac:dyDescent="0.35">
      <c r="A138" s="24"/>
      <c r="B138" s="21"/>
      <c r="C138" s="21"/>
      <c r="D138" s="21"/>
      <c r="E138" s="21"/>
      <c r="F138" s="21"/>
      <c r="G138" s="21"/>
      <c r="H138" s="21"/>
      <c r="I138" s="21"/>
      <c r="J138" s="21"/>
      <c r="K138" s="24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6"/>
      <c r="AQ138" s="27"/>
      <c r="AR138" s="21"/>
      <c r="AS138" s="21"/>
    </row>
    <row r="139" spans="1:45" x14ac:dyDescent="0.35">
      <c r="A139" s="24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6"/>
      <c r="AQ139" s="27"/>
      <c r="AR139" s="21"/>
      <c r="AS139" s="21"/>
    </row>
    <row r="140" spans="1:45" ht="32.5" customHeight="1" x14ac:dyDescent="0.35">
      <c r="A140" s="24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6"/>
      <c r="AQ140" s="27"/>
      <c r="AR140" s="21"/>
      <c r="AS140" s="21"/>
    </row>
    <row r="141" spans="1:45" x14ac:dyDescent="0.35">
      <c r="A141" s="24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6"/>
      <c r="AQ141" s="27"/>
      <c r="AR141" s="21"/>
      <c r="AS141" s="21"/>
    </row>
    <row r="142" spans="1:45" x14ac:dyDescent="0.35">
      <c r="A142" s="24"/>
      <c r="B142" s="21"/>
      <c r="C142" s="21"/>
      <c r="D142" s="21"/>
      <c r="E142" s="21"/>
      <c r="F142" s="21"/>
      <c r="G142" s="21"/>
      <c r="H142" s="21"/>
      <c r="I142" s="21"/>
      <c r="J142" s="21"/>
      <c r="K142" s="24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6"/>
      <c r="AQ142" s="27"/>
      <c r="AR142" s="21"/>
      <c r="AS142" s="21"/>
    </row>
    <row r="143" spans="1:45" x14ac:dyDescent="0.35">
      <c r="A143" s="24"/>
      <c r="B143" s="21"/>
      <c r="C143" s="21"/>
      <c r="D143" s="21"/>
      <c r="E143" s="21"/>
      <c r="F143" s="21"/>
      <c r="G143" s="21"/>
      <c r="H143" s="21"/>
      <c r="I143" s="21"/>
      <c r="J143" s="21"/>
      <c r="K143" s="24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6"/>
      <c r="AQ143" s="27"/>
      <c r="AR143" s="21"/>
      <c r="AS143" s="21"/>
    </row>
    <row r="144" spans="1:45" x14ac:dyDescent="0.35">
      <c r="A144" s="24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6"/>
      <c r="AQ144" s="27"/>
      <c r="AR144" s="21"/>
      <c r="AS144" s="21"/>
    </row>
    <row r="145" spans="1:45" x14ac:dyDescent="0.35">
      <c r="A145" s="24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6"/>
      <c r="AQ145" s="27"/>
      <c r="AR145" s="21"/>
      <c r="AS145" s="21"/>
    </row>
    <row r="146" spans="1:45" x14ac:dyDescent="0.35">
      <c r="A146" s="24"/>
      <c r="B146" s="21"/>
      <c r="C146" s="21"/>
      <c r="D146" s="21"/>
      <c r="E146" s="21"/>
      <c r="F146" s="21"/>
      <c r="G146" s="21"/>
      <c r="H146" s="21"/>
      <c r="I146" s="21"/>
      <c r="J146" s="21"/>
      <c r="K146" s="24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6"/>
      <c r="AQ146" s="27"/>
      <c r="AR146" s="21"/>
      <c r="AS146" s="21"/>
    </row>
    <row r="147" spans="1:45" x14ac:dyDescent="0.35">
      <c r="A147" s="24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6"/>
      <c r="AQ147" s="27"/>
      <c r="AR147" s="21"/>
      <c r="AS147" s="21"/>
    </row>
    <row r="148" spans="1:45" x14ac:dyDescent="0.35">
      <c r="A148" s="24"/>
      <c r="B148" s="21"/>
      <c r="C148" s="21"/>
      <c r="D148" s="21"/>
      <c r="E148" s="21"/>
      <c r="F148" s="21"/>
      <c r="G148" s="21"/>
      <c r="H148" s="21"/>
      <c r="I148" s="21"/>
      <c r="J148" s="21"/>
      <c r="K148" s="24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6"/>
      <c r="AQ148" s="27"/>
      <c r="AR148" s="21"/>
      <c r="AS148" s="21"/>
    </row>
    <row r="149" spans="1:45" x14ac:dyDescent="0.35">
      <c r="A149" s="24"/>
      <c r="B149" s="21"/>
      <c r="C149" s="21"/>
      <c r="D149" s="21"/>
      <c r="E149" s="21"/>
      <c r="F149" s="21"/>
      <c r="G149" s="21"/>
      <c r="H149" s="21"/>
      <c r="I149" s="21"/>
      <c r="J149" s="21"/>
      <c r="K149" s="24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6"/>
      <c r="AQ149" s="27"/>
      <c r="AR149" s="21"/>
      <c r="AS149" s="21"/>
    </row>
    <row r="150" spans="1:45" x14ac:dyDescent="0.35">
      <c r="A150" s="24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6"/>
      <c r="AQ150" s="27"/>
      <c r="AR150" s="21"/>
      <c r="AS150" s="21"/>
    </row>
    <row r="151" spans="1:45" x14ac:dyDescent="0.35">
      <c r="A151" s="24"/>
      <c r="B151" s="21"/>
      <c r="C151" s="21"/>
      <c r="D151" s="21"/>
      <c r="E151" s="21"/>
      <c r="F151" s="21"/>
      <c r="G151" s="21"/>
      <c r="H151" s="21"/>
      <c r="I151" s="21"/>
      <c r="J151" s="21"/>
      <c r="K151" s="24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6"/>
      <c r="AQ151" s="27"/>
      <c r="AR151" s="21"/>
      <c r="AS151" s="21"/>
    </row>
    <row r="152" spans="1:45" x14ac:dyDescent="0.35">
      <c r="A152" s="24"/>
      <c r="B152" s="21"/>
      <c r="C152" s="21"/>
      <c r="D152" s="21"/>
      <c r="E152" s="21"/>
      <c r="F152" s="21"/>
      <c r="G152" s="21"/>
      <c r="H152" s="21"/>
      <c r="I152" s="21"/>
      <c r="J152" s="21"/>
      <c r="K152" s="24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6"/>
      <c r="AQ152" s="27"/>
      <c r="AR152" s="21"/>
      <c r="AS152" s="21"/>
    </row>
    <row r="153" spans="1:45" x14ac:dyDescent="0.35">
      <c r="A153" s="24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6"/>
      <c r="AQ153" s="27"/>
      <c r="AR153" s="21"/>
      <c r="AS153" s="21"/>
    </row>
    <row r="154" spans="1:45" x14ac:dyDescent="0.35">
      <c r="A154" s="24"/>
      <c r="B154" s="21"/>
      <c r="C154" s="21"/>
      <c r="D154" s="21"/>
      <c r="E154" s="21"/>
      <c r="F154" s="21"/>
      <c r="G154" s="21"/>
      <c r="H154" s="21"/>
      <c r="I154" s="21"/>
      <c r="J154" s="21"/>
      <c r="K154" s="24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6"/>
      <c r="AQ154" s="27"/>
      <c r="AR154" s="21"/>
      <c r="AS154" s="21"/>
    </row>
    <row r="155" spans="1:45" x14ac:dyDescent="0.35">
      <c r="A155" s="24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6"/>
      <c r="AQ155" s="27"/>
      <c r="AR155" s="21"/>
      <c r="AS155" s="21"/>
    </row>
    <row r="156" spans="1:45" x14ac:dyDescent="0.35">
      <c r="A156" s="24"/>
      <c r="B156" s="21"/>
      <c r="C156" s="21"/>
      <c r="D156" s="21"/>
      <c r="E156" s="21"/>
      <c r="F156" s="21"/>
      <c r="G156" s="21"/>
      <c r="H156" s="21"/>
      <c r="I156" s="21"/>
      <c r="J156" s="21"/>
      <c r="K156" s="24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6"/>
      <c r="AQ156" s="27"/>
      <c r="AR156" s="21"/>
      <c r="AS156" s="21"/>
    </row>
    <row r="157" spans="1:45" x14ac:dyDescent="0.35">
      <c r="A157" s="24"/>
      <c r="B157" s="21"/>
      <c r="C157" s="21"/>
      <c r="D157" s="21"/>
      <c r="E157" s="21"/>
      <c r="F157" s="21"/>
      <c r="G157" s="21"/>
      <c r="H157" s="21"/>
      <c r="I157" s="21"/>
      <c r="J157" s="21"/>
      <c r="K157" s="24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6"/>
      <c r="AQ157" s="27"/>
      <c r="AR157" s="21"/>
      <c r="AS157" s="21"/>
    </row>
    <row r="158" spans="1:45" x14ac:dyDescent="0.35">
      <c r="A158" s="24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6"/>
      <c r="AQ158" s="27"/>
      <c r="AR158" s="21"/>
      <c r="AS158" s="21"/>
    </row>
    <row r="159" spans="1:45" x14ac:dyDescent="0.35">
      <c r="A159" s="24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6"/>
      <c r="AQ159" s="27"/>
      <c r="AR159" s="21"/>
      <c r="AS159" s="21"/>
    </row>
    <row r="160" spans="1:45" x14ac:dyDescent="0.35">
      <c r="A160" s="24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6"/>
      <c r="AQ160" s="27"/>
      <c r="AR160" s="21"/>
      <c r="AS160" s="21"/>
    </row>
    <row r="161" spans="1:45" x14ac:dyDescent="0.35">
      <c r="A161" s="24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6"/>
      <c r="AQ161" s="27"/>
      <c r="AR161" s="21"/>
      <c r="AS161" s="21"/>
    </row>
    <row r="162" spans="1:45" x14ac:dyDescent="0.35">
      <c r="A162" s="24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6"/>
      <c r="AQ162" s="27"/>
      <c r="AR162" s="21"/>
      <c r="AS162" s="21"/>
    </row>
    <row r="163" spans="1:45" x14ac:dyDescent="0.35">
      <c r="A163" s="31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21"/>
      <c r="AP163" s="26"/>
      <c r="AQ163" s="27"/>
      <c r="AR163" s="21"/>
      <c r="AS163" s="21"/>
    </row>
    <row r="164" spans="1:45" x14ac:dyDescent="0.35">
      <c r="A164" s="24"/>
      <c r="B164" s="21"/>
      <c r="C164" s="21"/>
      <c r="D164" s="21"/>
      <c r="E164" s="21"/>
      <c r="F164" s="21"/>
      <c r="G164" s="21"/>
      <c r="H164" s="21"/>
      <c r="I164" s="21"/>
      <c r="J164" s="21"/>
      <c r="K164" s="24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6"/>
      <c r="AQ164" s="27"/>
      <c r="AR164" s="21"/>
      <c r="AS164" s="21"/>
    </row>
    <row r="165" spans="1:45" x14ac:dyDescent="0.35">
      <c r="A165" s="24"/>
      <c r="B165" s="21"/>
      <c r="C165" s="21"/>
      <c r="D165" s="21"/>
      <c r="E165" s="21"/>
      <c r="F165" s="21"/>
      <c r="G165" s="21"/>
      <c r="H165" s="21"/>
      <c r="I165" s="21"/>
      <c r="J165" s="21"/>
      <c r="K165" s="24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6"/>
      <c r="AQ165" s="27"/>
      <c r="AR165" s="21"/>
      <c r="AS165" s="21"/>
    </row>
    <row r="166" spans="1:45" x14ac:dyDescent="0.35">
      <c r="A166" s="24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6"/>
      <c r="AQ166" s="27"/>
      <c r="AR166" s="21"/>
      <c r="AS166" s="21"/>
    </row>
    <row r="167" spans="1:45" x14ac:dyDescent="0.35">
      <c r="A167" s="24"/>
      <c r="B167" s="21"/>
      <c r="C167" s="21"/>
      <c r="D167" s="21"/>
      <c r="E167" s="21"/>
      <c r="F167" s="21"/>
      <c r="G167" s="21"/>
      <c r="H167" s="21"/>
      <c r="I167" s="21"/>
      <c r="J167" s="21"/>
      <c r="K167" s="24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6"/>
      <c r="AQ167" s="27"/>
      <c r="AR167" s="21"/>
      <c r="AS167" s="21"/>
    </row>
    <row r="168" spans="1:45" x14ac:dyDescent="0.35">
      <c r="A168" s="24"/>
      <c r="B168" s="21"/>
      <c r="C168" s="21"/>
      <c r="D168" s="21"/>
      <c r="E168" s="21"/>
      <c r="F168" s="21"/>
      <c r="G168" s="21"/>
      <c r="H168" s="21"/>
      <c r="I168" s="21"/>
      <c r="J168" s="21"/>
      <c r="K168" s="24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6"/>
      <c r="AQ168" s="27"/>
      <c r="AR168" s="21"/>
      <c r="AS168" s="21"/>
    </row>
    <row r="169" spans="1:45" x14ac:dyDescent="0.35">
      <c r="A169" s="24"/>
      <c r="B169" s="21"/>
      <c r="C169" s="21"/>
      <c r="D169" s="21"/>
      <c r="E169" s="21"/>
      <c r="F169" s="21"/>
      <c r="G169" s="21"/>
      <c r="H169" s="21"/>
      <c r="I169" s="21"/>
      <c r="J169" s="21"/>
      <c r="K169" s="24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6"/>
      <c r="AQ169" s="27"/>
      <c r="AR169" s="21"/>
      <c r="AS169" s="21"/>
    </row>
    <row r="170" spans="1:45" x14ac:dyDescent="0.35">
      <c r="A170" s="24"/>
      <c r="B170" s="21"/>
      <c r="C170" s="21"/>
      <c r="D170" s="21"/>
      <c r="E170" s="21"/>
      <c r="F170" s="21"/>
      <c r="G170" s="21"/>
      <c r="H170" s="21"/>
      <c r="I170" s="21"/>
      <c r="J170" s="21"/>
      <c r="K170" s="24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6"/>
      <c r="AQ170" s="27"/>
      <c r="AR170" s="21"/>
      <c r="AS170" s="21"/>
    </row>
    <row r="171" spans="1:45" x14ac:dyDescent="0.35">
      <c r="A171" s="24"/>
      <c r="B171" s="21"/>
      <c r="C171" s="21"/>
      <c r="D171" s="21"/>
      <c r="E171" s="21"/>
      <c r="F171" s="21"/>
      <c r="G171" s="21"/>
      <c r="H171" s="21"/>
      <c r="I171" s="21"/>
      <c r="J171" s="21"/>
      <c r="K171" s="24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6"/>
      <c r="AQ171" s="27"/>
      <c r="AR171" s="21"/>
      <c r="AS171" s="21"/>
    </row>
    <row r="172" spans="1:45" x14ac:dyDescent="0.35">
      <c r="A172" s="24"/>
      <c r="B172" s="21"/>
      <c r="C172" s="21"/>
      <c r="D172" s="21"/>
      <c r="E172" s="21"/>
      <c r="F172" s="21"/>
      <c r="G172" s="21"/>
      <c r="H172" s="21"/>
      <c r="I172" s="21"/>
      <c r="J172" s="21"/>
      <c r="K172" s="24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6"/>
      <c r="AQ172" s="27"/>
      <c r="AR172" s="21"/>
      <c r="AS172" s="21"/>
    </row>
    <row r="173" spans="1:45" x14ac:dyDescent="0.35">
      <c r="A173" s="24"/>
      <c r="B173" s="21"/>
      <c r="C173" s="21"/>
      <c r="D173" s="21"/>
      <c r="E173" s="21"/>
      <c r="F173" s="21"/>
      <c r="G173" s="21"/>
      <c r="H173" s="21"/>
      <c r="I173" s="21"/>
      <c r="J173" s="21"/>
      <c r="K173" s="24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6"/>
      <c r="AQ173" s="27"/>
      <c r="AR173" s="21"/>
      <c r="AS173" s="21"/>
    </row>
    <row r="174" spans="1:45" x14ac:dyDescent="0.35">
      <c r="A174" s="24"/>
      <c r="B174" s="21"/>
      <c r="C174" s="21"/>
      <c r="D174" s="21"/>
      <c r="E174" s="21"/>
      <c r="F174" s="21"/>
      <c r="G174" s="21"/>
      <c r="H174" s="21"/>
      <c r="I174" s="21"/>
      <c r="J174" s="21"/>
      <c r="K174" s="24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6"/>
      <c r="AQ174" s="27"/>
      <c r="AR174" s="21"/>
      <c r="AS174" s="21"/>
    </row>
    <row r="175" spans="1:45" x14ac:dyDescent="0.35">
      <c r="A175" s="24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6"/>
      <c r="AQ175" s="27"/>
      <c r="AR175" s="21"/>
      <c r="AS175" s="21"/>
    </row>
    <row r="176" spans="1:45" x14ac:dyDescent="0.35">
      <c r="A176" s="24"/>
      <c r="B176" s="21"/>
      <c r="C176" s="21"/>
      <c r="D176" s="21"/>
      <c r="E176" s="21"/>
      <c r="F176" s="21"/>
      <c r="G176" s="21"/>
      <c r="H176" s="21"/>
      <c r="I176" s="21"/>
      <c r="J176" s="21"/>
      <c r="K176" s="24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6"/>
      <c r="AQ176" s="27"/>
      <c r="AR176" s="21"/>
      <c r="AS176" s="21"/>
    </row>
    <row r="177" spans="1:45" x14ac:dyDescent="0.35">
      <c r="A177" s="24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6"/>
      <c r="AQ177" s="27"/>
      <c r="AR177" s="21"/>
      <c r="AS177" s="21"/>
    </row>
    <row r="178" spans="1:45" x14ac:dyDescent="0.35">
      <c r="A178" s="24"/>
      <c r="B178" s="21"/>
      <c r="C178" s="21"/>
      <c r="D178" s="21"/>
      <c r="E178" s="21"/>
      <c r="F178" s="21"/>
      <c r="G178" s="21"/>
      <c r="H178" s="21"/>
      <c r="I178" s="21"/>
      <c r="J178" s="21"/>
      <c r="K178" s="24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6"/>
      <c r="AQ178" s="27"/>
      <c r="AR178" s="21"/>
      <c r="AS178" s="21"/>
    </row>
    <row r="179" spans="1:45" x14ac:dyDescent="0.35">
      <c r="A179" s="24"/>
      <c r="B179" s="21"/>
      <c r="C179" s="21"/>
      <c r="D179" s="21"/>
      <c r="E179" s="21"/>
      <c r="F179" s="21"/>
      <c r="G179" s="21"/>
      <c r="H179" s="21"/>
      <c r="I179" s="21"/>
      <c r="J179" s="21"/>
      <c r="K179" s="24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6"/>
      <c r="AQ179" s="27"/>
      <c r="AR179" s="21"/>
      <c r="AS179" s="21"/>
    </row>
    <row r="180" spans="1:45" x14ac:dyDescent="0.35">
      <c r="A180" s="24"/>
      <c r="B180" s="21"/>
      <c r="C180" s="21"/>
      <c r="D180" s="21"/>
      <c r="E180" s="21"/>
      <c r="F180" s="21"/>
      <c r="G180" s="21"/>
      <c r="H180" s="21"/>
      <c r="I180" s="21"/>
      <c r="J180" s="21"/>
      <c r="K180" s="24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6"/>
      <c r="AQ180" s="27"/>
      <c r="AR180" s="21"/>
      <c r="AS180" s="21"/>
    </row>
    <row r="181" spans="1:45" x14ac:dyDescent="0.35">
      <c r="A181" s="24"/>
      <c r="B181" s="21"/>
      <c r="C181" s="21"/>
      <c r="D181" s="21"/>
      <c r="E181" s="21"/>
      <c r="F181" s="21"/>
      <c r="G181" s="21"/>
      <c r="H181" s="21"/>
      <c r="I181" s="21"/>
      <c r="J181" s="21"/>
      <c r="K181" s="24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6"/>
      <c r="AQ181" s="27"/>
      <c r="AR181" s="21"/>
      <c r="AS181" s="21"/>
    </row>
    <row r="182" spans="1:45" x14ac:dyDescent="0.35">
      <c r="A182" s="24"/>
      <c r="B182" s="21"/>
      <c r="C182" s="21"/>
      <c r="D182" s="21"/>
      <c r="E182" s="21"/>
      <c r="F182" s="21"/>
      <c r="G182" s="21"/>
      <c r="H182" s="21"/>
      <c r="I182" s="21"/>
      <c r="J182" s="21"/>
      <c r="K182" s="24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6"/>
      <c r="AQ182" s="27"/>
      <c r="AR182" s="21"/>
      <c r="AS182" s="21"/>
    </row>
    <row r="183" spans="1:45" x14ac:dyDescent="0.35">
      <c r="A183" s="24"/>
      <c r="B183" s="21"/>
      <c r="C183" s="21"/>
      <c r="D183" s="21"/>
      <c r="E183" s="21"/>
      <c r="F183" s="21"/>
      <c r="G183" s="21"/>
      <c r="H183" s="21"/>
      <c r="I183" s="21"/>
      <c r="J183" s="21"/>
      <c r="K183" s="24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6"/>
      <c r="AQ183" s="27"/>
      <c r="AR183" s="21"/>
      <c r="AS183" s="21"/>
    </row>
    <row r="184" spans="1:45" x14ac:dyDescent="0.35">
      <c r="A184" s="24"/>
      <c r="B184" s="21"/>
      <c r="C184" s="21"/>
      <c r="D184" s="21"/>
      <c r="E184" s="21"/>
      <c r="F184" s="21"/>
      <c r="G184" s="21"/>
      <c r="H184" s="21"/>
      <c r="I184" s="21"/>
      <c r="J184" s="21"/>
      <c r="K184" s="24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6"/>
      <c r="AQ184" s="27"/>
      <c r="AR184" s="21"/>
      <c r="AS184" s="21"/>
    </row>
    <row r="185" spans="1:45" x14ac:dyDescent="0.35">
      <c r="A185" s="24"/>
      <c r="B185" s="21"/>
      <c r="C185" s="21"/>
      <c r="D185" s="21"/>
      <c r="E185" s="21"/>
      <c r="F185" s="21"/>
      <c r="G185" s="21"/>
      <c r="H185" s="21"/>
      <c r="I185" s="21"/>
      <c r="J185" s="21"/>
      <c r="K185" s="24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6"/>
      <c r="AQ185" s="27"/>
      <c r="AR185" s="21"/>
      <c r="AS185" s="21"/>
    </row>
    <row r="186" spans="1:45" x14ac:dyDescent="0.35">
      <c r="A186" s="24"/>
      <c r="B186" s="21"/>
      <c r="C186" s="21"/>
      <c r="D186" s="21"/>
      <c r="E186" s="21"/>
      <c r="F186" s="21"/>
      <c r="G186" s="21"/>
      <c r="H186" s="21"/>
      <c r="I186" s="21"/>
      <c r="J186" s="21"/>
      <c r="K186" s="24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6"/>
      <c r="AQ186" s="27"/>
      <c r="AR186" s="21"/>
      <c r="AS186" s="21"/>
    </row>
    <row r="187" spans="1:45" x14ac:dyDescent="0.35">
      <c r="A187" s="24"/>
      <c r="B187" s="21"/>
      <c r="C187" s="21"/>
      <c r="D187" s="21"/>
      <c r="E187" s="21"/>
      <c r="F187" s="21"/>
      <c r="G187" s="21"/>
      <c r="H187" s="21"/>
      <c r="I187" s="21"/>
      <c r="J187" s="21"/>
      <c r="K187" s="24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6"/>
      <c r="AQ187" s="27"/>
      <c r="AR187" s="21"/>
      <c r="AS187" s="21"/>
    </row>
    <row r="188" spans="1:45" x14ac:dyDescent="0.35">
      <c r="A188" s="24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6"/>
      <c r="AQ188" s="27"/>
      <c r="AR188" s="21"/>
      <c r="AS188" s="21"/>
    </row>
    <row r="189" spans="1:45" x14ac:dyDescent="0.35">
      <c r="A189" s="24"/>
      <c r="B189" s="21"/>
      <c r="C189" s="21"/>
      <c r="D189" s="21"/>
      <c r="E189" s="21"/>
      <c r="F189" s="21"/>
      <c r="G189" s="21"/>
      <c r="H189" s="21"/>
      <c r="I189" s="21"/>
      <c r="J189" s="21"/>
      <c r="K189" s="24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6"/>
      <c r="AQ189" s="27"/>
      <c r="AR189" s="21"/>
      <c r="AS189" s="21"/>
    </row>
    <row r="190" spans="1:45" x14ac:dyDescent="0.35">
      <c r="A190" s="24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6"/>
      <c r="AQ190" s="27"/>
      <c r="AR190" s="21"/>
      <c r="AS190" s="21"/>
    </row>
    <row r="191" spans="1:45" x14ac:dyDescent="0.35">
      <c r="A191" s="24"/>
      <c r="B191" s="21"/>
      <c r="C191" s="21"/>
      <c r="D191" s="21"/>
      <c r="E191" s="21"/>
      <c r="F191" s="21"/>
      <c r="G191" s="21"/>
      <c r="H191" s="21"/>
      <c r="I191" s="21"/>
      <c r="J191" s="21"/>
      <c r="K191" s="24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6"/>
      <c r="AQ191" s="27"/>
      <c r="AR191" s="21"/>
      <c r="AS191" s="21"/>
    </row>
    <row r="192" spans="1:45" x14ac:dyDescent="0.35">
      <c r="A192" s="24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6"/>
      <c r="AQ192" s="27"/>
      <c r="AR192" s="21"/>
      <c r="AS192" s="21"/>
    </row>
    <row r="193" spans="1:45" x14ac:dyDescent="0.35">
      <c r="A193" s="24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6"/>
      <c r="AQ193" s="27"/>
      <c r="AR193" s="21"/>
      <c r="AS193" s="21"/>
    </row>
    <row r="194" spans="1:45" x14ac:dyDescent="0.35">
      <c r="A194" s="24"/>
      <c r="B194" s="21"/>
      <c r="C194" s="21"/>
      <c r="D194" s="21"/>
      <c r="E194" s="21"/>
      <c r="F194" s="21"/>
      <c r="G194" s="21"/>
      <c r="H194" s="21"/>
      <c r="I194" s="21"/>
      <c r="J194" s="21"/>
      <c r="K194" s="24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6"/>
      <c r="AQ194" s="27"/>
      <c r="AR194" s="21"/>
      <c r="AS194" s="21"/>
    </row>
    <row r="195" spans="1:45" x14ac:dyDescent="0.35">
      <c r="A195" s="24"/>
      <c r="B195" s="21"/>
      <c r="C195" s="21"/>
      <c r="D195" s="21"/>
      <c r="E195" s="21"/>
      <c r="F195" s="21"/>
      <c r="G195" s="21"/>
      <c r="H195" s="21"/>
      <c r="I195" s="21"/>
      <c r="J195" s="21"/>
      <c r="K195" s="24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6"/>
      <c r="AQ195" s="27"/>
      <c r="AR195" s="21"/>
      <c r="AS195" s="21"/>
    </row>
    <row r="196" spans="1:45" x14ac:dyDescent="0.35">
      <c r="A196" s="24"/>
      <c r="B196" s="21"/>
      <c r="C196" s="21"/>
      <c r="D196" s="21"/>
      <c r="E196" s="21"/>
      <c r="F196" s="21"/>
      <c r="G196" s="21"/>
      <c r="H196" s="21"/>
      <c r="I196" s="21"/>
      <c r="J196" s="21"/>
      <c r="K196" s="24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6"/>
      <c r="AQ196" s="27"/>
      <c r="AR196" s="21"/>
      <c r="AS196" s="21"/>
    </row>
    <row r="197" spans="1:45" x14ac:dyDescent="0.35">
      <c r="A197" s="24"/>
      <c r="B197" s="21"/>
      <c r="C197" s="21"/>
      <c r="D197" s="21"/>
      <c r="E197" s="21"/>
      <c r="F197" s="21"/>
      <c r="G197" s="21"/>
      <c r="H197" s="21"/>
      <c r="I197" s="21"/>
      <c r="J197" s="21"/>
      <c r="K197" s="24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6"/>
      <c r="AQ197" s="27"/>
      <c r="AR197" s="21"/>
      <c r="AS197" s="21"/>
    </row>
    <row r="198" spans="1:45" x14ac:dyDescent="0.35">
      <c r="A198" s="24"/>
      <c r="B198" s="21"/>
      <c r="C198" s="21"/>
      <c r="D198" s="21"/>
      <c r="E198" s="21"/>
      <c r="F198" s="21"/>
      <c r="G198" s="21"/>
      <c r="H198" s="21"/>
      <c r="I198" s="21"/>
      <c r="J198" s="21"/>
      <c r="K198" s="24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6"/>
      <c r="AQ198" s="27"/>
      <c r="AR198" s="21"/>
      <c r="AS198" s="21"/>
    </row>
    <row r="199" spans="1:45" x14ac:dyDescent="0.35">
      <c r="A199" s="24"/>
      <c r="B199" s="21"/>
      <c r="C199" s="21"/>
      <c r="D199" s="21"/>
      <c r="E199" s="21"/>
      <c r="F199" s="21"/>
      <c r="G199" s="21"/>
      <c r="H199" s="21"/>
      <c r="I199" s="21"/>
      <c r="J199" s="21"/>
      <c r="K199" s="24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6"/>
      <c r="AQ199" s="27"/>
      <c r="AR199" s="21"/>
      <c r="AS199" s="21"/>
    </row>
    <row r="200" spans="1:45" x14ac:dyDescent="0.35">
      <c r="A200" s="24"/>
      <c r="B200" s="21"/>
      <c r="C200" s="21"/>
      <c r="D200" s="21"/>
      <c r="E200" s="21"/>
      <c r="F200" s="21"/>
      <c r="G200" s="21"/>
      <c r="H200" s="21"/>
      <c r="I200" s="21"/>
      <c r="J200" s="21"/>
      <c r="K200" s="24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6"/>
      <c r="AQ200" s="27"/>
      <c r="AR200" s="21"/>
      <c r="AS200" s="21"/>
    </row>
    <row r="201" spans="1:45" x14ac:dyDescent="0.35">
      <c r="A201" s="24"/>
      <c r="B201" s="21"/>
      <c r="C201" s="21"/>
      <c r="D201" s="21"/>
      <c r="E201" s="21"/>
      <c r="F201" s="21"/>
      <c r="G201" s="21"/>
      <c r="H201" s="21"/>
      <c r="I201" s="21"/>
      <c r="J201" s="21"/>
      <c r="K201" s="24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6"/>
      <c r="AQ201" s="27"/>
      <c r="AR201" s="21"/>
      <c r="AS201" s="21"/>
    </row>
    <row r="202" spans="1:45" x14ac:dyDescent="0.35">
      <c r="A202" s="24"/>
      <c r="B202" s="21"/>
      <c r="C202" s="21"/>
      <c r="D202" s="21"/>
      <c r="E202" s="21"/>
      <c r="F202" s="21"/>
      <c r="G202" s="21"/>
      <c r="H202" s="21"/>
      <c r="I202" s="21"/>
      <c r="J202" s="21"/>
      <c r="K202" s="24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6"/>
      <c r="AQ202" s="27"/>
      <c r="AR202" s="21"/>
      <c r="AS202" s="21"/>
    </row>
    <row r="203" spans="1:45" x14ac:dyDescent="0.35">
      <c r="A203" s="24"/>
      <c r="B203" s="21"/>
      <c r="C203" s="21"/>
      <c r="D203" s="21"/>
      <c r="E203" s="21"/>
      <c r="F203" s="21"/>
      <c r="G203" s="21"/>
      <c r="H203" s="21"/>
      <c r="I203" s="21"/>
      <c r="J203" s="21"/>
      <c r="K203" s="24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6"/>
      <c r="AQ203" s="27"/>
      <c r="AR203" s="21"/>
      <c r="AS203" s="21"/>
    </row>
    <row r="204" spans="1:45" x14ac:dyDescent="0.35">
      <c r="A204" s="24"/>
      <c r="B204" s="21"/>
      <c r="C204" s="21"/>
      <c r="D204" s="21"/>
      <c r="E204" s="21"/>
      <c r="F204" s="21"/>
      <c r="G204" s="21"/>
      <c r="H204" s="21"/>
      <c r="I204" s="21"/>
      <c r="J204" s="21"/>
      <c r="K204" s="24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6"/>
      <c r="AQ204" s="27"/>
      <c r="AR204" s="21"/>
      <c r="AS204" s="21"/>
    </row>
    <row r="205" spans="1:45" x14ac:dyDescent="0.35">
      <c r="A205" s="24"/>
      <c r="B205" s="21"/>
      <c r="C205" s="21"/>
      <c r="D205" s="21"/>
      <c r="E205" s="21"/>
      <c r="F205" s="21"/>
      <c r="G205" s="21"/>
      <c r="H205" s="21"/>
      <c r="I205" s="21"/>
      <c r="J205" s="21"/>
      <c r="K205" s="24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6"/>
      <c r="AQ205" s="27"/>
      <c r="AR205" s="21"/>
      <c r="AS205" s="21"/>
    </row>
    <row r="206" spans="1:45" x14ac:dyDescent="0.35">
      <c r="A206" s="24"/>
      <c r="B206" s="21"/>
      <c r="C206" s="21"/>
      <c r="D206" s="21"/>
      <c r="E206" s="21"/>
      <c r="F206" s="21"/>
      <c r="G206" s="21"/>
      <c r="H206" s="21"/>
      <c r="I206" s="21"/>
      <c r="J206" s="21"/>
      <c r="K206" s="24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6"/>
      <c r="AQ206" s="27"/>
      <c r="AR206" s="21"/>
      <c r="AS206" s="21"/>
    </row>
    <row r="207" spans="1:45" x14ac:dyDescent="0.35">
      <c r="A207" s="24"/>
      <c r="B207" s="21"/>
      <c r="C207" s="21"/>
      <c r="D207" s="21"/>
      <c r="E207" s="21"/>
      <c r="F207" s="21"/>
      <c r="G207" s="21"/>
      <c r="H207" s="21"/>
      <c r="I207" s="21"/>
      <c r="J207" s="21"/>
      <c r="K207" s="24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6"/>
      <c r="AQ207" s="27"/>
      <c r="AR207" s="21"/>
      <c r="AS207" s="21"/>
    </row>
    <row r="208" spans="1:45" x14ac:dyDescent="0.35">
      <c r="A208" s="24"/>
      <c r="B208" s="21"/>
      <c r="C208" s="21"/>
      <c r="D208" s="21"/>
      <c r="E208" s="21"/>
      <c r="F208" s="21"/>
      <c r="G208" s="21"/>
      <c r="H208" s="21"/>
      <c r="I208" s="21"/>
      <c r="J208" s="21"/>
      <c r="K208" s="24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6"/>
      <c r="AQ208" s="27"/>
      <c r="AR208" s="21"/>
      <c r="AS208" s="21"/>
    </row>
    <row r="209" spans="1:45" x14ac:dyDescent="0.35">
      <c r="A209" s="24"/>
      <c r="B209" s="21"/>
      <c r="C209" s="21"/>
      <c r="D209" s="21"/>
      <c r="E209" s="21"/>
      <c r="F209" s="21"/>
      <c r="G209" s="21"/>
      <c r="H209" s="21"/>
      <c r="I209" s="21"/>
      <c r="J209" s="21"/>
      <c r="K209" s="24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6"/>
      <c r="AQ209" s="27"/>
      <c r="AR209" s="21"/>
      <c r="AS209" s="21"/>
    </row>
    <row r="210" spans="1:45" x14ac:dyDescent="0.35">
      <c r="A210" s="24"/>
      <c r="B210" s="21"/>
      <c r="C210" s="21"/>
      <c r="D210" s="21"/>
      <c r="E210" s="21"/>
      <c r="F210" s="21"/>
      <c r="G210" s="21"/>
      <c r="H210" s="21"/>
      <c r="I210" s="21"/>
      <c r="J210" s="21"/>
      <c r="K210" s="24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6"/>
      <c r="AQ210" s="27"/>
      <c r="AR210" s="21"/>
      <c r="AS210" s="21"/>
    </row>
    <row r="211" spans="1:45" x14ac:dyDescent="0.35">
      <c r="A211" s="24"/>
      <c r="B211" s="21"/>
      <c r="C211" s="21"/>
      <c r="D211" s="21"/>
      <c r="E211" s="21"/>
      <c r="F211" s="21"/>
      <c r="G211" s="21"/>
      <c r="H211" s="21"/>
      <c r="I211" s="21"/>
      <c r="J211" s="21"/>
      <c r="K211" s="24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6"/>
      <c r="AQ211" s="27"/>
      <c r="AR211" s="21"/>
      <c r="AS211" s="21"/>
    </row>
    <row r="212" spans="1:45" x14ac:dyDescent="0.35">
      <c r="A212" s="24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6"/>
      <c r="AQ212" s="27"/>
      <c r="AR212" s="21"/>
      <c r="AS212" s="21"/>
    </row>
    <row r="213" spans="1:45" x14ac:dyDescent="0.35">
      <c r="A213" s="24"/>
      <c r="B213" s="21"/>
      <c r="C213" s="21"/>
      <c r="D213" s="21"/>
      <c r="E213" s="21"/>
      <c r="F213" s="21"/>
      <c r="G213" s="21"/>
      <c r="H213" s="21"/>
      <c r="I213" s="21"/>
      <c r="J213" s="21"/>
      <c r="K213" s="24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6"/>
      <c r="AQ213" s="27"/>
      <c r="AR213" s="21"/>
      <c r="AS213" s="21"/>
    </row>
    <row r="214" spans="1:45" x14ac:dyDescent="0.35">
      <c r="A214" s="24"/>
      <c r="B214" s="21"/>
      <c r="C214" s="21"/>
      <c r="D214" s="21"/>
      <c r="E214" s="21"/>
      <c r="F214" s="21"/>
      <c r="G214" s="21"/>
      <c r="H214" s="21"/>
      <c r="I214" s="21"/>
      <c r="J214" s="21"/>
      <c r="K214" s="24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6"/>
      <c r="AQ214" s="27"/>
      <c r="AR214" s="21"/>
      <c r="AS214" s="21"/>
    </row>
    <row r="215" spans="1:45" x14ac:dyDescent="0.35">
      <c r="A215" s="24"/>
      <c r="B215" s="21"/>
      <c r="C215" s="21"/>
      <c r="D215" s="21"/>
      <c r="E215" s="21"/>
      <c r="F215" s="21"/>
      <c r="G215" s="21"/>
      <c r="H215" s="21"/>
      <c r="I215" s="21"/>
      <c r="J215" s="21"/>
      <c r="K215" s="24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6"/>
      <c r="AQ215" s="27"/>
      <c r="AR215" s="21"/>
      <c r="AS215" s="21"/>
    </row>
    <row r="216" spans="1:45" x14ac:dyDescent="0.35">
      <c r="A216" s="24"/>
      <c r="B216" s="21"/>
      <c r="C216" s="21"/>
      <c r="D216" s="21"/>
      <c r="E216" s="21"/>
      <c r="F216" s="21"/>
      <c r="G216" s="21"/>
      <c r="H216" s="21"/>
      <c r="I216" s="21"/>
      <c r="J216" s="21"/>
      <c r="K216" s="24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6"/>
      <c r="AQ216" s="27"/>
      <c r="AR216" s="21"/>
      <c r="AS216" s="21"/>
    </row>
    <row r="217" spans="1:45" x14ac:dyDescent="0.35">
      <c r="A217" s="24"/>
      <c r="B217" s="21"/>
      <c r="C217" s="21"/>
      <c r="D217" s="21"/>
      <c r="E217" s="21"/>
      <c r="F217" s="21"/>
      <c r="G217" s="21"/>
      <c r="H217" s="21"/>
      <c r="I217" s="21"/>
      <c r="J217" s="21"/>
      <c r="K217" s="24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6"/>
      <c r="AQ217" s="27"/>
      <c r="AR217" s="21"/>
      <c r="AS217" s="21"/>
    </row>
    <row r="218" spans="1:45" x14ac:dyDescent="0.35">
      <c r="A218" s="24"/>
      <c r="B218" s="21"/>
      <c r="C218" s="21"/>
      <c r="D218" s="21"/>
      <c r="E218" s="21"/>
      <c r="F218" s="21"/>
      <c r="G218" s="21"/>
      <c r="H218" s="21"/>
      <c r="I218" s="21"/>
      <c r="J218" s="21"/>
      <c r="K218" s="24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6"/>
      <c r="AQ218" s="27"/>
      <c r="AR218" s="21"/>
      <c r="AS218" s="21"/>
    </row>
    <row r="219" spans="1:45" x14ac:dyDescent="0.35">
      <c r="A219" s="24"/>
      <c r="B219" s="21"/>
      <c r="C219" s="21"/>
      <c r="D219" s="21"/>
      <c r="E219" s="21"/>
      <c r="F219" s="21"/>
      <c r="G219" s="21"/>
      <c r="H219" s="21"/>
      <c r="I219" s="21"/>
      <c r="J219" s="21"/>
      <c r="K219" s="24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6"/>
      <c r="AQ219" s="27"/>
      <c r="AR219" s="21"/>
      <c r="AS219" s="21"/>
    </row>
    <row r="220" spans="1:45" x14ac:dyDescent="0.35">
      <c r="A220" s="24"/>
      <c r="B220" s="21"/>
      <c r="C220" s="21"/>
      <c r="D220" s="21"/>
      <c r="E220" s="21"/>
      <c r="F220" s="21"/>
      <c r="G220" s="21"/>
      <c r="H220" s="21"/>
      <c r="I220" s="21"/>
      <c r="J220" s="21"/>
      <c r="K220" s="24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6"/>
      <c r="AQ220" s="27"/>
      <c r="AR220" s="21"/>
      <c r="AS220" s="21"/>
    </row>
    <row r="221" spans="1:45" x14ac:dyDescent="0.35">
      <c r="A221" s="24"/>
      <c r="B221" s="21"/>
      <c r="C221" s="21"/>
      <c r="D221" s="21"/>
      <c r="E221" s="21"/>
      <c r="F221" s="21"/>
      <c r="G221" s="21"/>
      <c r="H221" s="21"/>
      <c r="I221" s="21"/>
      <c r="J221" s="21"/>
      <c r="K221" s="24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6"/>
      <c r="AQ221" s="27"/>
      <c r="AR221" s="21"/>
      <c r="AS221" s="21"/>
    </row>
    <row r="222" spans="1:45" x14ac:dyDescent="0.35">
      <c r="A222" s="24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6"/>
      <c r="AQ222" s="27"/>
      <c r="AR222" s="21"/>
      <c r="AS222" s="21"/>
    </row>
    <row r="223" spans="1:45" x14ac:dyDescent="0.35">
      <c r="A223" s="24"/>
      <c r="B223" s="21"/>
      <c r="C223" s="21"/>
      <c r="D223" s="21"/>
      <c r="E223" s="21"/>
      <c r="F223" s="21"/>
      <c r="G223" s="21"/>
      <c r="H223" s="21"/>
      <c r="I223" s="21"/>
      <c r="J223" s="21"/>
      <c r="K223" s="24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6"/>
      <c r="AQ223" s="27"/>
      <c r="AR223" s="21"/>
      <c r="AS223" s="21"/>
    </row>
    <row r="224" spans="1:45" x14ac:dyDescent="0.35">
      <c r="A224" s="24"/>
      <c r="B224" s="21"/>
      <c r="C224" s="21"/>
      <c r="D224" s="21"/>
      <c r="E224" s="21"/>
      <c r="F224" s="21"/>
      <c r="G224" s="21"/>
      <c r="H224" s="21"/>
      <c r="I224" s="21"/>
      <c r="J224" s="21"/>
      <c r="K224" s="24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6"/>
      <c r="AQ224" s="27"/>
      <c r="AR224" s="21"/>
      <c r="AS224" s="21"/>
    </row>
    <row r="225" spans="1:45" x14ac:dyDescent="0.35">
      <c r="A225" s="24"/>
      <c r="B225" s="21"/>
      <c r="C225" s="21"/>
      <c r="D225" s="21"/>
      <c r="E225" s="21"/>
      <c r="F225" s="21"/>
      <c r="G225" s="21"/>
      <c r="H225" s="21"/>
      <c r="I225" s="21"/>
      <c r="J225" s="21"/>
      <c r="K225" s="24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6"/>
      <c r="AQ225" s="27"/>
      <c r="AR225" s="21"/>
      <c r="AS225" s="21"/>
    </row>
    <row r="226" spans="1:45" x14ac:dyDescent="0.35">
      <c r="A226" s="24"/>
      <c r="B226" s="21"/>
      <c r="C226" s="21"/>
      <c r="D226" s="21"/>
      <c r="E226" s="21"/>
      <c r="F226" s="21"/>
      <c r="G226" s="21"/>
      <c r="H226" s="21"/>
      <c r="I226" s="21"/>
      <c r="J226" s="21"/>
      <c r="K226" s="24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6"/>
      <c r="AQ226" s="27"/>
      <c r="AR226" s="21"/>
      <c r="AS226" s="21"/>
    </row>
    <row r="227" spans="1:45" x14ac:dyDescent="0.35">
      <c r="A227" s="24"/>
      <c r="B227" s="21"/>
      <c r="C227" s="21"/>
      <c r="D227" s="21"/>
      <c r="E227" s="21"/>
      <c r="F227" s="21"/>
      <c r="G227" s="21"/>
      <c r="H227" s="21"/>
      <c r="I227" s="21"/>
      <c r="J227" s="21"/>
      <c r="K227" s="24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6"/>
      <c r="AQ227" s="27"/>
      <c r="AR227" s="21"/>
      <c r="AS227" s="21"/>
    </row>
    <row r="228" spans="1:45" x14ac:dyDescent="0.35">
      <c r="A228" s="24"/>
      <c r="B228" s="21"/>
      <c r="C228" s="21"/>
      <c r="D228" s="21"/>
      <c r="E228" s="21"/>
      <c r="F228" s="21"/>
      <c r="G228" s="21"/>
      <c r="H228" s="21"/>
      <c r="I228" s="21"/>
      <c r="J228" s="21"/>
      <c r="K228" s="24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6"/>
      <c r="AQ228" s="27"/>
      <c r="AR228" s="21"/>
      <c r="AS228" s="21"/>
    </row>
    <row r="229" spans="1:45" x14ac:dyDescent="0.35">
      <c r="A229" s="24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6"/>
      <c r="AQ229" s="27"/>
      <c r="AR229" s="21"/>
      <c r="AS229" s="21"/>
    </row>
    <row r="230" spans="1:45" x14ac:dyDescent="0.35">
      <c r="A230" s="24"/>
      <c r="B230" s="21"/>
      <c r="C230" s="21"/>
      <c r="D230" s="21"/>
      <c r="E230" s="21"/>
      <c r="F230" s="21"/>
      <c r="G230" s="21"/>
      <c r="H230" s="21"/>
      <c r="I230" s="21"/>
      <c r="J230" s="21"/>
      <c r="K230" s="24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6"/>
      <c r="AQ230" s="27"/>
      <c r="AR230" s="21"/>
      <c r="AS230" s="21"/>
    </row>
    <row r="231" spans="1:45" x14ac:dyDescent="0.35">
      <c r="A231" s="24"/>
      <c r="B231" s="21"/>
      <c r="C231" s="21"/>
      <c r="D231" s="21"/>
      <c r="E231" s="21"/>
      <c r="F231" s="21"/>
      <c r="G231" s="21"/>
      <c r="H231" s="21"/>
      <c r="I231" s="21"/>
      <c r="J231" s="21"/>
      <c r="K231" s="24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6"/>
      <c r="AQ231" s="27"/>
      <c r="AR231" s="21"/>
      <c r="AS231" s="21"/>
    </row>
    <row r="232" spans="1:45" x14ac:dyDescent="0.35">
      <c r="A232" s="24"/>
      <c r="B232" s="21"/>
      <c r="C232" s="21"/>
      <c r="D232" s="21"/>
      <c r="E232" s="21"/>
      <c r="F232" s="21"/>
      <c r="G232" s="21"/>
      <c r="H232" s="21"/>
      <c r="I232" s="21"/>
      <c r="J232" s="21"/>
      <c r="K232" s="24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6"/>
      <c r="AQ232" s="27"/>
      <c r="AR232" s="21"/>
      <c r="AS232" s="21"/>
    </row>
    <row r="233" spans="1:45" x14ac:dyDescent="0.35">
      <c r="A233" s="24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6"/>
      <c r="AQ233" s="27"/>
      <c r="AR233" s="21"/>
      <c r="AS233" s="21"/>
    </row>
    <row r="234" spans="1:45" x14ac:dyDescent="0.35">
      <c r="A234" s="24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6"/>
      <c r="AQ234" s="27"/>
      <c r="AR234" s="21"/>
      <c r="AS234" s="21"/>
    </row>
    <row r="235" spans="1:45" x14ac:dyDescent="0.35">
      <c r="A235" s="24"/>
      <c r="B235" s="21"/>
      <c r="C235" s="21"/>
      <c r="D235" s="21"/>
      <c r="E235" s="21"/>
      <c r="F235" s="21"/>
      <c r="G235" s="21"/>
      <c r="H235" s="21"/>
      <c r="I235" s="21"/>
      <c r="J235" s="21"/>
      <c r="K235" s="24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6"/>
      <c r="AQ235" s="27"/>
      <c r="AR235" s="21"/>
      <c r="AS235" s="21"/>
    </row>
    <row r="236" spans="1:45" x14ac:dyDescent="0.35">
      <c r="A236" s="24"/>
      <c r="B236" s="21"/>
      <c r="C236" s="21"/>
      <c r="D236" s="21"/>
      <c r="E236" s="21"/>
      <c r="F236" s="21"/>
      <c r="G236" s="21"/>
      <c r="H236" s="21"/>
      <c r="I236" s="21"/>
      <c r="J236" s="21"/>
      <c r="K236" s="24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6"/>
      <c r="AQ236" s="27"/>
      <c r="AR236" s="21"/>
      <c r="AS236" s="21"/>
    </row>
    <row r="237" spans="1:45" x14ac:dyDescent="0.35">
      <c r="A237" s="24"/>
      <c r="B237" s="21"/>
      <c r="C237" s="21"/>
      <c r="D237" s="21"/>
      <c r="E237" s="21"/>
      <c r="F237" s="21"/>
      <c r="G237" s="21"/>
      <c r="H237" s="21"/>
      <c r="I237" s="21"/>
      <c r="J237" s="21"/>
      <c r="K237" s="24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6"/>
      <c r="AQ237" s="27"/>
      <c r="AR237" s="21"/>
      <c r="AS237" s="21"/>
    </row>
    <row r="238" spans="1:45" x14ac:dyDescent="0.35">
      <c r="A238" s="24"/>
      <c r="B238" s="21"/>
      <c r="C238" s="21"/>
      <c r="D238" s="21"/>
      <c r="E238" s="21"/>
      <c r="F238" s="21"/>
      <c r="G238" s="21"/>
      <c r="H238" s="21"/>
      <c r="I238" s="21"/>
      <c r="J238" s="21"/>
      <c r="K238" s="24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6"/>
      <c r="AQ238" s="27"/>
      <c r="AR238" s="21"/>
      <c r="AS238" s="21"/>
    </row>
    <row r="239" spans="1:45" x14ac:dyDescent="0.35">
      <c r="A239" s="24"/>
      <c r="B239" s="21"/>
      <c r="C239" s="21"/>
      <c r="D239" s="21"/>
      <c r="E239" s="21"/>
      <c r="F239" s="21"/>
      <c r="G239" s="21"/>
      <c r="H239" s="21"/>
      <c r="I239" s="21"/>
      <c r="J239" s="21"/>
      <c r="K239" s="24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6"/>
      <c r="AQ239" s="27"/>
      <c r="AR239" s="21"/>
      <c r="AS239" s="21"/>
    </row>
    <row r="240" spans="1:45" x14ac:dyDescent="0.35">
      <c r="A240" s="24"/>
      <c r="B240" s="21"/>
      <c r="C240" s="21"/>
      <c r="D240" s="21"/>
      <c r="E240" s="21"/>
      <c r="F240" s="21"/>
      <c r="G240" s="21"/>
      <c r="H240" s="21"/>
      <c r="I240" s="21"/>
      <c r="J240" s="21"/>
      <c r="K240" s="24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6"/>
      <c r="AQ240" s="27"/>
      <c r="AR240" s="21"/>
      <c r="AS240" s="21"/>
    </row>
    <row r="241" spans="1:45" x14ac:dyDescent="0.35">
      <c r="A241" s="24"/>
      <c r="B241" s="21"/>
      <c r="C241" s="21"/>
      <c r="D241" s="21"/>
      <c r="E241" s="21"/>
      <c r="F241" s="21"/>
      <c r="G241" s="21"/>
      <c r="H241" s="21"/>
      <c r="I241" s="21"/>
      <c r="J241" s="21"/>
      <c r="K241" s="24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6"/>
      <c r="AQ241" s="27"/>
      <c r="AR241" s="21"/>
      <c r="AS241" s="21"/>
    </row>
    <row r="242" spans="1:45" x14ac:dyDescent="0.35">
      <c r="A242" s="24"/>
      <c r="B242" s="21"/>
      <c r="C242" s="21"/>
      <c r="D242" s="21"/>
      <c r="E242" s="21"/>
      <c r="F242" s="21"/>
      <c r="G242" s="21"/>
      <c r="H242" s="21"/>
      <c r="I242" s="21"/>
      <c r="J242" s="21"/>
      <c r="K242" s="24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6"/>
      <c r="AQ242" s="27"/>
      <c r="AR242" s="21"/>
      <c r="AS242" s="21"/>
    </row>
    <row r="243" spans="1:45" x14ac:dyDescent="0.35">
      <c r="A243" s="24"/>
      <c r="B243" s="21"/>
      <c r="C243" s="21"/>
      <c r="D243" s="21"/>
      <c r="E243" s="21"/>
      <c r="F243" s="21"/>
      <c r="G243" s="21"/>
      <c r="H243" s="21"/>
      <c r="I243" s="21"/>
      <c r="J243" s="21"/>
      <c r="K243" s="24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6"/>
      <c r="AQ243" s="27"/>
      <c r="AR243" s="21"/>
      <c r="AS243" s="21"/>
    </row>
    <row r="244" spans="1:45" x14ac:dyDescent="0.35">
      <c r="A244" s="24"/>
      <c r="B244" s="21"/>
      <c r="C244" s="21"/>
      <c r="D244" s="21"/>
      <c r="E244" s="21"/>
      <c r="F244" s="21"/>
      <c r="G244" s="21"/>
      <c r="H244" s="21"/>
      <c r="I244" s="21"/>
      <c r="J244" s="21"/>
      <c r="K244" s="24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6"/>
      <c r="AQ244" s="27"/>
      <c r="AR244" s="21"/>
      <c r="AS244" s="21"/>
    </row>
    <row r="245" spans="1:45" x14ac:dyDescent="0.35">
      <c r="A245" s="24"/>
      <c r="B245" s="21"/>
      <c r="C245" s="21"/>
      <c r="D245" s="21"/>
      <c r="E245" s="21"/>
      <c r="F245" s="21"/>
      <c r="G245" s="21"/>
      <c r="H245" s="21"/>
      <c r="I245" s="21"/>
      <c r="J245" s="21"/>
      <c r="K245" s="24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6"/>
      <c r="AQ245" s="27"/>
      <c r="AR245" s="21"/>
      <c r="AS245" s="21"/>
    </row>
    <row r="246" spans="1:45" x14ac:dyDescent="0.35">
      <c r="A246" s="24"/>
      <c r="B246" s="21"/>
      <c r="C246" s="21"/>
      <c r="D246" s="21"/>
      <c r="E246" s="21"/>
      <c r="F246" s="21"/>
      <c r="G246" s="21"/>
      <c r="H246" s="21"/>
      <c r="I246" s="21"/>
      <c r="J246" s="21"/>
      <c r="K246" s="24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6"/>
      <c r="AQ246" s="27"/>
      <c r="AR246" s="21"/>
      <c r="AS246" s="21"/>
    </row>
    <row r="247" spans="1:45" x14ac:dyDescent="0.35">
      <c r="A247" s="24"/>
      <c r="B247" s="21"/>
      <c r="C247" s="21"/>
      <c r="D247" s="21"/>
      <c r="E247" s="21"/>
      <c r="F247" s="21"/>
      <c r="G247" s="21"/>
      <c r="H247" s="21"/>
      <c r="I247" s="21"/>
      <c r="J247" s="21"/>
      <c r="K247" s="24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6"/>
      <c r="AQ247" s="27"/>
      <c r="AR247" s="21"/>
      <c r="AS247" s="21"/>
    </row>
    <row r="248" spans="1:45" x14ac:dyDescent="0.35">
      <c r="A248" s="24"/>
      <c r="B248" s="21"/>
      <c r="C248" s="21"/>
      <c r="D248" s="21"/>
      <c r="E248" s="21"/>
      <c r="F248" s="21"/>
      <c r="G248" s="21"/>
      <c r="H248" s="21"/>
      <c r="I248" s="21"/>
      <c r="J248" s="21"/>
      <c r="K248" s="24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6"/>
      <c r="AQ248" s="27"/>
      <c r="AR248" s="21"/>
      <c r="AS248" s="21"/>
    </row>
    <row r="249" spans="1:45" x14ac:dyDescent="0.35">
      <c r="A249" s="24"/>
      <c r="B249" s="21"/>
      <c r="C249" s="21"/>
      <c r="D249" s="21"/>
      <c r="E249" s="21"/>
      <c r="F249" s="21"/>
      <c r="G249" s="21"/>
      <c r="H249" s="21"/>
      <c r="I249" s="21"/>
      <c r="J249" s="21"/>
      <c r="K249" s="24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6"/>
      <c r="AQ249" s="27"/>
      <c r="AR249" s="21"/>
      <c r="AS249" s="21"/>
    </row>
    <row r="250" spans="1:45" x14ac:dyDescent="0.35">
      <c r="A250" s="24"/>
      <c r="B250" s="21"/>
      <c r="C250" s="21"/>
      <c r="D250" s="21"/>
      <c r="E250" s="21"/>
      <c r="F250" s="21"/>
      <c r="G250" s="21"/>
      <c r="H250" s="21"/>
      <c r="I250" s="21"/>
      <c r="J250" s="21"/>
      <c r="K250" s="24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6"/>
      <c r="AQ250" s="27"/>
      <c r="AR250" s="21"/>
      <c r="AS250" s="21"/>
    </row>
    <row r="251" spans="1:45" x14ac:dyDescent="0.35">
      <c r="A251" s="24"/>
      <c r="B251" s="21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6"/>
      <c r="AQ251" s="27"/>
      <c r="AR251" s="21"/>
      <c r="AS251" s="21"/>
    </row>
    <row r="252" spans="1:45" x14ac:dyDescent="0.35">
      <c r="A252" s="24"/>
      <c r="B252" s="21"/>
      <c r="C252" s="21"/>
      <c r="D252" s="21"/>
      <c r="E252" s="21"/>
      <c r="F252" s="21"/>
      <c r="G252" s="21"/>
      <c r="H252" s="21"/>
      <c r="I252" s="21"/>
      <c r="J252" s="21"/>
      <c r="K252" s="24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6"/>
      <c r="AQ252" s="27"/>
      <c r="AR252" s="21"/>
      <c r="AS252" s="21"/>
    </row>
    <row r="253" spans="1:45" x14ac:dyDescent="0.35">
      <c r="A253" s="24"/>
      <c r="B253" s="21"/>
      <c r="C253" s="21"/>
      <c r="D253" s="21"/>
      <c r="E253" s="21"/>
      <c r="F253" s="21"/>
      <c r="G253" s="21"/>
      <c r="H253" s="21"/>
      <c r="I253" s="21"/>
      <c r="J253" s="21"/>
      <c r="K253" s="24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6"/>
      <c r="AQ253" s="27"/>
      <c r="AR253" s="21"/>
      <c r="AS253" s="21"/>
    </row>
    <row r="254" spans="1:45" x14ac:dyDescent="0.35">
      <c r="A254" s="24"/>
      <c r="B254" s="21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6"/>
      <c r="AQ254" s="27"/>
      <c r="AR254" s="21"/>
      <c r="AS254" s="21"/>
    </row>
    <row r="255" spans="1:45" x14ac:dyDescent="0.35">
      <c r="A255" s="24"/>
      <c r="B255" s="21"/>
      <c r="C255" s="21"/>
      <c r="D255" s="21"/>
      <c r="E255" s="21"/>
      <c r="F255" s="21"/>
      <c r="G255" s="21"/>
      <c r="H255" s="21"/>
      <c r="I255" s="21"/>
      <c r="J255" s="21"/>
      <c r="K255" s="24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6"/>
      <c r="AQ255" s="27"/>
      <c r="AR255" s="21"/>
      <c r="AS255" s="21"/>
    </row>
    <row r="256" spans="1:45" x14ac:dyDescent="0.35">
      <c r="A256" s="24"/>
      <c r="B256" s="21"/>
      <c r="C256" s="21"/>
      <c r="D256" s="21"/>
      <c r="E256" s="21"/>
      <c r="F256" s="21"/>
      <c r="G256" s="21"/>
      <c r="H256" s="21"/>
      <c r="I256" s="21"/>
      <c r="J256" s="21"/>
      <c r="K256" s="24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6"/>
      <c r="AQ256" s="27"/>
      <c r="AR256" s="21"/>
      <c r="AS256" s="21"/>
    </row>
    <row r="257" spans="1:45" x14ac:dyDescent="0.35">
      <c r="A257" s="24"/>
      <c r="B257" s="21"/>
      <c r="C257" s="21"/>
      <c r="D257" s="21"/>
      <c r="E257" s="21"/>
      <c r="F257" s="21"/>
      <c r="G257" s="21"/>
      <c r="H257" s="21"/>
      <c r="I257" s="21"/>
      <c r="J257" s="21"/>
      <c r="K257" s="24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6"/>
      <c r="AQ257" s="27"/>
      <c r="AR257" s="21"/>
      <c r="AS257" s="21"/>
    </row>
    <row r="258" spans="1:45" x14ac:dyDescent="0.35">
      <c r="A258" s="24"/>
      <c r="B258" s="21"/>
      <c r="C258" s="21"/>
      <c r="D258" s="21"/>
      <c r="E258" s="21"/>
      <c r="F258" s="21"/>
      <c r="G258" s="21"/>
      <c r="H258" s="21"/>
      <c r="I258" s="21"/>
      <c r="J258" s="21"/>
      <c r="K258" s="24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6"/>
      <c r="AQ258" s="27"/>
      <c r="AR258" s="21"/>
      <c r="AS258" s="21"/>
    </row>
    <row r="259" spans="1:45" x14ac:dyDescent="0.35">
      <c r="A259" s="24"/>
      <c r="B259" s="21"/>
      <c r="C259" s="21"/>
      <c r="D259" s="21"/>
      <c r="E259" s="21"/>
      <c r="F259" s="21"/>
      <c r="G259" s="21"/>
      <c r="H259" s="21"/>
      <c r="I259" s="21"/>
      <c r="J259" s="21"/>
      <c r="K259" s="24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6"/>
      <c r="AQ259" s="27"/>
      <c r="AR259" s="21"/>
      <c r="AS259" s="21"/>
    </row>
    <row r="260" spans="1:45" x14ac:dyDescent="0.35">
      <c r="A260" s="24"/>
      <c r="B260" s="21"/>
      <c r="C260" s="21"/>
      <c r="D260" s="21"/>
      <c r="E260" s="21"/>
      <c r="F260" s="21"/>
      <c r="G260" s="21"/>
      <c r="H260" s="21"/>
      <c r="I260" s="21"/>
      <c r="J260" s="21"/>
      <c r="K260" s="24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6"/>
      <c r="AQ260" s="27"/>
      <c r="AR260" s="21"/>
      <c r="AS260" s="21"/>
    </row>
    <row r="261" spans="1:45" x14ac:dyDescent="0.35">
      <c r="A261" s="24"/>
      <c r="B261" s="21"/>
      <c r="C261" s="21"/>
      <c r="D261" s="21"/>
      <c r="E261" s="21"/>
      <c r="F261" s="21"/>
      <c r="G261" s="21"/>
      <c r="H261" s="21"/>
      <c r="I261" s="21"/>
      <c r="J261" s="21"/>
      <c r="K261" s="24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6"/>
      <c r="AQ261" s="27"/>
      <c r="AR261" s="21"/>
      <c r="AS261" s="21"/>
    </row>
    <row r="262" spans="1:45" x14ac:dyDescent="0.35">
      <c r="A262" s="24"/>
      <c r="B262" s="21"/>
      <c r="C262" s="21"/>
      <c r="D262" s="21"/>
      <c r="E262" s="21"/>
      <c r="F262" s="21"/>
      <c r="G262" s="21"/>
      <c r="H262" s="21"/>
      <c r="I262" s="21"/>
      <c r="J262" s="21"/>
      <c r="K262" s="24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6"/>
      <c r="AQ262" s="27"/>
      <c r="AR262" s="21"/>
      <c r="AS262" s="21"/>
    </row>
    <row r="263" spans="1:45" x14ac:dyDescent="0.35">
      <c r="A263" s="24"/>
      <c r="B263" s="21"/>
      <c r="C263" s="21"/>
      <c r="D263" s="21"/>
      <c r="E263" s="21"/>
      <c r="F263" s="21"/>
      <c r="G263" s="21"/>
      <c r="H263" s="21"/>
      <c r="I263" s="21"/>
      <c r="J263" s="21"/>
      <c r="K263" s="24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6"/>
      <c r="AQ263" s="27"/>
      <c r="AR263" s="21"/>
      <c r="AS263" s="21"/>
    </row>
    <row r="264" spans="1:45" x14ac:dyDescent="0.35">
      <c r="A264" s="24"/>
      <c r="B264" s="21"/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6"/>
      <c r="AQ264" s="27"/>
      <c r="AR264" s="21"/>
      <c r="AS264" s="21"/>
    </row>
    <row r="265" spans="1:45" x14ac:dyDescent="0.35">
      <c r="A265" s="24"/>
      <c r="B265" s="21"/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6"/>
      <c r="AQ265" s="27"/>
      <c r="AR265" s="21"/>
      <c r="AS265" s="21"/>
    </row>
    <row r="266" spans="1:45" x14ac:dyDescent="0.35">
      <c r="A266" s="24"/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6"/>
      <c r="AQ266" s="27"/>
      <c r="AR266" s="21"/>
      <c r="AS266" s="21"/>
    </row>
    <row r="267" spans="1:45" x14ac:dyDescent="0.35">
      <c r="A267" s="24"/>
      <c r="B267" s="21"/>
      <c r="C267" s="21"/>
      <c r="D267" s="21"/>
      <c r="E267" s="21"/>
      <c r="F267" s="21"/>
      <c r="G267" s="21"/>
      <c r="H267" s="21"/>
      <c r="I267" s="21"/>
      <c r="J267" s="21"/>
      <c r="K267" s="24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6"/>
      <c r="AQ267" s="27"/>
      <c r="AR267" s="21"/>
      <c r="AS267" s="21"/>
    </row>
    <row r="268" spans="1:45" x14ac:dyDescent="0.35">
      <c r="A268" s="24"/>
      <c r="B268" s="21"/>
      <c r="C268" s="21"/>
      <c r="D268" s="21"/>
      <c r="E268" s="21"/>
      <c r="F268" s="21"/>
      <c r="G268" s="21"/>
      <c r="H268" s="21"/>
      <c r="I268" s="21"/>
      <c r="J268" s="21"/>
      <c r="K268" s="24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6"/>
      <c r="AQ268" s="27"/>
      <c r="AR268" s="21"/>
      <c r="AS268" s="21"/>
    </row>
    <row r="269" spans="1:45" x14ac:dyDescent="0.35">
      <c r="A269" s="24"/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6"/>
      <c r="AQ269" s="27"/>
      <c r="AR269" s="21"/>
      <c r="AS269" s="21"/>
    </row>
    <row r="270" spans="1:45" x14ac:dyDescent="0.35">
      <c r="A270" s="24"/>
      <c r="B270" s="21"/>
      <c r="C270" s="21"/>
      <c r="D270" s="21"/>
      <c r="E270" s="21"/>
      <c r="F270" s="21"/>
      <c r="G270" s="21"/>
      <c r="H270" s="21"/>
      <c r="I270" s="21"/>
      <c r="J270" s="21"/>
      <c r="K270" s="24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6"/>
      <c r="AQ270" s="27"/>
      <c r="AR270" s="21"/>
      <c r="AS270" s="21"/>
    </row>
    <row r="271" spans="1:45" x14ac:dyDescent="0.35">
      <c r="A271" s="24"/>
      <c r="B271" s="21"/>
      <c r="C271" s="21"/>
      <c r="D271" s="21"/>
      <c r="E271" s="21"/>
      <c r="F271" s="21"/>
      <c r="G271" s="21"/>
      <c r="H271" s="21"/>
      <c r="I271" s="21"/>
      <c r="J271" s="21"/>
      <c r="K271" s="24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6"/>
      <c r="AQ271" s="27"/>
      <c r="AR271" s="21"/>
      <c r="AS271" s="21"/>
    </row>
    <row r="272" spans="1:45" x14ac:dyDescent="0.35">
      <c r="A272" s="24"/>
      <c r="B272" s="21"/>
      <c r="C272" s="21"/>
      <c r="D272" s="21"/>
      <c r="E272" s="21"/>
      <c r="F272" s="21"/>
      <c r="G272" s="21"/>
      <c r="H272" s="21"/>
      <c r="I272" s="21"/>
      <c r="J272" s="21"/>
      <c r="K272" s="24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6"/>
      <c r="AQ272" s="27"/>
      <c r="AR272" s="21"/>
      <c r="AS272" s="21"/>
    </row>
    <row r="273" spans="1:45" x14ac:dyDescent="0.35">
      <c r="A273" s="24"/>
      <c r="B273" s="21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6"/>
      <c r="AQ273" s="27"/>
      <c r="AR273" s="21"/>
      <c r="AS273" s="21"/>
    </row>
    <row r="274" spans="1:45" x14ac:dyDescent="0.35">
      <c r="A274" s="24"/>
      <c r="B274" s="21"/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6"/>
      <c r="AQ274" s="27"/>
      <c r="AR274" s="21"/>
      <c r="AS274" s="21"/>
    </row>
    <row r="275" spans="1:45" x14ac:dyDescent="0.35">
      <c r="A275" s="24"/>
      <c r="B275" s="21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6"/>
      <c r="AQ275" s="27"/>
      <c r="AR275" s="21"/>
      <c r="AS275" s="21"/>
    </row>
    <row r="276" spans="1:45" x14ac:dyDescent="0.35">
      <c r="A276" s="24"/>
      <c r="B276" s="21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6"/>
      <c r="AQ276" s="27"/>
      <c r="AR276" s="21"/>
      <c r="AS276" s="21"/>
    </row>
    <row r="277" spans="1:45" x14ac:dyDescent="0.35">
      <c r="A277" s="24"/>
      <c r="B277" s="21"/>
      <c r="C277" s="21"/>
      <c r="D277" s="21"/>
      <c r="E277" s="21"/>
      <c r="F277" s="21"/>
      <c r="G277" s="21"/>
      <c r="H277" s="21"/>
      <c r="I277" s="21"/>
      <c r="J277" s="21"/>
      <c r="K277" s="24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6"/>
      <c r="AQ277" s="27"/>
      <c r="AR277" s="21"/>
      <c r="AS277" s="21"/>
    </row>
    <row r="278" spans="1:45" x14ac:dyDescent="0.35">
      <c r="A278" s="24"/>
      <c r="B278" s="21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6"/>
      <c r="AQ278" s="27"/>
      <c r="AR278" s="21"/>
      <c r="AS278" s="21"/>
    </row>
    <row r="279" spans="1:45" x14ac:dyDescent="0.35">
      <c r="A279" s="24"/>
      <c r="B279" s="21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6"/>
      <c r="AQ279" s="27"/>
      <c r="AR279" s="21"/>
      <c r="AS279" s="21"/>
    </row>
    <row r="280" spans="1:45" x14ac:dyDescent="0.35">
      <c r="A280" s="24"/>
      <c r="B280" s="21"/>
      <c r="C280" s="21"/>
      <c r="D280" s="21"/>
      <c r="E280" s="21"/>
      <c r="F280" s="21"/>
      <c r="G280" s="21"/>
      <c r="H280" s="21"/>
      <c r="I280" s="21"/>
      <c r="J280" s="21"/>
      <c r="K280" s="24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6"/>
      <c r="AQ280" s="27"/>
      <c r="AR280" s="21"/>
      <c r="AS280" s="21"/>
    </row>
    <row r="281" spans="1:45" x14ac:dyDescent="0.35">
      <c r="A281" s="24"/>
      <c r="B281" s="21"/>
      <c r="C281" s="21"/>
      <c r="D281" s="21"/>
      <c r="E281" s="21"/>
      <c r="F281" s="21"/>
      <c r="G281" s="21"/>
      <c r="H281" s="21"/>
      <c r="I281" s="21"/>
      <c r="J281" s="21"/>
      <c r="K281" s="24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6"/>
      <c r="AQ281" s="27"/>
      <c r="AR281" s="21"/>
      <c r="AS281" s="21"/>
    </row>
    <row r="282" spans="1:45" x14ac:dyDescent="0.35">
      <c r="A282" s="24"/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6"/>
      <c r="AQ282" s="27"/>
      <c r="AR282" s="21"/>
      <c r="AS282" s="21"/>
    </row>
    <row r="283" spans="1:45" x14ac:dyDescent="0.35">
      <c r="A283" s="24"/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6"/>
      <c r="AQ283" s="27"/>
      <c r="AR283" s="21"/>
      <c r="AS283" s="21"/>
    </row>
    <row r="284" spans="1:45" x14ac:dyDescent="0.35">
      <c r="A284" s="24"/>
      <c r="B284" s="21"/>
      <c r="C284" s="21"/>
      <c r="D284" s="21"/>
      <c r="E284" s="21"/>
      <c r="F284" s="21"/>
      <c r="G284" s="21"/>
      <c r="H284" s="21"/>
      <c r="I284" s="21"/>
      <c r="J284" s="21"/>
      <c r="K284" s="24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6"/>
      <c r="AQ284" s="27"/>
      <c r="AR284" s="21"/>
      <c r="AS284" s="21"/>
    </row>
    <row r="285" spans="1:45" x14ac:dyDescent="0.35">
      <c r="A285" s="24"/>
      <c r="B285" s="21"/>
      <c r="C285" s="21"/>
      <c r="D285" s="21"/>
      <c r="E285" s="21"/>
      <c r="F285" s="21"/>
      <c r="G285" s="21"/>
      <c r="H285" s="21"/>
      <c r="I285" s="21"/>
      <c r="J285" s="21"/>
      <c r="K285" s="24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6"/>
      <c r="AQ285" s="27"/>
      <c r="AR285" s="21"/>
      <c r="AS285" s="21"/>
    </row>
    <row r="286" spans="1:45" x14ac:dyDescent="0.35">
      <c r="A286" s="24"/>
      <c r="B286" s="21"/>
      <c r="C286" s="21"/>
      <c r="D286" s="21"/>
      <c r="E286" s="21"/>
      <c r="F286" s="21"/>
      <c r="G286" s="21"/>
      <c r="H286" s="21"/>
      <c r="I286" s="21"/>
      <c r="J286" s="21"/>
      <c r="K286" s="24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6"/>
      <c r="AQ286" s="27"/>
      <c r="AR286" s="21"/>
      <c r="AS286" s="21"/>
    </row>
    <row r="287" spans="1:45" x14ac:dyDescent="0.35">
      <c r="A287" s="24"/>
      <c r="B287" s="21"/>
      <c r="C287" s="21"/>
      <c r="D287" s="21"/>
      <c r="E287" s="21"/>
      <c r="F287" s="21"/>
      <c r="G287" s="21"/>
      <c r="H287" s="21"/>
      <c r="I287" s="21"/>
      <c r="J287" s="21"/>
      <c r="K287" s="24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6"/>
      <c r="AQ287" s="27"/>
      <c r="AR287" s="21"/>
      <c r="AS287" s="21"/>
    </row>
    <row r="288" spans="1:45" x14ac:dyDescent="0.35">
      <c r="A288" s="24"/>
      <c r="B288" s="21"/>
      <c r="C288" s="21"/>
      <c r="D288" s="21"/>
      <c r="E288" s="21"/>
      <c r="F288" s="21"/>
      <c r="G288" s="21"/>
      <c r="H288" s="21"/>
      <c r="I288" s="21"/>
      <c r="J288" s="21"/>
      <c r="K288" s="24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6"/>
      <c r="AQ288" s="27"/>
      <c r="AR288" s="21"/>
      <c r="AS288" s="21"/>
    </row>
    <row r="289" spans="1:45" x14ac:dyDescent="0.35">
      <c r="A289" s="24"/>
      <c r="B289" s="21"/>
      <c r="C289" s="21"/>
      <c r="D289" s="21"/>
      <c r="E289" s="21"/>
      <c r="F289" s="21"/>
      <c r="G289" s="21"/>
      <c r="H289" s="21"/>
      <c r="I289" s="21"/>
      <c r="J289" s="21"/>
      <c r="K289" s="24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6"/>
      <c r="AQ289" s="27"/>
      <c r="AR289" s="21"/>
      <c r="AS289" s="21"/>
    </row>
    <row r="290" spans="1:45" x14ac:dyDescent="0.35">
      <c r="A290" s="24"/>
      <c r="B290" s="21"/>
      <c r="C290" s="21"/>
      <c r="D290" s="21"/>
      <c r="E290" s="21"/>
      <c r="F290" s="21"/>
      <c r="G290" s="21"/>
      <c r="H290" s="21"/>
      <c r="I290" s="21"/>
      <c r="J290" s="21"/>
      <c r="K290" s="24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6"/>
      <c r="AQ290" s="27"/>
      <c r="AR290" s="21"/>
      <c r="AS290" s="21"/>
    </row>
    <row r="291" spans="1:45" x14ac:dyDescent="0.35">
      <c r="A291" s="24"/>
      <c r="B291" s="21"/>
      <c r="C291" s="21"/>
      <c r="D291" s="21"/>
      <c r="E291" s="21"/>
      <c r="F291" s="21"/>
      <c r="G291" s="21"/>
      <c r="H291" s="21"/>
      <c r="I291" s="21"/>
      <c r="J291" s="21"/>
      <c r="K291" s="24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6"/>
      <c r="AQ291" s="27"/>
      <c r="AR291" s="21"/>
      <c r="AS291" s="21"/>
    </row>
    <row r="292" spans="1:45" x14ac:dyDescent="0.35">
      <c r="A292" s="24"/>
      <c r="B292" s="21"/>
      <c r="C292" s="21"/>
      <c r="D292" s="21"/>
      <c r="E292" s="21"/>
      <c r="F292" s="21"/>
      <c r="G292" s="21"/>
      <c r="H292" s="21"/>
      <c r="I292" s="21"/>
      <c r="J292" s="21"/>
      <c r="K292" s="24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6"/>
      <c r="AQ292" s="27"/>
      <c r="AR292" s="21"/>
      <c r="AS292" s="21"/>
    </row>
    <row r="293" spans="1:45" x14ac:dyDescent="0.35">
      <c r="A293" s="24"/>
      <c r="B293" s="21"/>
      <c r="C293" s="21"/>
      <c r="D293" s="21"/>
      <c r="E293" s="21"/>
      <c r="F293" s="21"/>
      <c r="G293" s="21"/>
      <c r="H293" s="21"/>
      <c r="I293" s="21"/>
      <c r="J293" s="21"/>
      <c r="K293" s="24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6"/>
      <c r="AQ293" s="27"/>
      <c r="AR293" s="21"/>
      <c r="AS293" s="21"/>
    </row>
    <row r="294" spans="1:45" x14ac:dyDescent="0.35">
      <c r="A294" s="24"/>
      <c r="B294" s="21"/>
      <c r="C294" s="21"/>
      <c r="D294" s="21"/>
      <c r="E294" s="21"/>
      <c r="F294" s="21"/>
      <c r="G294" s="21"/>
      <c r="H294" s="21"/>
      <c r="I294" s="21"/>
      <c r="J294" s="21"/>
      <c r="K294" s="24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6"/>
      <c r="AQ294" s="27"/>
      <c r="AR294" s="21"/>
      <c r="AS294" s="21"/>
    </row>
    <row r="295" spans="1:45" x14ac:dyDescent="0.35">
      <c r="A295" s="24"/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6"/>
      <c r="AQ295" s="27"/>
      <c r="AR295" s="21"/>
      <c r="AS295" s="21"/>
    </row>
    <row r="296" spans="1:45" x14ac:dyDescent="0.35">
      <c r="A296" s="24"/>
      <c r="B296" s="21"/>
      <c r="C296" s="21"/>
      <c r="D296" s="21"/>
      <c r="E296" s="21"/>
      <c r="F296" s="21"/>
      <c r="G296" s="21"/>
      <c r="H296" s="21"/>
      <c r="I296" s="21"/>
      <c r="J296" s="21"/>
      <c r="K296" s="24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6"/>
      <c r="AQ296" s="27"/>
      <c r="AR296" s="21"/>
      <c r="AS296" s="21"/>
    </row>
    <row r="297" spans="1:45" x14ac:dyDescent="0.35">
      <c r="A297" s="24"/>
      <c r="B297" s="21"/>
      <c r="C297" s="21"/>
      <c r="D297" s="21"/>
      <c r="E297" s="21"/>
      <c r="F297" s="21"/>
      <c r="G297" s="21"/>
      <c r="H297" s="21"/>
      <c r="I297" s="21"/>
      <c r="J297" s="21"/>
      <c r="K297" s="24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6"/>
      <c r="AQ297" s="27"/>
      <c r="AR297" s="21"/>
      <c r="AS297" s="21"/>
    </row>
    <row r="298" spans="1:45" x14ac:dyDescent="0.35">
      <c r="A298" s="24"/>
      <c r="B298" s="21"/>
      <c r="C298" s="21"/>
      <c r="D298" s="21"/>
      <c r="E298" s="21"/>
      <c r="F298" s="21"/>
      <c r="G298" s="21"/>
      <c r="H298" s="21"/>
      <c r="I298" s="21"/>
      <c r="J298" s="21"/>
      <c r="K298" s="24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6"/>
      <c r="AQ298" s="27"/>
      <c r="AR298" s="21"/>
      <c r="AS298" s="21"/>
    </row>
    <row r="299" spans="1:45" x14ac:dyDescent="0.35">
      <c r="A299" s="24"/>
      <c r="B299" s="21"/>
      <c r="C299" s="21"/>
      <c r="D299" s="21"/>
      <c r="E299" s="21"/>
      <c r="F299" s="21"/>
      <c r="G299" s="21"/>
      <c r="H299" s="21"/>
      <c r="I299" s="21"/>
      <c r="J299" s="21"/>
      <c r="K299" s="24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6"/>
      <c r="AQ299" s="27"/>
      <c r="AR299" s="21"/>
      <c r="AS299" s="21"/>
    </row>
    <row r="300" spans="1:45" x14ac:dyDescent="0.35">
      <c r="A300" s="24"/>
      <c r="B300" s="21"/>
      <c r="C300" s="21"/>
      <c r="D300" s="21"/>
      <c r="E300" s="21"/>
      <c r="F300" s="21"/>
      <c r="G300" s="21"/>
      <c r="H300" s="21"/>
      <c r="I300" s="21"/>
      <c r="J300" s="21"/>
      <c r="K300" s="24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6"/>
      <c r="AQ300" s="27"/>
      <c r="AR300" s="21"/>
      <c r="AS300" s="21"/>
    </row>
    <row r="301" spans="1:45" x14ac:dyDescent="0.35">
      <c r="A301" s="24"/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6"/>
      <c r="AQ301" s="27"/>
      <c r="AR301" s="21"/>
      <c r="AS301" s="21"/>
    </row>
    <row r="302" spans="1:45" x14ac:dyDescent="0.35">
      <c r="A302" s="24"/>
      <c r="B302" s="21"/>
      <c r="C302" s="21"/>
      <c r="D302" s="21"/>
      <c r="E302" s="21"/>
      <c r="F302" s="21"/>
      <c r="G302" s="21"/>
      <c r="H302" s="21"/>
      <c r="I302" s="21"/>
      <c r="J302" s="21"/>
      <c r="K302" s="24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6"/>
      <c r="AQ302" s="27"/>
      <c r="AR302" s="21"/>
      <c r="AS302" s="21"/>
    </row>
    <row r="303" spans="1:45" x14ac:dyDescent="0.35">
      <c r="A303" s="24"/>
      <c r="B303" s="21"/>
      <c r="C303" s="21"/>
      <c r="D303" s="21"/>
      <c r="E303" s="21"/>
      <c r="F303" s="21"/>
      <c r="G303" s="21"/>
      <c r="H303" s="21"/>
      <c r="I303" s="21"/>
      <c r="J303" s="21"/>
      <c r="K303" s="24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6"/>
      <c r="AQ303" s="27"/>
      <c r="AR303" s="21"/>
      <c r="AS303" s="21"/>
    </row>
    <row r="304" spans="1:45" x14ac:dyDescent="0.35">
      <c r="A304" s="24"/>
      <c r="B304" s="21"/>
      <c r="C304" s="21"/>
      <c r="D304" s="21"/>
      <c r="E304" s="21"/>
      <c r="F304" s="21"/>
      <c r="G304" s="21"/>
      <c r="H304" s="21"/>
      <c r="I304" s="21"/>
      <c r="J304" s="21"/>
      <c r="K304" s="24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6"/>
      <c r="AQ304" s="27"/>
      <c r="AR304" s="21"/>
      <c r="AS304" s="21"/>
    </row>
    <row r="305" spans="1:45" x14ac:dyDescent="0.35">
      <c r="A305" s="24"/>
      <c r="B305" s="21"/>
      <c r="C305" s="21"/>
      <c r="D305" s="21"/>
      <c r="E305" s="21"/>
      <c r="F305" s="21"/>
      <c r="G305" s="21"/>
      <c r="H305" s="21"/>
      <c r="I305" s="21"/>
      <c r="J305" s="21"/>
      <c r="K305" s="24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6"/>
      <c r="AQ305" s="27"/>
      <c r="AR305" s="21"/>
      <c r="AS305" s="21"/>
    </row>
    <row r="306" spans="1:45" x14ac:dyDescent="0.35">
      <c r="A306" s="24"/>
      <c r="B306" s="21"/>
      <c r="C306" s="21"/>
      <c r="D306" s="21"/>
      <c r="E306" s="21"/>
      <c r="F306" s="21"/>
      <c r="G306" s="21"/>
      <c r="H306" s="21"/>
      <c r="I306" s="21"/>
      <c r="J306" s="21"/>
      <c r="K306" s="24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6"/>
      <c r="AQ306" s="27"/>
      <c r="AR306" s="21"/>
      <c r="AS306" s="21"/>
    </row>
    <row r="307" spans="1:45" x14ac:dyDescent="0.35">
      <c r="A307" s="24"/>
      <c r="B307" s="21"/>
      <c r="C307" s="21"/>
      <c r="D307" s="21"/>
      <c r="E307" s="21"/>
      <c r="F307" s="21"/>
      <c r="G307" s="21"/>
      <c r="H307" s="21"/>
      <c r="I307" s="21"/>
      <c r="J307" s="21"/>
      <c r="K307" s="24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6"/>
      <c r="AQ307" s="27"/>
      <c r="AR307" s="21"/>
      <c r="AS307" s="21"/>
    </row>
    <row r="308" spans="1:45" x14ac:dyDescent="0.35">
      <c r="A308" s="24"/>
      <c r="B308" s="21"/>
      <c r="C308" s="21"/>
      <c r="D308" s="21"/>
      <c r="E308" s="21"/>
      <c r="F308" s="21"/>
      <c r="G308" s="21"/>
      <c r="H308" s="21"/>
      <c r="I308" s="21"/>
      <c r="J308" s="21"/>
      <c r="K308" s="24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6"/>
      <c r="AQ308" s="27"/>
      <c r="AR308" s="21"/>
      <c r="AS308" s="21"/>
    </row>
    <row r="309" spans="1:45" x14ac:dyDescent="0.35">
      <c r="A309" s="31"/>
      <c r="B309" s="32"/>
      <c r="C309" s="32"/>
      <c r="D309" s="32"/>
      <c r="E309" s="32"/>
      <c r="F309" s="32"/>
      <c r="G309" s="32"/>
      <c r="H309" s="32"/>
      <c r="I309" s="32"/>
      <c r="J309" s="32"/>
      <c r="K309" s="31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  <c r="AD309" s="32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21"/>
      <c r="AP309" s="26"/>
      <c r="AQ309" s="27"/>
      <c r="AR309" s="21"/>
      <c r="AS309" s="21"/>
    </row>
    <row r="310" spans="1:45" x14ac:dyDescent="0.35">
      <c r="A310" s="24"/>
      <c r="B310" s="21"/>
      <c r="C310" s="21"/>
      <c r="D310" s="21"/>
      <c r="E310" s="21"/>
      <c r="F310" s="21"/>
      <c r="G310" s="21"/>
      <c r="H310" s="21"/>
      <c r="I310" s="21"/>
      <c r="J310" s="21"/>
      <c r="K310" s="24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6"/>
      <c r="AQ310" s="27"/>
      <c r="AR310" s="21"/>
      <c r="AS310" s="21"/>
    </row>
    <row r="311" spans="1:45" x14ac:dyDescent="0.35">
      <c r="A311" s="24"/>
      <c r="B311" s="21"/>
      <c r="C311" s="21"/>
      <c r="D311" s="21"/>
      <c r="E311" s="21"/>
      <c r="F311" s="21"/>
      <c r="G311" s="21"/>
      <c r="H311" s="21"/>
      <c r="I311" s="21"/>
      <c r="J311" s="21"/>
      <c r="K311" s="24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6"/>
      <c r="AQ311" s="27"/>
      <c r="AR311" s="21"/>
      <c r="AS311" s="21"/>
    </row>
    <row r="312" spans="1:45" x14ac:dyDescent="0.35">
      <c r="A312" s="24"/>
      <c r="B312" s="21"/>
      <c r="C312" s="21"/>
      <c r="D312" s="21"/>
      <c r="E312" s="21"/>
      <c r="F312" s="21"/>
      <c r="G312" s="21"/>
      <c r="H312" s="21"/>
      <c r="I312" s="21"/>
      <c r="J312" s="21"/>
      <c r="K312" s="24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6"/>
      <c r="AQ312" s="27"/>
      <c r="AR312" s="21"/>
      <c r="AS312" s="21"/>
    </row>
    <row r="313" spans="1:45" x14ac:dyDescent="0.35">
      <c r="A313" s="24"/>
      <c r="B313" s="21"/>
      <c r="C313" s="21"/>
      <c r="D313" s="21"/>
      <c r="E313" s="21"/>
      <c r="F313" s="21"/>
      <c r="G313" s="21"/>
      <c r="H313" s="21"/>
      <c r="I313" s="21"/>
      <c r="J313" s="21"/>
      <c r="K313" s="24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6"/>
      <c r="AQ313" s="27"/>
      <c r="AR313" s="21"/>
      <c r="AS313" s="21"/>
    </row>
    <row r="314" spans="1:45" x14ac:dyDescent="0.35">
      <c r="A314" s="24"/>
      <c r="B314" s="21"/>
      <c r="C314" s="21"/>
      <c r="D314" s="21"/>
      <c r="E314" s="21"/>
      <c r="F314" s="21"/>
      <c r="G314" s="21"/>
      <c r="H314" s="21"/>
      <c r="I314" s="21"/>
      <c r="J314" s="21"/>
      <c r="K314" s="24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6"/>
      <c r="AQ314" s="27"/>
      <c r="AR314" s="21"/>
      <c r="AS314" s="21"/>
    </row>
    <row r="315" spans="1:45" x14ac:dyDescent="0.35">
      <c r="A315" s="24"/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6"/>
      <c r="AQ315" s="27"/>
      <c r="AR315" s="21"/>
      <c r="AS315" s="21"/>
    </row>
    <row r="316" spans="1:45" x14ac:dyDescent="0.35">
      <c r="A316" s="24"/>
      <c r="B316" s="21"/>
      <c r="C316" s="21"/>
      <c r="D316" s="21"/>
      <c r="E316" s="21"/>
      <c r="F316" s="21"/>
      <c r="G316" s="21"/>
      <c r="H316" s="21"/>
      <c r="I316" s="21"/>
      <c r="J316" s="21"/>
      <c r="K316" s="24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6"/>
      <c r="AQ316" s="27"/>
      <c r="AR316" s="21"/>
      <c r="AS316" s="21"/>
    </row>
    <row r="317" spans="1:45" x14ac:dyDescent="0.35">
      <c r="A317" s="24"/>
      <c r="B317" s="21"/>
      <c r="C317" s="21"/>
      <c r="D317" s="21"/>
      <c r="E317" s="21"/>
      <c r="F317" s="21"/>
      <c r="G317" s="21"/>
      <c r="H317" s="21"/>
      <c r="I317" s="21"/>
      <c r="J317" s="21"/>
      <c r="K317" s="24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6"/>
      <c r="AQ317" s="27"/>
      <c r="AR317" s="21"/>
      <c r="AS317" s="21"/>
    </row>
    <row r="318" spans="1:45" x14ac:dyDescent="0.35">
      <c r="A318" s="24"/>
      <c r="B318" s="21"/>
      <c r="C318" s="21"/>
      <c r="D318" s="21"/>
      <c r="E318" s="21"/>
      <c r="F318" s="21"/>
      <c r="G318" s="21"/>
      <c r="H318" s="21"/>
      <c r="I318" s="21"/>
      <c r="J318" s="21"/>
      <c r="K318" s="24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6"/>
      <c r="AQ318" s="27"/>
      <c r="AR318" s="21"/>
      <c r="AS318" s="21"/>
    </row>
    <row r="319" spans="1:45" x14ac:dyDescent="0.35">
      <c r="A319" s="24"/>
      <c r="B319" s="21"/>
      <c r="C319" s="21"/>
      <c r="D319" s="21"/>
      <c r="E319" s="21"/>
      <c r="F319" s="21"/>
      <c r="G319" s="21"/>
      <c r="H319" s="21"/>
      <c r="I319" s="21"/>
      <c r="J319" s="21"/>
      <c r="K319" s="24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6"/>
      <c r="AQ319" s="27"/>
      <c r="AR319" s="21"/>
      <c r="AS319" s="21"/>
    </row>
    <row r="320" spans="1:45" x14ac:dyDescent="0.35">
      <c r="A320" s="24"/>
      <c r="B320" s="21"/>
      <c r="C320" s="21"/>
      <c r="D320" s="21"/>
      <c r="E320" s="21"/>
      <c r="F320" s="21"/>
      <c r="G320" s="21"/>
      <c r="H320" s="21"/>
      <c r="I320" s="21"/>
      <c r="J320" s="21"/>
      <c r="K320" s="24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6"/>
      <c r="AQ320" s="27"/>
      <c r="AR320" s="21"/>
      <c r="AS320" s="21"/>
    </row>
    <row r="321" spans="1:45" x14ac:dyDescent="0.35">
      <c r="A321" s="24"/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6"/>
      <c r="AQ321" s="27"/>
      <c r="AR321" s="21"/>
      <c r="AS321" s="21"/>
    </row>
    <row r="322" spans="1:45" x14ac:dyDescent="0.35">
      <c r="A322" s="24"/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6"/>
      <c r="AQ322" s="27"/>
      <c r="AR322" s="21"/>
      <c r="AS322" s="21"/>
    </row>
    <row r="323" spans="1:45" x14ac:dyDescent="0.35">
      <c r="A323" s="24"/>
      <c r="B323" s="21"/>
      <c r="C323" s="21"/>
      <c r="D323" s="21"/>
      <c r="E323" s="21"/>
      <c r="F323" s="21"/>
      <c r="G323" s="21"/>
      <c r="H323" s="21"/>
      <c r="I323" s="21"/>
      <c r="J323" s="21"/>
      <c r="K323" s="24"/>
      <c r="L323" s="21"/>
      <c r="M323" s="25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6"/>
      <c r="AQ323" s="27"/>
      <c r="AR323" s="21"/>
      <c r="AS323" s="28"/>
    </row>
    <row r="324" spans="1:45" x14ac:dyDescent="0.35">
      <c r="A324" s="24"/>
      <c r="B324" s="21"/>
      <c r="C324" s="21"/>
      <c r="D324" s="21"/>
      <c r="E324" s="21"/>
      <c r="F324" s="21"/>
      <c r="G324" s="21"/>
      <c r="H324" s="21"/>
      <c r="I324" s="21"/>
      <c r="J324" s="21"/>
      <c r="K324" s="24"/>
      <c r="L324" s="21"/>
      <c r="M324" s="25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6"/>
      <c r="AQ324" s="27"/>
      <c r="AR324" s="21"/>
      <c r="AS324" s="28"/>
    </row>
    <row r="325" spans="1:45" x14ac:dyDescent="0.35">
      <c r="A325" s="24"/>
      <c r="B325" s="21"/>
      <c r="C325" s="21"/>
      <c r="D325" s="21"/>
      <c r="E325" s="21"/>
      <c r="F325" s="21"/>
      <c r="G325" s="21"/>
      <c r="H325" s="21"/>
      <c r="I325" s="21"/>
      <c r="J325" s="21"/>
      <c r="K325" s="24"/>
      <c r="L325" s="21"/>
      <c r="M325" s="25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6"/>
      <c r="AQ325" s="27"/>
      <c r="AR325" s="21"/>
      <c r="AS325" s="28"/>
    </row>
    <row r="326" spans="1:45" x14ac:dyDescent="0.35">
      <c r="A326" s="24"/>
      <c r="B326" s="21"/>
      <c r="C326" s="21"/>
      <c r="D326" s="21"/>
      <c r="E326" s="21"/>
      <c r="F326" s="21"/>
      <c r="G326" s="21"/>
      <c r="H326" s="21"/>
      <c r="I326" s="21"/>
      <c r="J326" s="21"/>
      <c r="K326" s="24"/>
      <c r="L326" s="21"/>
      <c r="M326" s="25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6"/>
      <c r="AQ326" s="27"/>
      <c r="AR326" s="21"/>
      <c r="AS326" s="28"/>
    </row>
    <row r="327" spans="1:45" x14ac:dyDescent="0.35">
      <c r="A327" s="24"/>
      <c r="B327" s="21"/>
      <c r="C327" s="21"/>
      <c r="D327" s="21"/>
      <c r="E327" s="21"/>
      <c r="F327" s="21"/>
      <c r="G327" s="21"/>
      <c r="H327" s="21"/>
      <c r="I327" s="21"/>
      <c r="J327" s="21"/>
      <c r="K327" s="24"/>
      <c r="L327" s="21"/>
      <c r="M327" s="25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6"/>
      <c r="AQ327" s="27"/>
      <c r="AR327" s="21"/>
      <c r="AS327" s="28"/>
    </row>
    <row r="328" spans="1:45" x14ac:dyDescent="0.35">
      <c r="A328" s="24"/>
      <c r="B328" s="21"/>
      <c r="C328" s="21"/>
      <c r="D328" s="21"/>
      <c r="E328" s="21"/>
      <c r="F328" s="21"/>
      <c r="G328" s="21"/>
      <c r="H328" s="21"/>
      <c r="I328" s="21"/>
      <c r="J328" s="21"/>
      <c r="K328" s="24"/>
      <c r="L328" s="21"/>
      <c r="M328" s="25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6"/>
      <c r="AQ328" s="27"/>
      <c r="AR328" s="21"/>
      <c r="AS328" s="28"/>
    </row>
    <row r="329" spans="1:45" x14ac:dyDescent="0.35">
      <c r="A329" s="24"/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5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6"/>
      <c r="AQ329" s="27"/>
      <c r="AR329" s="21"/>
      <c r="AS329" s="28"/>
    </row>
    <row r="330" spans="1:45" x14ac:dyDescent="0.35">
      <c r="A330" s="29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30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  <c r="AO330" s="21"/>
      <c r="AP330" s="26"/>
      <c r="AQ330" s="27"/>
      <c r="AR330" s="21"/>
      <c r="AS330" s="28"/>
    </row>
    <row r="331" spans="1:45" x14ac:dyDescent="0.35">
      <c r="A331" s="24"/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5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6"/>
      <c r="AQ331" s="27"/>
      <c r="AR331" s="21"/>
      <c r="AS331" s="28"/>
    </row>
    <row r="332" spans="1:45" x14ac:dyDescent="0.35">
      <c r="A332" s="29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30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  <c r="AO332" s="21"/>
      <c r="AP332" s="26"/>
      <c r="AQ332" s="27"/>
      <c r="AR332" s="21"/>
      <c r="AS332" s="28"/>
    </row>
    <row r="333" spans="1:45" x14ac:dyDescent="0.35">
      <c r="A333" s="24"/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5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6"/>
      <c r="AQ333" s="27"/>
      <c r="AR333" s="21"/>
      <c r="AS333" s="28"/>
    </row>
    <row r="334" spans="1:45" x14ac:dyDescent="0.35">
      <c r="A334" s="24"/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5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6"/>
      <c r="AQ334" s="27"/>
      <c r="AR334" s="21"/>
      <c r="AS334" s="28"/>
    </row>
    <row r="335" spans="1:45" x14ac:dyDescent="0.35">
      <c r="A335" s="29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30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  <c r="AO335" s="21"/>
      <c r="AP335" s="26"/>
      <c r="AQ335" s="27"/>
      <c r="AR335" s="21"/>
      <c r="AS335" s="28"/>
    </row>
    <row r="336" spans="1:45" x14ac:dyDescent="0.35">
      <c r="A336" s="24"/>
      <c r="B336" s="21"/>
      <c r="C336" s="21"/>
      <c r="D336" s="21"/>
      <c r="E336" s="21"/>
      <c r="F336" s="21"/>
      <c r="G336" s="21"/>
      <c r="H336" s="21"/>
      <c r="I336" s="21"/>
      <c r="J336" s="21"/>
      <c r="K336" s="24"/>
      <c r="L336" s="21"/>
      <c r="M336" s="25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6"/>
      <c r="AQ336" s="27"/>
      <c r="AR336" s="21"/>
      <c r="AS336" s="28"/>
    </row>
    <row r="337" spans="1:45" x14ac:dyDescent="0.35">
      <c r="A337" s="24"/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5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6"/>
      <c r="AQ337" s="27"/>
      <c r="AR337" s="21"/>
      <c r="AS337" s="28"/>
    </row>
    <row r="338" spans="1:45" x14ac:dyDescent="0.35">
      <c r="A338" s="24"/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5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6"/>
      <c r="AQ338" s="27"/>
      <c r="AR338" s="21"/>
      <c r="AS338" s="28"/>
    </row>
    <row r="339" spans="1:45" x14ac:dyDescent="0.35">
      <c r="A339" s="24"/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5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6"/>
      <c r="AQ339" s="27"/>
      <c r="AR339" s="21"/>
      <c r="AS339" s="28"/>
    </row>
    <row r="340" spans="1:45" x14ac:dyDescent="0.35">
      <c r="A340" s="24"/>
      <c r="B340" s="21"/>
      <c r="C340" s="21"/>
      <c r="D340" s="21"/>
      <c r="E340" s="21"/>
      <c r="F340" s="21"/>
      <c r="G340" s="21"/>
      <c r="H340" s="21"/>
      <c r="I340" s="21"/>
      <c r="J340" s="21"/>
      <c r="K340" s="24"/>
      <c r="L340" s="21"/>
      <c r="M340" s="25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6"/>
      <c r="AQ340" s="27"/>
      <c r="AR340" s="21"/>
      <c r="AS340" s="28"/>
    </row>
    <row r="341" spans="1:45" x14ac:dyDescent="0.35">
      <c r="A341" s="24"/>
      <c r="B341" s="21"/>
      <c r="C341" s="21"/>
      <c r="D341" s="21"/>
      <c r="E341" s="21"/>
      <c r="F341" s="21"/>
      <c r="G341" s="21"/>
      <c r="H341" s="21"/>
      <c r="I341" s="21"/>
      <c r="J341" s="21"/>
      <c r="K341" s="24"/>
      <c r="L341" s="21"/>
      <c r="M341" s="25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6"/>
      <c r="AQ341" s="27"/>
      <c r="AR341" s="21"/>
      <c r="AS341" s="28"/>
    </row>
    <row r="342" spans="1:45" x14ac:dyDescent="0.35">
      <c r="A342" s="24"/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5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6"/>
      <c r="AQ342" s="27"/>
      <c r="AR342" s="21"/>
      <c r="AS342" s="28"/>
    </row>
    <row r="343" spans="1:45" x14ac:dyDescent="0.35">
      <c r="A343" s="24"/>
      <c r="B343" s="21"/>
      <c r="C343" s="21"/>
      <c r="D343" s="21"/>
      <c r="E343" s="21"/>
      <c r="F343" s="21"/>
      <c r="G343" s="21"/>
      <c r="H343" s="21"/>
      <c r="I343" s="21"/>
      <c r="J343" s="21"/>
      <c r="K343" s="24"/>
      <c r="L343" s="21"/>
      <c r="M343" s="25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6"/>
      <c r="AQ343" s="27"/>
      <c r="AR343" s="21"/>
      <c r="AS343" s="28"/>
    </row>
    <row r="344" spans="1:45" x14ac:dyDescent="0.35">
      <c r="A344" s="24"/>
      <c r="B344" s="21"/>
      <c r="C344" s="21"/>
      <c r="D344" s="21"/>
      <c r="E344" s="21"/>
      <c r="F344" s="21"/>
      <c r="G344" s="21"/>
      <c r="H344" s="21"/>
      <c r="I344" s="21"/>
      <c r="J344" s="21"/>
      <c r="K344" s="24"/>
      <c r="L344" s="21"/>
      <c r="M344" s="25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6"/>
      <c r="AQ344" s="27"/>
      <c r="AR344" s="21"/>
      <c r="AS344" s="28"/>
    </row>
    <row r="345" spans="1:45" x14ac:dyDescent="0.35">
      <c r="A345" s="24"/>
      <c r="B345" s="21"/>
      <c r="C345" s="21"/>
      <c r="D345" s="21"/>
      <c r="E345" s="21"/>
      <c r="F345" s="21"/>
      <c r="G345" s="21"/>
      <c r="H345" s="21"/>
      <c r="I345" s="21"/>
      <c r="J345" s="21"/>
      <c r="K345" s="24"/>
      <c r="L345" s="21"/>
      <c r="M345" s="25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6"/>
      <c r="AQ345" s="27"/>
      <c r="AR345" s="21"/>
      <c r="AS345" s="28"/>
    </row>
    <row r="346" spans="1:45" x14ac:dyDescent="0.35">
      <c r="A346" s="24"/>
      <c r="B346" s="21"/>
      <c r="C346" s="21"/>
      <c r="D346" s="21"/>
      <c r="E346" s="21"/>
      <c r="F346" s="21"/>
      <c r="G346" s="21"/>
      <c r="H346" s="21"/>
      <c r="I346" s="21"/>
      <c r="J346" s="21"/>
      <c r="K346" s="24"/>
      <c r="L346" s="21"/>
      <c r="M346" s="25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6"/>
      <c r="AQ346" s="27"/>
      <c r="AR346" s="21"/>
      <c r="AS346" s="28"/>
    </row>
    <row r="347" spans="1:45" x14ac:dyDescent="0.35">
      <c r="A347" s="29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30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  <c r="AO347" s="21"/>
      <c r="AP347" s="26"/>
      <c r="AQ347" s="27"/>
      <c r="AR347" s="21"/>
      <c r="AS347" s="28"/>
    </row>
    <row r="348" spans="1:45" x14ac:dyDescent="0.35">
      <c r="A348" s="29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30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  <c r="AO348" s="21"/>
      <c r="AP348" s="26"/>
      <c r="AQ348" s="27"/>
      <c r="AR348" s="21"/>
      <c r="AS348" s="28"/>
    </row>
    <row r="349" spans="1:45" x14ac:dyDescent="0.35">
      <c r="A349" s="24"/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5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6"/>
      <c r="AQ349" s="27"/>
      <c r="AR349" s="21"/>
      <c r="AS349" s="28"/>
    </row>
    <row r="350" spans="1:45" x14ac:dyDescent="0.35">
      <c r="A350" s="24"/>
      <c r="B350" s="21"/>
      <c r="C350" s="21"/>
      <c r="D350" s="21"/>
      <c r="E350" s="21"/>
      <c r="F350" s="21"/>
      <c r="G350" s="21"/>
      <c r="H350" s="21"/>
      <c r="I350" s="21"/>
      <c r="J350" s="21"/>
      <c r="K350" s="24"/>
      <c r="L350" s="21"/>
      <c r="M350" s="25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6"/>
      <c r="AQ350" s="27"/>
      <c r="AR350" s="21"/>
      <c r="AS350" s="28"/>
    </row>
    <row r="351" spans="1:45" x14ac:dyDescent="0.35">
      <c r="A351" s="24"/>
      <c r="B351" s="21"/>
      <c r="C351" s="21"/>
      <c r="D351" s="21"/>
      <c r="E351" s="21"/>
      <c r="F351" s="21"/>
      <c r="G351" s="21"/>
      <c r="H351" s="21"/>
      <c r="I351" s="21"/>
      <c r="J351" s="21"/>
      <c r="K351" s="24"/>
      <c r="L351" s="21"/>
      <c r="M351" s="25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6"/>
      <c r="AQ351" s="27"/>
      <c r="AR351" s="21"/>
      <c r="AS351" s="28"/>
    </row>
    <row r="352" spans="1:45" x14ac:dyDescent="0.35">
      <c r="A352" s="24"/>
      <c r="B352" s="21"/>
      <c r="C352" s="21"/>
      <c r="D352" s="21"/>
      <c r="E352" s="21"/>
      <c r="F352" s="21"/>
      <c r="G352" s="21"/>
      <c r="H352" s="21"/>
      <c r="I352" s="21"/>
      <c r="J352" s="21"/>
      <c r="K352" s="24"/>
      <c r="L352" s="21"/>
      <c r="M352" s="25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6"/>
      <c r="AQ352" s="27"/>
      <c r="AR352" s="21"/>
      <c r="AS352" s="28"/>
    </row>
    <row r="353" spans="1:45" x14ac:dyDescent="0.35">
      <c r="A353" s="24"/>
      <c r="B353" s="21"/>
      <c r="C353" s="21"/>
      <c r="D353" s="21"/>
      <c r="E353" s="21"/>
      <c r="F353" s="21"/>
      <c r="G353" s="21"/>
      <c r="H353" s="21"/>
      <c r="I353" s="21"/>
      <c r="J353" s="21"/>
      <c r="K353" s="24"/>
      <c r="L353" s="21"/>
      <c r="M353" s="25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6"/>
      <c r="AQ353" s="27"/>
      <c r="AR353" s="21"/>
      <c r="AS353" s="28"/>
    </row>
    <row r="354" spans="1:45" x14ac:dyDescent="0.35">
      <c r="A354" s="24"/>
      <c r="B354" s="21"/>
      <c r="C354" s="21"/>
      <c r="D354" s="21"/>
      <c r="E354" s="21"/>
      <c r="F354" s="21"/>
      <c r="G354" s="21"/>
      <c r="H354" s="21"/>
      <c r="I354" s="21"/>
      <c r="J354" s="21"/>
      <c r="K354" s="24"/>
      <c r="L354" s="21"/>
      <c r="M354" s="25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6"/>
      <c r="AQ354" s="27"/>
      <c r="AR354" s="21"/>
      <c r="AS354" s="28"/>
    </row>
    <row r="355" spans="1:45" x14ac:dyDescent="0.35">
      <c r="A355" s="24"/>
      <c r="B355" s="21"/>
      <c r="C355" s="21"/>
      <c r="D355" s="21"/>
      <c r="E355" s="21"/>
      <c r="F355" s="21"/>
      <c r="G355" s="21"/>
      <c r="H355" s="21"/>
      <c r="I355" s="21"/>
      <c r="J355" s="21"/>
      <c r="K355" s="24"/>
      <c r="L355" s="21"/>
      <c r="M355" s="25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6"/>
      <c r="AQ355" s="27"/>
      <c r="AR355" s="21"/>
      <c r="AS355" s="28"/>
    </row>
    <row r="356" spans="1:45" x14ac:dyDescent="0.35">
      <c r="A356" s="29"/>
      <c r="B356" s="22"/>
      <c r="C356" s="22"/>
      <c r="D356" s="22"/>
      <c r="E356" s="22"/>
      <c r="F356" s="22"/>
      <c r="G356" s="22"/>
      <c r="H356" s="22"/>
      <c r="I356" s="22"/>
      <c r="J356" s="22"/>
      <c r="K356" s="29"/>
      <c r="L356" s="22"/>
      <c r="M356" s="30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  <c r="AO356" s="21"/>
      <c r="AP356" s="26"/>
      <c r="AQ356" s="27"/>
      <c r="AR356" s="21"/>
      <c r="AS356" s="28"/>
    </row>
    <row r="357" spans="1:45" x14ac:dyDescent="0.35">
      <c r="A357" s="24"/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5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6"/>
      <c r="AQ357" s="27"/>
      <c r="AR357" s="21"/>
      <c r="AS357" s="28"/>
    </row>
    <row r="358" spans="1:45" x14ac:dyDescent="0.35">
      <c r="A358" s="24"/>
      <c r="B358" s="21"/>
      <c r="C358" s="21"/>
      <c r="D358" s="21"/>
      <c r="E358" s="21"/>
      <c r="F358" s="21"/>
      <c r="G358" s="21"/>
      <c r="H358" s="21"/>
      <c r="I358" s="21"/>
      <c r="J358" s="21"/>
      <c r="K358" s="24"/>
      <c r="L358" s="21"/>
      <c r="M358" s="25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6"/>
      <c r="AQ358" s="27"/>
      <c r="AR358" s="21"/>
      <c r="AS358" s="28"/>
    </row>
    <row r="359" spans="1:45" x14ac:dyDescent="0.35">
      <c r="A359" s="24"/>
      <c r="B359" s="21"/>
      <c r="C359" s="21"/>
      <c r="D359" s="21"/>
      <c r="E359" s="21"/>
      <c r="F359" s="21"/>
      <c r="G359" s="21"/>
      <c r="H359" s="21"/>
      <c r="I359" s="21"/>
      <c r="J359" s="21"/>
      <c r="K359" s="24"/>
      <c r="L359" s="21"/>
      <c r="M359" s="25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6"/>
      <c r="AQ359" s="27"/>
      <c r="AR359" s="21"/>
      <c r="AS359" s="28"/>
    </row>
    <row r="360" spans="1:45" x14ac:dyDescent="0.35">
      <c r="A360" s="24"/>
      <c r="B360" s="21"/>
      <c r="C360" s="21"/>
      <c r="D360" s="21"/>
      <c r="E360" s="21"/>
      <c r="F360" s="21"/>
      <c r="G360" s="21"/>
      <c r="H360" s="21"/>
      <c r="I360" s="21"/>
      <c r="J360" s="21"/>
      <c r="K360" s="24"/>
      <c r="L360" s="21"/>
      <c r="M360" s="25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6"/>
      <c r="AQ360" s="27"/>
      <c r="AR360" s="21"/>
      <c r="AS360" s="28"/>
    </row>
    <row r="361" spans="1:45" x14ac:dyDescent="0.35">
      <c r="A361" s="24"/>
      <c r="B361" s="21"/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5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6"/>
      <c r="AQ361" s="27"/>
      <c r="AR361" s="21"/>
      <c r="AS361" s="28"/>
    </row>
    <row r="362" spans="1:45" x14ac:dyDescent="0.35">
      <c r="A362" s="29"/>
      <c r="B362" s="22"/>
      <c r="C362" s="22"/>
      <c r="D362" s="22"/>
      <c r="E362" s="22"/>
      <c r="F362" s="22"/>
      <c r="G362" s="22"/>
      <c r="H362" s="22"/>
      <c r="I362" s="22"/>
      <c r="J362" s="22"/>
      <c r="K362" s="29"/>
      <c r="L362" s="22"/>
      <c r="M362" s="30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  <c r="AO362" s="21"/>
      <c r="AP362" s="26"/>
      <c r="AQ362" s="27"/>
      <c r="AR362" s="21"/>
      <c r="AS362" s="28"/>
    </row>
    <row r="363" spans="1:45" x14ac:dyDescent="0.35">
      <c r="A363" s="24"/>
      <c r="B363" s="21"/>
      <c r="C363" s="21"/>
      <c r="D363" s="21"/>
      <c r="E363" s="21"/>
      <c r="F363" s="21"/>
      <c r="G363" s="21"/>
      <c r="H363" s="21"/>
      <c r="I363" s="21"/>
      <c r="J363" s="21"/>
      <c r="K363" s="24"/>
      <c r="L363" s="21"/>
      <c r="M363" s="25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6"/>
      <c r="AQ363" s="27"/>
      <c r="AR363" s="21"/>
      <c r="AS363" s="28"/>
    </row>
    <row r="364" spans="1:45" x14ac:dyDescent="0.35">
      <c r="A364" s="24"/>
      <c r="B364" s="21"/>
      <c r="C364" s="21"/>
      <c r="D364" s="21"/>
      <c r="E364" s="21"/>
      <c r="F364" s="21"/>
      <c r="G364" s="21"/>
      <c r="H364" s="21"/>
      <c r="I364" s="21"/>
      <c r="J364" s="21"/>
      <c r="K364" s="24"/>
      <c r="L364" s="21"/>
      <c r="M364" s="25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6"/>
      <c r="AQ364" s="27"/>
      <c r="AR364" s="21"/>
      <c r="AS364" s="28"/>
    </row>
    <row r="365" spans="1:45" x14ac:dyDescent="0.35">
      <c r="A365" s="29"/>
      <c r="B365" s="22"/>
      <c r="C365" s="22"/>
      <c r="D365" s="22"/>
      <c r="E365" s="22"/>
      <c r="F365" s="22"/>
      <c r="G365" s="22"/>
      <c r="H365" s="22"/>
      <c r="I365" s="22"/>
      <c r="J365" s="22"/>
      <c r="K365" s="29"/>
      <c r="L365" s="22"/>
      <c r="M365" s="30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1"/>
      <c r="AP365" s="26"/>
      <c r="AQ365" s="27"/>
      <c r="AR365" s="21"/>
      <c r="AS365" s="28"/>
    </row>
    <row r="366" spans="1:45" x14ac:dyDescent="0.35">
      <c r="A366" s="29"/>
      <c r="B366" s="22"/>
      <c r="C366" s="22"/>
      <c r="D366" s="22"/>
      <c r="E366" s="22"/>
      <c r="F366" s="22"/>
      <c r="G366" s="22"/>
      <c r="H366" s="22"/>
      <c r="I366" s="22"/>
      <c r="J366" s="22"/>
      <c r="K366" s="29"/>
      <c r="L366" s="22"/>
      <c r="M366" s="30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1"/>
      <c r="AP366" s="26"/>
      <c r="AQ366" s="27"/>
      <c r="AR366" s="21"/>
      <c r="AS366" s="28"/>
    </row>
    <row r="367" spans="1:45" x14ac:dyDescent="0.35">
      <c r="A367" s="29"/>
      <c r="B367" s="22"/>
      <c r="C367" s="22"/>
      <c r="D367" s="22"/>
      <c r="E367" s="22"/>
      <c r="F367" s="22"/>
      <c r="G367" s="22"/>
      <c r="H367" s="22"/>
      <c r="I367" s="22"/>
      <c r="J367" s="22"/>
      <c r="K367" s="29"/>
      <c r="L367" s="22"/>
      <c r="M367" s="30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1"/>
      <c r="AP367" s="26"/>
      <c r="AQ367" s="27"/>
      <c r="AR367" s="21"/>
      <c r="AS367" s="28"/>
    </row>
    <row r="368" spans="1:45" x14ac:dyDescent="0.35">
      <c r="A368" s="29"/>
      <c r="B368" s="22"/>
      <c r="C368" s="22"/>
      <c r="D368" s="22"/>
      <c r="E368" s="22"/>
      <c r="F368" s="22"/>
      <c r="G368" s="22"/>
      <c r="H368" s="22"/>
      <c r="I368" s="22"/>
      <c r="J368" s="22"/>
      <c r="K368" s="29"/>
      <c r="L368" s="22"/>
      <c r="M368" s="30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1"/>
      <c r="AP368" s="26"/>
      <c r="AQ368" s="27"/>
      <c r="AR368" s="21"/>
      <c r="AS368" s="28"/>
    </row>
    <row r="369" spans="1:45" x14ac:dyDescent="0.35">
      <c r="A369" s="29"/>
      <c r="B369" s="22"/>
      <c r="C369" s="22"/>
      <c r="D369" s="22"/>
      <c r="E369" s="22"/>
      <c r="F369" s="22"/>
      <c r="G369" s="22"/>
      <c r="H369" s="22"/>
      <c r="I369" s="22"/>
      <c r="J369" s="22"/>
      <c r="K369" s="29"/>
      <c r="L369" s="22"/>
      <c r="M369" s="30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1"/>
      <c r="AP369" s="26"/>
      <c r="AQ369" s="27"/>
      <c r="AR369" s="21"/>
      <c r="AS369" s="28"/>
    </row>
    <row r="370" spans="1:45" x14ac:dyDescent="0.35">
      <c r="A370" s="29"/>
      <c r="B370" s="22"/>
      <c r="C370" s="22"/>
      <c r="D370" s="22"/>
      <c r="E370" s="22"/>
      <c r="F370" s="22"/>
      <c r="G370" s="22"/>
      <c r="H370" s="22"/>
      <c r="I370" s="22"/>
      <c r="J370" s="22"/>
      <c r="K370" s="29"/>
      <c r="L370" s="22"/>
      <c r="M370" s="30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1"/>
      <c r="AP370" s="26"/>
      <c r="AQ370" s="27"/>
      <c r="AR370" s="21"/>
      <c r="AS370" s="28"/>
    </row>
    <row r="371" spans="1:45" x14ac:dyDescent="0.35">
      <c r="A371" s="29"/>
      <c r="B371" s="22"/>
      <c r="C371" s="22"/>
      <c r="D371" s="22"/>
      <c r="E371" s="22"/>
      <c r="F371" s="22"/>
      <c r="G371" s="22"/>
      <c r="H371" s="22"/>
      <c r="I371" s="22"/>
      <c r="J371" s="22"/>
      <c r="K371" s="29"/>
      <c r="L371" s="22"/>
      <c r="M371" s="30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1"/>
      <c r="AP371" s="26"/>
      <c r="AQ371" s="27"/>
      <c r="AR371" s="21"/>
      <c r="AS371" s="28"/>
    </row>
    <row r="372" spans="1:45" x14ac:dyDescent="0.35">
      <c r="A372" s="29"/>
      <c r="B372" s="22"/>
      <c r="C372" s="22"/>
      <c r="D372" s="22"/>
      <c r="E372" s="22"/>
      <c r="F372" s="22"/>
      <c r="G372" s="22"/>
      <c r="H372" s="22"/>
      <c r="I372" s="22"/>
      <c r="J372" s="22"/>
      <c r="K372" s="29"/>
      <c r="L372" s="22"/>
      <c r="M372" s="30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1"/>
      <c r="AP372" s="26"/>
      <c r="AQ372" s="27"/>
      <c r="AR372" s="21"/>
      <c r="AS372" s="28"/>
    </row>
    <row r="373" spans="1:45" x14ac:dyDescent="0.35">
      <c r="A373" s="29"/>
      <c r="B373" s="22"/>
      <c r="C373" s="22"/>
      <c r="D373" s="22"/>
      <c r="E373" s="22"/>
      <c r="F373" s="22"/>
      <c r="G373" s="22"/>
      <c r="H373" s="22"/>
      <c r="I373" s="22"/>
      <c r="J373" s="22"/>
      <c r="K373" s="29"/>
      <c r="L373" s="22"/>
      <c r="M373" s="30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1"/>
      <c r="AP373" s="26"/>
      <c r="AQ373" s="27"/>
      <c r="AR373" s="21"/>
      <c r="AS373" s="28"/>
    </row>
    <row r="374" spans="1:45" x14ac:dyDescent="0.35">
      <c r="A374" s="29"/>
      <c r="B374" s="22"/>
      <c r="C374" s="22"/>
      <c r="D374" s="22"/>
      <c r="E374" s="22"/>
      <c r="F374" s="22"/>
      <c r="G374" s="22"/>
      <c r="H374" s="22"/>
      <c r="I374" s="22"/>
      <c r="J374" s="22"/>
      <c r="K374" s="29"/>
      <c r="L374" s="22"/>
      <c r="M374" s="30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1"/>
      <c r="AP374" s="26"/>
      <c r="AQ374" s="27"/>
      <c r="AR374" s="21"/>
      <c r="AS374" s="28"/>
    </row>
    <row r="375" spans="1:45" x14ac:dyDescent="0.35">
      <c r="A375" s="29"/>
      <c r="B375" s="22"/>
      <c r="C375" s="22"/>
      <c r="D375" s="22"/>
      <c r="E375" s="22"/>
      <c r="F375" s="22"/>
      <c r="G375" s="22"/>
      <c r="H375" s="22"/>
      <c r="I375" s="22"/>
      <c r="J375" s="22"/>
      <c r="K375" s="29"/>
      <c r="L375" s="22"/>
      <c r="M375" s="30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1"/>
      <c r="AP375" s="26"/>
      <c r="AQ375" s="27"/>
      <c r="AR375" s="21"/>
      <c r="AS375" s="28"/>
    </row>
    <row r="376" spans="1:45" x14ac:dyDescent="0.35">
      <c r="A376" s="29"/>
      <c r="B376" s="22"/>
      <c r="C376" s="22"/>
      <c r="D376" s="22"/>
      <c r="E376" s="22"/>
      <c r="F376" s="22"/>
      <c r="G376" s="22"/>
      <c r="H376" s="22"/>
      <c r="I376" s="22"/>
      <c r="J376" s="22"/>
      <c r="K376" s="29"/>
      <c r="L376" s="22"/>
      <c r="M376" s="30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1"/>
      <c r="AP376" s="26"/>
      <c r="AQ376" s="27"/>
      <c r="AR376" s="21"/>
      <c r="AS376" s="28"/>
    </row>
    <row r="377" spans="1:45" x14ac:dyDescent="0.35">
      <c r="A377" s="29"/>
      <c r="B377" s="22"/>
      <c r="C377" s="22"/>
      <c r="D377" s="22"/>
      <c r="E377" s="22"/>
      <c r="F377" s="22"/>
      <c r="G377" s="22"/>
      <c r="H377" s="22"/>
      <c r="I377" s="22"/>
      <c r="J377" s="22"/>
      <c r="K377" s="29"/>
      <c r="L377" s="22"/>
      <c r="M377" s="30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1"/>
      <c r="AP377" s="26"/>
      <c r="AQ377" s="27"/>
      <c r="AR377" s="21"/>
      <c r="AS377" s="28"/>
    </row>
    <row r="378" spans="1:45" x14ac:dyDescent="0.35">
      <c r="A378" s="29"/>
      <c r="B378" s="22"/>
      <c r="C378" s="22"/>
      <c r="D378" s="22"/>
      <c r="E378" s="22"/>
      <c r="F378" s="22"/>
      <c r="G378" s="22"/>
      <c r="H378" s="22"/>
      <c r="I378" s="22"/>
      <c r="J378" s="22"/>
      <c r="K378" s="29"/>
      <c r="L378" s="22"/>
      <c r="M378" s="30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1"/>
      <c r="AP378" s="26"/>
      <c r="AQ378" s="27"/>
      <c r="AR378" s="21"/>
      <c r="AS378" s="28"/>
    </row>
    <row r="379" spans="1:45" x14ac:dyDescent="0.35">
      <c r="A379" s="29"/>
      <c r="B379" s="22"/>
      <c r="C379" s="22"/>
      <c r="D379" s="22"/>
      <c r="E379" s="22"/>
      <c r="F379" s="22"/>
      <c r="G379" s="22"/>
      <c r="H379" s="22"/>
      <c r="I379" s="22"/>
      <c r="J379" s="22"/>
      <c r="K379" s="29"/>
      <c r="L379" s="22"/>
      <c r="M379" s="30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1"/>
      <c r="AP379" s="26"/>
      <c r="AQ379" s="27"/>
      <c r="AR379" s="21"/>
      <c r="AS379" s="28"/>
    </row>
    <row r="380" spans="1:45" x14ac:dyDescent="0.35">
      <c r="A380" s="29"/>
      <c r="B380" s="22"/>
      <c r="C380" s="22"/>
      <c r="D380" s="22"/>
      <c r="E380" s="22"/>
      <c r="F380" s="22"/>
      <c r="G380" s="22"/>
      <c r="H380" s="22"/>
      <c r="I380" s="22"/>
      <c r="J380" s="22"/>
      <c r="K380" s="29"/>
      <c r="L380" s="22"/>
      <c r="M380" s="30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1"/>
      <c r="AP380" s="26"/>
      <c r="AQ380" s="27"/>
      <c r="AR380" s="21"/>
      <c r="AS380" s="28"/>
    </row>
    <row r="381" spans="1:45" x14ac:dyDescent="0.35">
      <c r="A381" s="29"/>
      <c r="B381" s="22"/>
      <c r="C381" s="22"/>
      <c r="D381" s="22"/>
      <c r="E381" s="22"/>
      <c r="F381" s="22"/>
      <c r="G381" s="22"/>
      <c r="H381" s="22"/>
      <c r="I381" s="22"/>
      <c r="J381" s="22"/>
      <c r="K381" s="29"/>
      <c r="L381" s="22"/>
      <c r="M381" s="30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1"/>
      <c r="AP381" s="26"/>
      <c r="AQ381" s="27"/>
      <c r="AR381" s="21"/>
      <c r="AS381" s="28"/>
    </row>
    <row r="382" spans="1:45" x14ac:dyDescent="0.35">
      <c r="A382" s="29"/>
      <c r="B382" s="22"/>
      <c r="C382" s="22"/>
      <c r="D382" s="22"/>
      <c r="E382" s="22"/>
      <c r="F382" s="22"/>
      <c r="G382" s="22"/>
      <c r="H382" s="22"/>
      <c r="I382" s="22"/>
      <c r="J382" s="22"/>
      <c r="K382" s="29"/>
      <c r="L382" s="22"/>
      <c r="M382" s="30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1"/>
      <c r="AP382" s="26"/>
      <c r="AQ382" s="27"/>
      <c r="AR382" s="21"/>
      <c r="AS382" s="28"/>
    </row>
    <row r="383" spans="1:45" x14ac:dyDescent="0.35">
      <c r="A383" s="29"/>
      <c r="B383" s="22"/>
      <c r="C383" s="22"/>
      <c r="D383" s="22"/>
      <c r="E383" s="22"/>
      <c r="F383" s="22"/>
      <c r="G383" s="22"/>
      <c r="H383" s="22"/>
      <c r="I383" s="22"/>
      <c r="J383" s="22"/>
      <c r="K383" s="29"/>
      <c r="L383" s="22"/>
      <c r="M383" s="30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1"/>
      <c r="AP383" s="26"/>
      <c r="AQ383" s="27"/>
      <c r="AR383" s="21"/>
      <c r="AS383" s="28"/>
    </row>
    <row r="384" spans="1:45" x14ac:dyDescent="0.35">
      <c r="A384" s="29"/>
      <c r="B384" s="22"/>
      <c r="C384" s="22"/>
      <c r="D384" s="22"/>
      <c r="E384" s="22"/>
      <c r="F384" s="22"/>
      <c r="G384" s="22"/>
      <c r="H384" s="22"/>
      <c r="I384" s="22"/>
      <c r="J384" s="22"/>
      <c r="K384" s="29"/>
      <c r="L384" s="22"/>
      <c r="M384" s="30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1"/>
      <c r="AP384" s="26"/>
      <c r="AQ384" s="27"/>
      <c r="AR384" s="21"/>
      <c r="AS384" s="28"/>
    </row>
    <row r="385" spans="1:45" x14ac:dyDescent="0.35">
      <c r="A385" s="29"/>
      <c r="B385" s="22"/>
      <c r="C385" s="22"/>
      <c r="D385" s="22"/>
      <c r="E385" s="22"/>
      <c r="F385" s="22"/>
      <c r="G385" s="22"/>
      <c r="H385" s="22"/>
      <c r="I385" s="22"/>
      <c r="J385" s="22"/>
      <c r="K385" s="29"/>
      <c r="L385" s="22"/>
      <c r="M385" s="30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1"/>
      <c r="AP385" s="26"/>
      <c r="AQ385" s="27"/>
      <c r="AR385" s="21"/>
      <c r="AS385" s="28"/>
    </row>
    <row r="386" spans="1:45" x14ac:dyDescent="0.35">
      <c r="A386" s="29"/>
      <c r="B386" s="22"/>
      <c r="C386" s="22"/>
      <c r="D386" s="22"/>
      <c r="E386" s="22"/>
      <c r="F386" s="22"/>
      <c r="G386" s="22"/>
      <c r="H386" s="22"/>
      <c r="I386" s="22"/>
      <c r="J386" s="22"/>
      <c r="K386" s="29"/>
      <c r="L386" s="22"/>
      <c r="M386" s="30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1"/>
      <c r="AP386" s="26"/>
      <c r="AQ386" s="27"/>
      <c r="AR386" s="21"/>
      <c r="AS386" s="28"/>
    </row>
    <row r="387" spans="1:45" x14ac:dyDescent="0.35">
      <c r="A387" s="29"/>
      <c r="B387" s="22"/>
      <c r="C387" s="22"/>
      <c r="D387" s="22"/>
      <c r="E387" s="22"/>
      <c r="F387" s="22"/>
      <c r="G387" s="22"/>
      <c r="H387" s="22"/>
      <c r="I387" s="22"/>
      <c r="J387" s="22"/>
      <c r="K387" s="29"/>
      <c r="L387" s="22"/>
      <c r="M387" s="30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1"/>
      <c r="AP387" s="26"/>
      <c r="AQ387" s="27"/>
      <c r="AR387" s="21"/>
      <c r="AS387" s="28"/>
    </row>
    <row r="388" spans="1:45" x14ac:dyDescent="0.35">
      <c r="A388" s="29"/>
      <c r="B388" s="22"/>
      <c r="C388" s="22"/>
      <c r="D388" s="22"/>
      <c r="E388" s="22"/>
      <c r="F388" s="22"/>
      <c r="G388" s="22"/>
      <c r="H388" s="22"/>
      <c r="I388" s="22"/>
      <c r="J388" s="22"/>
      <c r="K388" s="29"/>
      <c r="L388" s="22"/>
      <c r="M388" s="30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1"/>
      <c r="AP388" s="26"/>
      <c r="AQ388" s="27"/>
      <c r="AR388" s="21"/>
      <c r="AS388" s="28"/>
    </row>
    <row r="389" spans="1:45" x14ac:dyDescent="0.35">
      <c r="A389" s="29"/>
      <c r="B389" s="22"/>
      <c r="C389" s="22"/>
      <c r="D389" s="22"/>
      <c r="E389" s="22"/>
      <c r="F389" s="22"/>
      <c r="G389" s="22"/>
      <c r="H389" s="22"/>
      <c r="I389" s="22"/>
      <c r="J389" s="22"/>
      <c r="K389" s="29"/>
      <c r="L389" s="22"/>
      <c r="M389" s="30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1"/>
      <c r="AP389" s="26"/>
      <c r="AQ389" s="27"/>
      <c r="AR389" s="21"/>
      <c r="AS389" s="28"/>
    </row>
    <row r="390" spans="1:45" x14ac:dyDescent="0.35">
      <c r="A390" s="29"/>
      <c r="B390" s="22"/>
      <c r="C390" s="22"/>
      <c r="D390" s="22"/>
      <c r="E390" s="22"/>
      <c r="F390" s="22"/>
      <c r="G390" s="22"/>
      <c r="H390" s="22"/>
      <c r="I390" s="22"/>
      <c r="J390" s="22"/>
      <c r="K390" s="29"/>
      <c r="L390" s="22"/>
      <c r="M390" s="30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1"/>
      <c r="AP390" s="26"/>
      <c r="AQ390" s="27"/>
      <c r="AR390" s="21"/>
      <c r="AS390" s="28"/>
    </row>
    <row r="391" spans="1:45" x14ac:dyDescent="0.35">
      <c r="A391" s="29"/>
      <c r="B391" s="22"/>
      <c r="C391" s="22"/>
      <c r="D391" s="22"/>
      <c r="E391" s="22"/>
      <c r="F391" s="22"/>
      <c r="G391" s="22"/>
      <c r="H391" s="22"/>
      <c r="I391" s="22"/>
      <c r="J391" s="22"/>
      <c r="K391" s="29"/>
      <c r="L391" s="22"/>
      <c r="M391" s="30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1"/>
      <c r="AP391" s="26"/>
      <c r="AQ391" s="27"/>
      <c r="AR391" s="21"/>
      <c r="AS391" s="28"/>
    </row>
    <row r="392" spans="1:45" x14ac:dyDescent="0.35">
      <c r="A392" s="29"/>
      <c r="B392" s="22"/>
      <c r="C392" s="22"/>
      <c r="D392" s="22"/>
      <c r="E392" s="22"/>
      <c r="F392" s="22"/>
      <c r="G392" s="22"/>
      <c r="H392" s="22"/>
      <c r="I392" s="22"/>
      <c r="J392" s="22"/>
      <c r="K392" s="29"/>
      <c r="L392" s="22"/>
      <c r="M392" s="30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1"/>
      <c r="AP392" s="26"/>
      <c r="AQ392" s="27"/>
      <c r="AR392" s="21"/>
      <c r="AS392" s="28"/>
    </row>
    <row r="393" spans="1:45" x14ac:dyDescent="0.35">
      <c r="A393" s="29"/>
      <c r="B393" s="22"/>
      <c r="C393" s="22"/>
      <c r="D393" s="22"/>
      <c r="E393" s="22"/>
      <c r="F393" s="22"/>
      <c r="G393" s="22"/>
      <c r="H393" s="22"/>
      <c r="I393" s="22"/>
      <c r="J393" s="22"/>
      <c r="K393" s="29"/>
      <c r="L393" s="22"/>
      <c r="M393" s="30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1"/>
      <c r="AP393" s="26"/>
      <c r="AQ393" s="27"/>
      <c r="AR393" s="21"/>
      <c r="AS393" s="28"/>
    </row>
    <row r="394" spans="1:45" x14ac:dyDescent="0.35">
      <c r="A394" s="29"/>
      <c r="B394" s="22"/>
      <c r="C394" s="22"/>
      <c r="D394" s="22"/>
      <c r="E394" s="22"/>
      <c r="F394" s="22"/>
      <c r="G394" s="22"/>
      <c r="H394" s="22"/>
      <c r="I394" s="22"/>
      <c r="J394" s="22"/>
      <c r="K394" s="29"/>
      <c r="L394" s="22"/>
      <c r="M394" s="30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1"/>
      <c r="AP394" s="26"/>
      <c r="AQ394" s="27"/>
      <c r="AR394" s="21"/>
      <c r="AS394" s="28"/>
    </row>
    <row r="395" spans="1:45" x14ac:dyDescent="0.35">
      <c r="A395" s="29"/>
      <c r="B395" s="22"/>
      <c r="C395" s="22"/>
      <c r="D395" s="22"/>
      <c r="E395" s="22"/>
      <c r="F395" s="22"/>
      <c r="G395" s="22"/>
      <c r="H395" s="22"/>
      <c r="I395" s="22"/>
      <c r="J395" s="22"/>
      <c r="K395" s="29"/>
      <c r="L395" s="22"/>
      <c r="M395" s="30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1"/>
      <c r="AP395" s="26"/>
      <c r="AQ395" s="27"/>
      <c r="AR395" s="21"/>
      <c r="AS395" s="28"/>
    </row>
    <row r="396" spans="1:45" x14ac:dyDescent="0.35">
      <c r="A396" s="29"/>
      <c r="B396" s="22"/>
      <c r="C396" s="22"/>
      <c r="D396" s="22"/>
      <c r="E396" s="22"/>
      <c r="F396" s="22"/>
      <c r="G396" s="22"/>
      <c r="H396" s="22"/>
      <c r="I396" s="22"/>
      <c r="J396" s="22"/>
      <c r="K396" s="29"/>
      <c r="L396" s="22"/>
      <c r="M396" s="30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1"/>
      <c r="AP396" s="26"/>
      <c r="AQ396" s="27"/>
      <c r="AR396" s="21"/>
      <c r="AS396" s="28"/>
    </row>
    <row r="397" spans="1:45" x14ac:dyDescent="0.35">
      <c r="A397" s="29"/>
      <c r="B397" s="22"/>
      <c r="C397" s="22"/>
      <c r="D397" s="22"/>
      <c r="E397" s="22"/>
      <c r="F397" s="22"/>
      <c r="G397" s="22"/>
      <c r="H397" s="22"/>
      <c r="I397" s="22"/>
      <c r="J397" s="22"/>
      <c r="K397" s="29"/>
      <c r="L397" s="22"/>
      <c r="M397" s="30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1"/>
      <c r="AP397" s="26"/>
      <c r="AQ397" s="27"/>
      <c r="AR397" s="21"/>
      <c r="AS397" s="28"/>
    </row>
    <row r="398" spans="1:45" x14ac:dyDescent="0.35">
      <c r="A398" s="29"/>
      <c r="B398" s="22"/>
      <c r="C398" s="22"/>
      <c r="D398" s="22"/>
      <c r="E398" s="22"/>
      <c r="F398" s="22"/>
      <c r="G398" s="22"/>
      <c r="H398" s="22"/>
      <c r="I398" s="22"/>
      <c r="J398" s="22"/>
      <c r="K398" s="29"/>
      <c r="L398" s="22"/>
      <c r="M398" s="30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1"/>
      <c r="AP398" s="26"/>
      <c r="AQ398" s="27"/>
      <c r="AR398" s="21"/>
      <c r="AS398" s="28"/>
    </row>
    <row r="399" spans="1:45" x14ac:dyDescent="0.35">
      <c r="A399" s="29"/>
      <c r="B399" s="22"/>
      <c r="C399" s="22"/>
      <c r="D399" s="22"/>
      <c r="E399" s="22"/>
      <c r="F399" s="22"/>
      <c r="G399" s="22"/>
      <c r="H399" s="22"/>
      <c r="I399" s="22"/>
      <c r="J399" s="22"/>
      <c r="K399" s="29"/>
      <c r="L399" s="22"/>
      <c r="M399" s="30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1"/>
      <c r="AP399" s="26"/>
      <c r="AQ399" s="27"/>
      <c r="AR399" s="21"/>
      <c r="AS399" s="28"/>
    </row>
    <row r="400" spans="1:45" x14ac:dyDescent="0.35">
      <c r="A400" s="29"/>
      <c r="B400" s="22"/>
      <c r="C400" s="22"/>
      <c r="D400" s="22"/>
      <c r="E400" s="22"/>
      <c r="F400" s="22"/>
      <c r="G400" s="22"/>
      <c r="H400" s="22"/>
      <c r="I400" s="22"/>
      <c r="J400" s="22"/>
      <c r="K400" s="29"/>
      <c r="L400" s="22"/>
      <c r="M400" s="30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1"/>
      <c r="AP400" s="26"/>
      <c r="AQ400" s="27"/>
      <c r="AR400" s="21"/>
      <c r="AS400" s="28"/>
    </row>
    <row r="401" spans="1:45" x14ac:dyDescent="0.35">
      <c r="A401" s="29"/>
      <c r="B401" s="22"/>
      <c r="C401" s="22"/>
      <c r="D401" s="22"/>
      <c r="E401" s="22"/>
      <c r="F401" s="22"/>
      <c r="G401" s="22"/>
      <c r="H401" s="22"/>
      <c r="I401" s="22"/>
      <c r="J401" s="22"/>
      <c r="K401" s="29"/>
      <c r="L401" s="22"/>
      <c r="M401" s="30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1"/>
      <c r="AP401" s="26"/>
      <c r="AQ401" s="27"/>
      <c r="AR401" s="21"/>
      <c r="AS401" s="28"/>
    </row>
    <row r="402" spans="1:45" x14ac:dyDescent="0.35">
      <c r="A402" s="29"/>
      <c r="B402" s="22"/>
      <c r="C402" s="22"/>
      <c r="D402" s="22"/>
      <c r="E402" s="22"/>
      <c r="F402" s="22"/>
      <c r="G402" s="22"/>
      <c r="H402" s="22"/>
      <c r="I402" s="22"/>
      <c r="J402" s="22"/>
      <c r="K402" s="29"/>
      <c r="L402" s="22"/>
      <c r="M402" s="30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1"/>
      <c r="AP402" s="26"/>
      <c r="AQ402" s="27"/>
      <c r="AR402" s="21"/>
      <c r="AS402" s="28"/>
    </row>
    <row r="403" spans="1:45" x14ac:dyDescent="0.35">
      <c r="A403" s="29"/>
      <c r="B403" s="22"/>
      <c r="C403" s="22"/>
      <c r="D403" s="22"/>
      <c r="E403" s="22"/>
      <c r="F403" s="22"/>
      <c r="G403" s="22"/>
      <c r="H403" s="22"/>
      <c r="I403" s="22"/>
      <c r="J403" s="22"/>
      <c r="K403" s="29"/>
      <c r="L403" s="22"/>
      <c r="M403" s="30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1"/>
      <c r="AP403" s="26"/>
      <c r="AQ403" s="27"/>
      <c r="AR403" s="21"/>
      <c r="AS403" s="28"/>
    </row>
    <row r="404" spans="1:45" x14ac:dyDescent="0.35">
      <c r="A404" s="29"/>
      <c r="B404" s="22"/>
      <c r="C404" s="22"/>
      <c r="D404" s="22"/>
      <c r="E404" s="22"/>
      <c r="F404" s="22"/>
      <c r="G404" s="22"/>
      <c r="H404" s="22"/>
      <c r="I404" s="22"/>
      <c r="J404" s="22"/>
      <c r="K404" s="29"/>
      <c r="L404" s="22"/>
      <c r="M404" s="30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1"/>
      <c r="AP404" s="26"/>
      <c r="AQ404" s="27"/>
      <c r="AR404" s="21"/>
      <c r="AS404" s="28"/>
    </row>
    <row r="405" spans="1:45" x14ac:dyDescent="0.35">
      <c r="A405" s="29"/>
      <c r="B405" s="22"/>
      <c r="C405" s="22"/>
      <c r="D405" s="22"/>
      <c r="E405" s="22"/>
      <c r="F405" s="22"/>
      <c r="G405" s="22"/>
      <c r="H405" s="22"/>
      <c r="I405" s="22"/>
      <c r="J405" s="22"/>
      <c r="K405" s="29"/>
      <c r="L405" s="22"/>
      <c r="M405" s="30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1"/>
      <c r="AP405" s="26"/>
      <c r="AQ405" s="27"/>
      <c r="AR405" s="21"/>
      <c r="AS405" s="28"/>
    </row>
    <row r="406" spans="1:45" x14ac:dyDescent="0.35">
      <c r="A406" s="29"/>
      <c r="B406" s="22"/>
      <c r="C406" s="22"/>
      <c r="D406" s="22"/>
      <c r="E406" s="22"/>
      <c r="F406" s="22"/>
      <c r="G406" s="22"/>
      <c r="H406" s="22"/>
      <c r="I406" s="22"/>
      <c r="J406" s="22"/>
      <c r="K406" s="29"/>
      <c r="L406" s="22"/>
      <c r="M406" s="30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1"/>
      <c r="AP406" s="26"/>
      <c r="AQ406" s="27"/>
      <c r="AR406" s="21"/>
      <c r="AS406" s="28"/>
    </row>
    <row r="407" spans="1:45" x14ac:dyDescent="0.35">
      <c r="A407" s="29"/>
      <c r="B407" s="22"/>
      <c r="C407" s="22"/>
      <c r="D407" s="22"/>
      <c r="E407" s="22"/>
      <c r="F407" s="22"/>
      <c r="G407" s="22"/>
      <c r="H407" s="22"/>
      <c r="I407" s="22"/>
      <c r="J407" s="22"/>
      <c r="K407" s="29"/>
      <c r="L407" s="22"/>
      <c r="M407" s="30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1"/>
      <c r="AP407" s="26"/>
      <c r="AQ407" s="27"/>
      <c r="AR407" s="21"/>
      <c r="AS407" s="28"/>
    </row>
    <row r="408" spans="1:45" x14ac:dyDescent="0.35">
      <c r="A408" s="29"/>
      <c r="B408" s="22"/>
      <c r="C408" s="22"/>
      <c r="D408" s="22"/>
      <c r="E408" s="22"/>
      <c r="F408" s="22"/>
      <c r="G408" s="22"/>
      <c r="H408" s="22"/>
      <c r="I408" s="22"/>
      <c r="J408" s="22"/>
      <c r="K408" s="29"/>
      <c r="L408" s="22"/>
      <c r="M408" s="30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1"/>
      <c r="AP408" s="26"/>
      <c r="AQ408" s="27"/>
      <c r="AR408" s="21"/>
      <c r="AS408" s="28"/>
    </row>
    <row r="409" spans="1:45" x14ac:dyDescent="0.35">
      <c r="A409" s="29"/>
      <c r="B409" s="22"/>
      <c r="C409" s="22"/>
      <c r="D409" s="22"/>
      <c r="E409" s="22"/>
      <c r="F409" s="22"/>
      <c r="G409" s="22"/>
      <c r="H409" s="22"/>
      <c r="I409" s="22"/>
      <c r="J409" s="22"/>
      <c r="K409" s="29"/>
      <c r="L409" s="22"/>
      <c r="M409" s="30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1"/>
      <c r="AP409" s="26"/>
      <c r="AQ409" s="27"/>
      <c r="AR409" s="21"/>
      <c r="AS409" s="28"/>
    </row>
    <row r="410" spans="1:45" x14ac:dyDescent="0.35">
      <c r="A410" s="29"/>
      <c r="B410" s="22"/>
      <c r="C410" s="22"/>
      <c r="D410" s="22"/>
      <c r="E410" s="22"/>
      <c r="F410" s="22"/>
      <c r="G410" s="22"/>
      <c r="H410" s="22"/>
      <c r="I410" s="22"/>
      <c r="J410" s="22"/>
      <c r="K410" s="29"/>
      <c r="L410" s="22"/>
      <c r="M410" s="30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1"/>
      <c r="AP410" s="26"/>
      <c r="AQ410" s="27"/>
      <c r="AR410" s="21"/>
      <c r="AS410" s="28"/>
    </row>
    <row r="411" spans="1:45" x14ac:dyDescent="0.35">
      <c r="A411" s="29"/>
      <c r="B411" s="22"/>
      <c r="C411" s="22"/>
      <c r="D411" s="22"/>
      <c r="E411" s="22"/>
      <c r="F411" s="22"/>
      <c r="G411" s="22"/>
      <c r="H411" s="22"/>
      <c r="I411" s="22"/>
      <c r="J411" s="22"/>
      <c r="K411" s="29"/>
      <c r="L411" s="22"/>
      <c r="M411" s="30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1"/>
      <c r="AP411" s="26"/>
      <c r="AQ411" s="27"/>
      <c r="AR411" s="21"/>
      <c r="AS411" s="28"/>
    </row>
    <row r="412" spans="1:45" x14ac:dyDescent="0.35">
      <c r="A412" s="29"/>
      <c r="B412" s="22"/>
      <c r="C412" s="22"/>
      <c r="D412" s="22"/>
      <c r="E412" s="22"/>
      <c r="F412" s="22"/>
      <c r="G412" s="22"/>
      <c r="H412" s="22"/>
      <c r="I412" s="22"/>
      <c r="J412" s="22"/>
      <c r="K412" s="29"/>
      <c r="L412" s="22"/>
      <c r="M412" s="30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1"/>
      <c r="AP412" s="26"/>
      <c r="AQ412" s="27"/>
      <c r="AR412" s="21"/>
      <c r="AS412" s="28"/>
    </row>
    <row r="413" spans="1:45" x14ac:dyDescent="0.35">
      <c r="A413" s="29"/>
      <c r="B413" s="22"/>
      <c r="C413" s="22"/>
      <c r="D413" s="22"/>
      <c r="E413" s="22"/>
      <c r="F413" s="22"/>
      <c r="G413" s="22"/>
      <c r="H413" s="22"/>
      <c r="I413" s="22"/>
      <c r="J413" s="22"/>
      <c r="K413" s="29"/>
      <c r="L413" s="22"/>
      <c r="M413" s="30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1"/>
      <c r="AP413" s="26"/>
      <c r="AQ413" s="27"/>
      <c r="AR413" s="21"/>
      <c r="AS413" s="28"/>
    </row>
    <row r="414" spans="1:45" x14ac:dyDescent="0.35">
      <c r="A414" s="29"/>
      <c r="B414" s="22"/>
      <c r="C414" s="22"/>
      <c r="D414" s="22"/>
      <c r="E414" s="22"/>
      <c r="F414" s="22"/>
      <c r="G414" s="22"/>
      <c r="H414" s="22"/>
      <c r="I414" s="22"/>
      <c r="J414" s="22"/>
      <c r="K414" s="29"/>
      <c r="L414" s="22"/>
      <c r="M414" s="30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1"/>
      <c r="AP414" s="26"/>
      <c r="AQ414" s="27"/>
      <c r="AR414" s="21"/>
      <c r="AS414" s="28"/>
    </row>
    <row r="415" spans="1:45" x14ac:dyDescent="0.35">
      <c r="A415" s="29"/>
      <c r="B415" s="22"/>
      <c r="C415" s="22"/>
      <c r="D415" s="22"/>
      <c r="E415" s="22"/>
      <c r="F415" s="22"/>
      <c r="G415" s="22"/>
      <c r="H415" s="22"/>
      <c r="I415" s="22"/>
      <c r="J415" s="22"/>
      <c r="K415" s="29"/>
      <c r="L415" s="22"/>
      <c r="M415" s="30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1"/>
      <c r="AP415" s="26"/>
      <c r="AQ415" s="27"/>
      <c r="AR415" s="21"/>
      <c r="AS415" s="28"/>
    </row>
    <row r="416" spans="1:45" x14ac:dyDescent="0.35">
      <c r="A416" s="29"/>
      <c r="B416" s="22"/>
      <c r="C416" s="22"/>
      <c r="D416" s="22"/>
      <c r="E416" s="22"/>
      <c r="F416" s="22"/>
      <c r="G416" s="22"/>
      <c r="H416" s="22"/>
      <c r="I416" s="22"/>
      <c r="J416" s="22"/>
      <c r="K416" s="29"/>
      <c r="L416" s="22"/>
      <c r="M416" s="30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1"/>
      <c r="AP416" s="26"/>
      <c r="AQ416" s="27"/>
      <c r="AR416" s="21"/>
      <c r="AS416" s="28"/>
    </row>
    <row r="417" spans="1:45" x14ac:dyDescent="0.35">
      <c r="A417" s="29"/>
      <c r="B417" s="22"/>
      <c r="C417" s="22"/>
      <c r="D417" s="22"/>
      <c r="E417" s="22"/>
      <c r="F417" s="22"/>
      <c r="G417" s="22"/>
      <c r="H417" s="22"/>
      <c r="I417" s="22"/>
      <c r="J417" s="22"/>
      <c r="K417" s="29"/>
      <c r="L417" s="22"/>
      <c r="M417" s="30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1"/>
      <c r="AP417" s="26"/>
      <c r="AQ417" s="27"/>
      <c r="AR417" s="21"/>
      <c r="AS417" s="28"/>
    </row>
    <row r="418" spans="1:45" x14ac:dyDescent="0.35">
      <c r="A418" s="29"/>
      <c r="B418" s="22"/>
      <c r="C418" s="22"/>
      <c r="D418" s="22"/>
      <c r="E418" s="22"/>
      <c r="F418" s="22"/>
      <c r="G418" s="22"/>
      <c r="H418" s="22"/>
      <c r="I418" s="22"/>
      <c r="J418" s="22"/>
      <c r="K418" s="29"/>
      <c r="L418" s="22"/>
      <c r="M418" s="30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1"/>
      <c r="AP418" s="26"/>
      <c r="AQ418" s="27"/>
      <c r="AR418" s="21"/>
      <c r="AS418" s="28"/>
    </row>
    <row r="419" spans="1:45" x14ac:dyDescent="0.35">
      <c r="A419" s="29"/>
      <c r="B419" s="22"/>
      <c r="C419" s="22"/>
      <c r="D419" s="22"/>
      <c r="E419" s="22"/>
      <c r="F419" s="22"/>
      <c r="G419" s="22"/>
      <c r="H419" s="22"/>
      <c r="I419" s="22"/>
      <c r="J419" s="22"/>
      <c r="K419" s="29"/>
      <c r="L419" s="22"/>
      <c r="M419" s="30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1"/>
      <c r="AP419" s="26"/>
      <c r="AQ419" s="27"/>
      <c r="AR419" s="21"/>
      <c r="AS419" s="28"/>
    </row>
    <row r="420" spans="1:45" x14ac:dyDescent="0.35">
      <c r="A420" s="29"/>
      <c r="B420" s="22"/>
      <c r="C420" s="22"/>
      <c r="D420" s="22"/>
      <c r="E420" s="22"/>
      <c r="F420" s="22"/>
      <c r="G420" s="22"/>
      <c r="H420" s="22"/>
      <c r="I420" s="22"/>
      <c r="J420" s="22"/>
      <c r="K420" s="29"/>
      <c r="L420" s="22"/>
      <c r="M420" s="30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1"/>
      <c r="AP420" s="26"/>
      <c r="AQ420" s="27"/>
      <c r="AR420" s="21"/>
      <c r="AS420" s="28"/>
    </row>
    <row r="421" spans="1:45" x14ac:dyDescent="0.35">
      <c r="A421" s="29"/>
      <c r="B421" s="22"/>
      <c r="C421" s="22"/>
      <c r="D421" s="22"/>
      <c r="E421" s="22"/>
      <c r="F421" s="22"/>
      <c r="G421" s="22"/>
      <c r="H421" s="22"/>
      <c r="I421" s="22"/>
      <c r="J421" s="22"/>
      <c r="K421" s="29"/>
      <c r="L421" s="22"/>
      <c r="M421" s="30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1"/>
      <c r="AP421" s="26"/>
      <c r="AQ421" s="27"/>
      <c r="AR421" s="21"/>
      <c r="AS421" s="28"/>
    </row>
    <row r="422" spans="1:45" x14ac:dyDescent="0.35">
      <c r="A422" s="29"/>
      <c r="B422" s="22"/>
      <c r="C422" s="22"/>
      <c r="D422" s="22"/>
      <c r="E422" s="22"/>
      <c r="F422" s="22"/>
      <c r="G422" s="22"/>
      <c r="H422" s="22"/>
      <c r="I422" s="22"/>
      <c r="J422" s="22"/>
      <c r="K422" s="29"/>
      <c r="L422" s="22"/>
      <c r="M422" s="30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1"/>
      <c r="AP422" s="26"/>
      <c r="AQ422" s="27"/>
      <c r="AR422" s="21"/>
      <c r="AS422" s="28"/>
    </row>
    <row r="423" spans="1:45" x14ac:dyDescent="0.35">
      <c r="A423" s="29"/>
      <c r="B423" s="22"/>
      <c r="C423" s="22"/>
      <c r="D423" s="22"/>
      <c r="E423" s="22"/>
      <c r="F423" s="22"/>
      <c r="G423" s="22"/>
      <c r="H423" s="22"/>
      <c r="I423" s="22"/>
      <c r="J423" s="22"/>
      <c r="K423" s="29"/>
      <c r="L423" s="22"/>
      <c r="M423" s="30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1"/>
      <c r="AP423" s="26"/>
      <c r="AQ423" s="27"/>
      <c r="AR423" s="21"/>
      <c r="AS423" s="28"/>
    </row>
    <row r="424" spans="1:45" x14ac:dyDescent="0.35">
      <c r="A424" s="29"/>
      <c r="B424" s="22"/>
      <c r="C424" s="22"/>
      <c r="D424" s="22"/>
      <c r="E424" s="22"/>
      <c r="F424" s="22"/>
      <c r="G424" s="22"/>
      <c r="H424" s="22"/>
      <c r="I424" s="22"/>
      <c r="J424" s="22"/>
      <c r="K424" s="29"/>
      <c r="L424" s="22"/>
      <c r="M424" s="30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1"/>
      <c r="AP424" s="26"/>
      <c r="AQ424" s="27"/>
      <c r="AR424" s="21"/>
      <c r="AS424" s="28"/>
    </row>
    <row r="425" spans="1:45" x14ac:dyDescent="0.35">
      <c r="A425" s="29"/>
      <c r="B425" s="22"/>
      <c r="C425" s="22"/>
      <c r="D425" s="22"/>
      <c r="E425" s="22"/>
      <c r="F425" s="22"/>
      <c r="G425" s="22"/>
      <c r="H425" s="22"/>
      <c r="I425" s="22"/>
      <c r="J425" s="22"/>
      <c r="K425" s="29"/>
      <c r="L425" s="22"/>
      <c r="M425" s="30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1"/>
      <c r="AP425" s="26"/>
      <c r="AQ425" s="27"/>
      <c r="AR425" s="21"/>
      <c r="AS425" s="28"/>
    </row>
    <row r="426" spans="1:45" x14ac:dyDescent="0.35">
      <c r="A426" s="29"/>
      <c r="B426" s="22"/>
      <c r="C426" s="22"/>
      <c r="D426" s="22"/>
      <c r="E426" s="22"/>
      <c r="F426" s="22"/>
      <c r="G426" s="22"/>
      <c r="H426" s="22"/>
      <c r="I426" s="22"/>
      <c r="J426" s="22"/>
      <c r="K426" s="29"/>
      <c r="L426" s="22"/>
      <c r="M426" s="30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1"/>
      <c r="AP426" s="26"/>
      <c r="AQ426" s="27"/>
      <c r="AR426" s="21"/>
      <c r="AS426" s="28"/>
    </row>
    <row r="427" spans="1:45" x14ac:dyDescent="0.35">
      <c r="A427" s="29"/>
      <c r="B427" s="22"/>
      <c r="C427" s="22"/>
      <c r="D427" s="22"/>
      <c r="E427" s="22"/>
      <c r="F427" s="22"/>
      <c r="G427" s="22"/>
      <c r="H427" s="22"/>
      <c r="I427" s="22"/>
      <c r="J427" s="22"/>
      <c r="K427" s="29"/>
      <c r="L427" s="22"/>
      <c r="M427" s="30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1"/>
      <c r="AP427" s="26"/>
      <c r="AQ427" s="27"/>
      <c r="AR427" s="21"/>
      <c r="AS427" s="28"/>
    </row>
    <row r="428" spans="1:45" x14ac:dyDescent="0.35">
      <c r="A428" s="29"/>
      <c r="B428" s="22"/>
      <c r="C428" s="22"/>
      <c r="D428" s="22"/>
      <c r="E428" s="22"/>
      <c r="F428" s="22"/>
      <c r="G428" s="22"/>
      <c r="H428" s="22"/>
      <c r="I428" s="22"/>
      <c r="J428" s="22"/>
      <c r="K428" s="29"/>
      <c r="L428" s="22"/>
      <c r="M428" s="30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1"/>
      <c r="AP428" s="26"/>
      <c r="AQ428" s="27"/>
      <c r="AR428" s="21"/>
      <c r="AS428" s="28"/>
    </row>
    <row r="429" spans="1:45" x14ac:dyDescent="0.35">
      <c r="A429" s="29"/>
      <c r="B429" s="22"/>
      <c r="C429" s="22"/>
      <c r="D429" s="22"/>
      <c r="E429" s="22"/>
      <c r="F429" s="22"/>
      <c r="G429" s="22"/>
      <c r="H429" s="22"/>
      <c r="I429" s="22"/>
      <c r="J429" s="22"/>
      <c r="K429" s="29"/>
      <c r="L429" s="22"/>
      <c r="M429" s="30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1"/>
      <c r="AP429" s="26"/>
      <c r="AQ429" s="27"/>
      <c r="AR429" s="21"/>
      <c r="AS429" s="28"/>
    </row>
    <row r="430" spans="1:45" x14ac:dyDescent="0.35">
      <c r="A430" s="29"/>
      <c r="B430" s="22"/>
      <c r="C430" s="22"/>
      <c r="D430" s="22"/>
      <c r="E430" s="22"/>
      <c r="F430" s="22"/>
      <c r="G430" s="22"/>
      <c r="H430" s="22"/>
      <c r="I430" s="22"/>
      <c r="J430" s="22"/>
      <c r="K430" s="29"/>
      <c r="L430" s="22"/>
      <c r="M430" s="30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1"/>
      <c r="AP430" s="26"/>
      <c r="AQ430" s="27"/>
      <c r="AR430" s="21"/>
      <c r="AS430" s="28"/>
    </row>
    <row r="431" spans="1:45" x14ac:dyDescent="0.35">
      <c r="A431" s="29"/>
      <c r="B431" s="22"/>
      <c r="C431" s="22"/>
      <c r="D431" s="22"/>
      <c r="E431" s="22"/>
      <c r="F431" s="22"/>
      <c r="G431" s="22"/>
      <c r="H431" s="22"/>
      <c r="I431" s="22"/>
      <c r="J431" s="22"/>
      <c r="K431" s="29"/>
      <c r="L431" s="22"/>
      <c r="M431" s="30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1"/>
      <c r="AP431" s="26"/>
      <c r="AQ431" s="27"/>
      <c r="AR431" s="21"/>
      <c r="AS431" s="28"/>
    </row>
    <row r="432" spans="1:45" x14ac:dyDescent="0.35">
      <c r="A432" s="29"/>
      <c r="B432" s="22"/>
      <c r="C432" s="22"/>
      <c r="D432" s="22"/>
      <c r="E432" s="22"/>
      <c r="F432" s="22"/>
      <c r="G432" s="22"/>
      <c r="H432" s="22"/>
      <c r="I432" s="22"/>
      <c r="J432" s="22"/>
      <c r="K432" s="29"/>
      <c r="L432" s="22"/>
      <c r="M432" s="30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1"/>
      <c r="AP432" s="26"/>
      <c r="AQ432" s="27"/>
      <c r="AR432" s="21"/>
      <c r="AS432" s="28"/>
    </row>
    <row r="433" spans="1:45" x14ac:dyDescent="0.35">
      <c r="A433" s="29"/>
      <c r="B433" s="22"/>
      <c r="C433" s="22"/>
      <c r="D433" s="22"/>
      <c r="E433" s="22"/>
      <c r="F433" s="22"/>
      <c r="G433" s="22"/>
      <c r="H433" s="22"/>
      <c r="I433" s="22"/>
      <c r="J433" s="22"/>
      <c r="K433" s="29"/>
      <c r="L433" s="22"/>
      <c r="M433" s="30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1"/>
      <c r="AP433" s="26"/>
      <c r="AQ433" s="27"/>
      <c r="AR433" s="21"/>
      <c r="AS433" s="28"/>
    </row>
    <row r="434" spans="1:45" x14ac:dyDescent="0.35">
      <c r="A434" s="29"/>
      <c r="B434" s="22"/>
      <c r="C434" s="22"/>
      <c r="D434" s="22"/>
      <c r="E434" s="22"/>
      <c r="F434" s="22"/>
      <c r="G434" s="22"/>
      <c r="H434" s="22"/>
      <c r="I434" s="22"/>
      <c r="J434" s="22"/>
      <c r="K434" s="29"/>
      <c r="L434" s="22"/>
      <c r="M434" s="30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  <c r="AO434" s="21"/>
      <c r="AP434" s="26"/>
      <c r="AQ434" s="27"/>
      <c r="AR434" s="21"/>
      <c r="AS434" s="28"/>
    </row>
    <row r="435" spans="1:45" x14ac:dyDescent="0.35">
      <c r="A435" s="29"/>
      <c r="B435" s="22"/>
      <c r="C435" s="22"/>
      <c r="D435" s="22"/>
      <c r="E435" s="22"/>
      <c r="F435" s="22"/>
      <c r="G435" s="22"/>
      <c r="H435" s="22"/>
      <c r="I435" s="22"/>
      <c r="J435" s="22"/>
      <c r="K435" s="29"/>
      <c r="L435" s="22"/>
      <c r="M435" s="30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  <c r="AO435" s="21"/>
      <c r="AP435" s="26"/>
      <c r="AQ435" s="27"/>
      <c r="AR435" s="21"/>
      <c r="AS435" s="28"/>
    </row>
    <row r="436" spans="1:45" x14ac:dyDescent="0.35">
      <c r="A436" s="29"/>
      <c r="B436" s="22"/>
      <c r="C436" s="22"/>
      <c r="D436" s="22"/>
      <c r="E436" s="22"/>
      <c r="F436" s="22"/>
      <c r="G436" s="22"/>
      <c r="H436" s="22"/>
      <c r="I436" s="22"/>
      <c r="J436" s="22"/>
      <c r="K436" s="29"/>
      <c r="L436" s="22"/>
      <c r="M436" s="30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  <c r="AO436" s="21"/>
      <c r="AP436" s="26"/>
      <c r="AQ436" s="27"/>
      <c r="AR436" s="21"/>
      <c r="AS436" s="28"/>
    </row>
    <row r="437" spans="1:45" x14ac:dyDescent="0.35">
      <c r="A437" s="29"/>
      <c r="B437" s="22"/>
      <c r="C437" s="22"/>
      <c r="D437" s="22"/>
      <c r="E437" s="22"/>
      <c r="F437" s="22"/>
      <c r="G437" s="22"/>
      <c r="H437" s="22"/>
      <c r="I437" s="22"/>
      <c r="J437" s="22"/>
      <c r="K437" s="29"/>
      <c r="L437" s="22"/>
      <c r="M437" s="30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  <c r="AO437" s="21"/>
      <c r="AP437" s="26"/>
      <c r="AQ437" s="27"/>
      <c r="AR437" s="21"/>
      <c r="AS437" s="28"/>
    </row>
    <row r="438" spans="1:45" x14ac:dyDescent="0.35">
      <c r="A438" s="29"/>
      <c r="B438" s="22"/>
      <c r="C438" s="22"/>
      <c r="D438" s="22"/>
      <c r="E438" s="22"/>
      <c r="F438" s="22"/>
      <c r="G438" s="22"/>
      <c r="H438" s="22"/>
      <c r="I438" s="22"/>
      <c r="J438" s="22"/>
      <c r="K438" s="29"/>
      <c r="L438" s="22"/>
      <c r="M438" s="30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  <c r="AO438" s="21"/>
      <c r="AP438" s="26"/>
      <c r="AQ438" s="27"/>
      <c r="AR438" s="21"/>
      <c r="AS438" s="28"/>
    </row>
    <row r="439" spans="1:45" x14ac:dyDescent="0.35">
      <c r="A439" s="29"/>
      <c r="B439" s="22"/>
      <c r="C439" s="22"/>
      <c r="D439" s="22"/>
      <c r="E439" s="22"/>
      <c r="F439" s="22"/>
      <c r="G439" s="22"/>
      <c r="H439" s="22"/>
      <c r="I439" s="22"/>
      <c r="J439" s="22"/>
      <c r="K439" s="29"/>
      <c r="L439" s="22"/>
      <c r="M439" s="30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1"/>
      <c r="AP439" s="26"/>
      <c r="AQ439" s="27"/>
      <c r="AR439" s="21"/>
      <c r="AS439" s="28"/>
    </row>
    <row r="440" spans="1:45" x14ac:dyDescent="0.35">
      <c r="A440" s="29"/>
      <c r="B440" s="22"/>
      <c r="C440" s="22"/>
      <c r="D440" s="22"/>
      <c r="E440" s="22"/>
      <c r="F440" s="22"/>
      <c r="G440" s="22"/>
      <c r="H440" s="22"/>
      <c r="I440" s="22"/>
      <c r="J440" s="22"/>
      <c r="K440" s="29"/>
      <c r="L440" s="22"/>
      <c r="M440" s="30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  <c r="AO440" s="21"/>
      <c r="AP440" s="26"/>
      <c r="AQ440" s="27"/>
      <c r="AR440" s="21"/>
      <c r="AS440" s="28"/>
    </row>
    <row r="441" spans="1:45" x14ac:dyDescent="0.35">
      <c r="A441" s="29"/>
      <c r="B441" s="22"/>
      <c r="C441" s="22"/>
      <c r="D441" s="22"/>
      <c r="E441" s="22"/>
      <c r="F441" s="22"/>
      <c r="G441" s="22"/>
      <c r="H441" s="22"/>
      <c r="I441" s="22"/>
      <c r="J441" s="22"/>
      <c r="K441" s="29"/>
      <c r="L441" s="22"/>
      <c r="M441" s="30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1"/>
      <c r="AP441" s="26"/>
      <c r="AQ441" s="27"/>
      <c r="AR441" s="21"/>
      <c r="AS441" s="28"/>
    </row>
    <row r="442" spans="1:45" x14ac:dyDescent="0.35">
      <c r="A442" s="29"/>
      <c r="B442" s="22"/>
      <c r="C442" s="22"/>
      <c r="D442" s="22"/>
      <c r="E442" s="22"/>
      <c r="F442" s="22"/>
      <c r="G442" s="22"/>
      <c r="H442" s="22"/>
      <c r="I442" s="22"/>
      <c r="J442" s="22"/>
      <c r="K442" s="29"/>
      <c r="L442" s="22"/>
      <c r="M442" s="30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  <c r="AO442" s="21"/>
      <c r="AP442" s="26"/>
      <c r="AQ442" s="27"/>
      <c r="AR442" s="21"/>
      <c r="AS442" s="28"/>
    </row>
    <row r="443" spans="1:45" x14ac:dyDescent="0.35">
      <c r="A443" s="29"/>
      <c r="B443" s="22"/>
      <c r="C443" s="22"/>
      <c r="D443" s="22"/>
      <c r="E443" s="22"/>
      <c r="F443" s="22"/>
      <c r="G443" s="22"/>
      <c r="H443" s="22"/>
      <c r="I443" s="22"/>
      <c r="J443" s="22"/>
      <c r="K443" s="29"/>
      <c r="L443" s="22"/>
      <c r="M443" s="30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  <c r="AO443" s="21"/>
      <c r="AP443" s="26"/>
      <c r="AQ443" s="27"/>
      <c r="AR443" s="21"/>
      <c r="AS443" s="28"/>
    </row>
    <row r="444" spans="1:45" x14ac:dyDescent="0.35">
      <c r="A444" s="29"/>
      <c r="B444" s="22"/>
      <c r="C444" s="22"/>
      <c r="D444" s="22"/>
      <c r="E444" s="22"/>
      <c r="F444" s="22"/>
      <c r="G444" s="22"/>
      <c r="H444" s="22"/>
      <c r="I444" s="22"/>
      <c r="J444" s="22"/>
      <c r="K444" s="29"/>
      <c r="L444" s="22"/>
      <c r="M444" s="30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  <c r="AO444" s="21"/>
      <c r="AP444" s="26"/>
      <c r="AQ444" s="27"/>
      <c r="AR444" s="21"/>
      <c r="AS444" s="28"/>
    </row>
    <row r="445" spans="1:45" x14ac:dyDescent="0.35">
      <c r="A445" s="29"/>
      <c r="B445" s="22"/>
      <c r="C445" s="22"/>
      <c r="D445" s="22"/>
      <c r="E445" s="22"/>
      <c r="F445" s="22"/>
      <c r="G445" s="22"/>
      <c r="H445" s="22"/>
      <c r="I445" s="22"/>
      <c r="J445" s="22"/>
      <c r="K445" s="29"/>
      <c r="L445" s="22"/>
      <c r="M445" s="30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1"/>
      <c r="AP445" s="26"/>
      <c r="AQ445" s="27"/>
      <c r="AR445" s="21"/>
      <c r="AS445" s="28"/>
    </row>
    <row r="446" spans="1:45" x14ac:dyDescent="0.35">
      <c r="A446" s="29"/>
      <c r="B446" s="22"/>
      <c r="C446" s="22"/>
      <c r="D446" s="22"/>
      <c r="E446" s="22"/>
      <c r="F446" s="22"/>
      <c r="G446" s="22"/>
      <c r="H446" s="22"/>
      <c r="I446" s="22"/>
      <c r="J446" s="22"/>
      <c r="K446" s="29"/>
      <c r="L446" s="22"/>
      <c r="M446" s="30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  <c r="AO446" s="21"/>
      <c r="AP446" s="26"/>
      <c r="AQ446" s="27"/>
      <c r="AR446" s="21"/>
      <c r="AS446" s="28"/>
    </row>
    <row r="447" spans="1:45" x14ac:dyDescent="0.35">
      <c r="A447" s="29"/>
      <c r="B447" s="22"/>
      <c r="C447" s="22"/>
      <c r="D447" s="22"/>
      <c r="E447" s="22"/>
      <c r="F447" s="22"/>
      <c r="G447" s="22"/>
      <c r="H447" s="22"/>
      <c r="I447" s="22"/>
      <c r="J447" s="22"/>
      <c r="K447" s="29"/>
      <c r="L447" s="22"/>
      <c r="M447" s="30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1"/>
      <c r="AP447" s="26"/>
      <c r="AQ447" s="27"/>
      <c r="AR447" s="21"/>
      <c r="AS447" s="28"/>
    </row>
    <row r="448" spans="1:45" x14ac:dyDescent="0.35">
      <c r="A448" s="29"/>
      <c r="B448" s="22"/>
      <c r="C448" s="22"/>
      <c r="D448" s="22"/>
      <c r="E448" s="22"/>
      <c r="F448" s="22"/>
      <c r="G448" s="22"/>
      <c r="H448" s="22"/>
      <c r="I448" s="22"/>
      <c r="J448" s="22"/>
      <c r="K448" s="29"/>
      <c r="L448" s="22"/>
      <c r="M448" s="30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1"/>
      <c r="AP448" s="26"/>
      <c r="AQ448" s="27"/>
      <c r="AR448" s="21"/>
      <c r="AS448" s="28"/>
    </row>
    <row r="449" spans="1:45" x14ac:dyDescent="0.35">
      <c r="A449" s="29"/>
      <c r="B449" s="22"/>
      <c r="C449" s="22"/>
      <c r="D449" s="22"/>
      <c r="E449" s="22"/>
      <c r="F449" s="22"/>
      <c r="G449" s="22"/>
      <c r="H449" s="22"/>
      <c r="I449" s="22"/>
      <c r="J449" s="22"/>
      <c r="K449" s="29"/>
      <c r="L449" s="22"/>
      <c r="M449" s="30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1"/>
      <c r="AP449" s="26"/>
      <c r="AQ449" s="27"/>
      <c r="AR449" s="21"/>
      <c r="AS449" s="28"/>
    </row>
    <row r="450" spans="1:45" x14ac:dyDescent="0.35">
      <c r="A450" s="29"/>
      <c r="B450" s="22"/>
      <c r="C450" s="22"/>
      <c r="D450" s="22"/>
      <c r="E450" s="22"/>
      <c r="F450" s="22"/>
      <c r="G450" s="22"/>
      <c r="H450" s="22"/>
      <c r="I450" s="22"/>
      <c r="J450" s="22"/>
      <c r="K450" s="29"/>
      <c r="L450" s="22"/>
      <c r="M450" s="30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1"/>
      <c r="AP450" s="26"/>
      <c r="AQ450" s="27"/>
      <c r="AR450" s="21"/>
      <c r="AS450" s="28"/>
    </row>
    <row r="451" spans="1:45" x14ac:dyDescent="0.35">
      <c r="A451" s="29"/>
      <c r="B451" s="22"/>
      <c r="C451" s="22"/>
      <c r="D451" s="22"/>
      <c r="E451" s="22"/>
      <c r="F451" s="22"/>
      <c r="G451" s="22"/>
      <c r="H451" s="22"/>
      <c r="I451" s="22"/>
      <c r="J451" s="22"/>
      <c r="K451" s="29"/>
      <c r="L451" s="22"/>
      <c r="M451" s="30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1"/>
      <c r="AP451" s="26"/>
      <c r="AQ451" s="27"/>
      <c r="AR451" s="21"/>
      <c r="AS451" s="28"/>
    </row>
    <row r="452" spans="1:45" x14ac:dyDescent="0.35">
      <c r="A452" s="29"/>
      <c r="B452" s="22"/>
      <c r="C452" s="22"/>
      <c r="D452" s="22"/>
      <c r="E452" s="22"/>
      <c r="F452" s="22"/>
      <c r="G452" s="22"/>
      <c r="H452" s="22"/>
      <c r="I452" s="22"/>
      <c r="J452" s="22"/>
      <c r="K452" s="29"/>
      <c r="L452" s="22"/>
      <c r="M452" s="30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  <c r="AO452" s="21"/>
      <c r="AP452" s="26"/>
      <c r="AQ452" s="27"/>
      <c r="AR452" s="21"/>
      <c r="AS452" s="28"/>
    </row>
    <row r="453" spans="1:45" x14ac:dyDescent="0.35">
      <c r="A453" s="29"/>
      <c r="B453" s="22"/>
      <c r="C453" s="22"/>
      <c r="D453" s="22"/>
      <c r="E453" s="22"/>
      <c r="F453" s="22"/>
      <c r="G453" s="22"/>
      <c r="H453" s="22"/>
      <c r="I453" s="22"/>
      <c r="J453" s="22"/>
      <c r="K453" s="29"/>
      <c r="L453" s="22"/>
      <c r="M453" s="30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  <c r="AO453" s="21"/>
      <c r="AP453" s="26"/>
      <c r="AQ453" s="27"/>
      <c r="AR453" s="21"/>
      <c r="AS453" s="28"/>
    </row>
    <row r="454" spans="1:45" x14ac:dyDescent="0.35">
      <c r="A454" s="29"/>
      <c r="B454" s="22"/>
      <c r="C454" s="22"/>
      <c r="D454" s="22"/>
      <c r="E454" s="22"/>
      <c r="F454" s="22"/>
      <c r="G454" s="22"/>
      <c r="H454" s="22"/>
      <c r="I454" s="22"/>
      <c r="J454" s="22"/>
      <c r="K454" s="29"/>
      <c r="L454" s="22"/>
      <c r="M454" s="30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  <c r="AO454" s="21"/>
      <c r="AP454" s="26"/>
      <c r="AQ454" s="27"/>
      <c r="AR454" s="21"/>
      <c r="AS454" s="28"/>
    </row>
    <row r="455" spans="1:45" x14ac:dyDescent="0.35">
      <c r="A455" s="29"/>
      <c r="B455" s="22"/>
      <c r="C455" s="22"/>
      <c r="D455" s="22"/>
      <c r="E455" s="22"/>
      <c r="F455" s="22"/>
      <c r="G455" s="22"/>
      <c r="H455" s="22"/>
      <c r="I455" s="22"/>
      <c r="J455" s="22"/>
      <c r="K455" s="29"/>
      <c r="L455" s="22"/>
      <c r="M455" s="30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  <c r="AO455" s="21"/>
      <c r="AP455" s="26"/>
      <c r="AQ455" s="27"/>
      <c r="AR455" s="21"/>
      <c r="AS455" s="28"/>
    </row>
    <row r="456" spans="1:45" x14ac:dyDescent="0.35">
      <c r="A456" s="29"/>
      <c r="B456" s="22"/>
      <c r="C456" s="22"/>
      <c r="D456" s="22"/>
      <c r="E456" s="22"/>
      <c r="F456" s="22"/>
      <c r="G456" s="22"/>
      <c r="H456" s="22"/>
      <c r="I456" s="22"/>
      <c r="J456" s="22"/>
      <c r="K456" s="29"/>
      <c r="L456" s="22"/>
      <c r="M456" s="30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22"/>
      <c r="AM456" s="22"/>
      <c r="AN456" s="22"/>
      <c r="AO456" s="21"/>
      <c r="AP456" s="26"/>
      <c r="AQ456" s="27"/>
      <c r="AR456" s="21"/>
      <c r="AS456" s="28"/>
    </row>
    <row r="457" spans="1:45" x14ac:dyDescent="0.35">
      <c r="A457" s="29"/>
      <c r="B457" s="22"/>
      <c r="C457" s="22"/>
      <c r="D457" s="22"/>
      <c r="E457" s="22"/>
      <c r="F457" s="22"/>
      <c r="G457" s="22"/>
      <c r="H457" s="22"/>
      <c r="I457" s="22"/>
      <c r="J457" s="22"/>
      <c r="K457" s="29"/>
      <c r="L457" s="22"/>
      <c r="M457" s="30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1"/>
      <c r="AP457" s="26"/>
      <c r="AQ457" s="27"/>
      <c r="AR457" s="21"/>
      <c r="AS457" s="28"/>
    </row>
    <row r="458" spans="1:45" x14ac:dyDescent="0.35">
      <c r="A458" s="29"/>
      <c r="B458" s="22"/>
      <c r="C458" s="22"/>
      <c r="D458" s="22"/>
      <c r="E458" s="22"/>
      <c r="F458" s="22"/>
      <c r="G458" s="22"/>
      <c r="H458" s="22"/>
      <c r="I458" s="22"/>
      <c r="J458" s="22"/>
      <c r="K458" s="29"/>
      <c r="L458" s="22"/>
      <c r="M458" s="30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22"/>
      <c r="AM458" s="22"/>
      <c r="AN458" s="22"/>
      <c r="AO458" s="21"/>
      <c r="AP458" s="26"/>
      <c r="AQ458" s="27"/>
      <c r="AR458" s="21"/>
      <c r="AS458" s="28"/>
    </row>
    <row r="459" spans="1:45" x14ac:dyDescent="0.35">
      <c r="A459" s="24"/>
      <c r="B459" s="21"/>
      <c r="C459" s="21"/>
      <c r="D459" s="21"/>
      <c r="E459" s="21"/>
      <c r="F459" s="21"/>
      <c r="G459" s="21"/>
      <c r="H459" s="21"/>
      <c r="I459" s="21"/>
      <c r="J459" s="21"/>
      <c r="K459" s="24"/>
      <c r="L459" s="21"/>
      <c r="M459" s="25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6"/>
      <c r="AQ459" s="27"/>
      <c r="AR459" s="21"/>
      <c r="AS459" s="28"/>
    </row>
    <row r="460" spans="1:45" x14ac:dyDescent="0.35">
      <c r="A460" s="24"/>
      <c r="B460" s="21"/>
      <c r="C460" s="21"/>
      <c r="D460" s="21"/>
      <c r="E460" s="21"/>
      <c r="F460" s="21"/>
      <c r="G460" s="21"/>
      <c r="H460" s="21"/>
      <c r="I460" s="21"/>
      <c r="J460" s="21"/>
      <c r="K460" s="24"/>
      <c r="L460" s="21"/>
      <c r="M460" s="25"/>
      <c r="N460" s="21"/>
      <c r="O460" s="21"/>
      <c r="P460" s="21"/>
      <c r="Q460" s="21"/>
      <c r="R460" s="21"/>
      <c r="S460" s="21"/>
      <c r="T460" s="21"/>
      <c r="U460" s="21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6"/>
      <c r="AQ460" s="27"/>
      <c r="AR460" s="21"/>
      <c r="AS460" s="28"/>
    </row>
    <row r="461" spans="1:45" x14ac:dyDescent="0.35">
      <c r="A461" s="24"/>
      <c r="B461" s="21"/>
      <c r="C461" s="21"/>
      <c r="D461" s="21"/>
      <c r="E461" s="21"/>
      <c r="F461" s="21"/>
      <c r="G461" s="21"/>
      <c r="H461" s="21"/>
      <c r="I461" s="21"/>
      <c r="J461" s="21"/>
      <c r="K461" s="24"/>
      <c r="L461" s="21"/>
      <c r="M461" s="25"/>
      <c r="N461" s="21"/>
      <c r="O461" s="21"/>
      <c r="P461" s="21"/>
      <c r="Q461" s="21"/>
      <c r="R461" s="21"/>
      <c r="S461" s="21"/>
      <c r="T461" s="21"/>
      <c r="U461" s="21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6"/>
      <c r="AQ461" s="27"/>
      <c r="AR461" s="21"/>
      <c r="AS461" s="28"/>
    </row>
    <row r="462" spans="1:45" x14ac:dyDescent="0.35">
      <c r="A462" s="24"/>
      <c r="B462" s="21"/>
      <c r="C462" s="21"/>
      <c r="D462" s="21"/>
      <c r="E462" s="21"/>
      <c r="F462" s="21"/>
      <c r="G462" s="21"/>
      <c r="H462" s="21"/>
      <c r="I462" s="21"/>
      <c r="J462" s="21"/>
      <c r="K462" s="24"/>
      <c r="L462" s="21"/>
      <c r="M462" s="25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6"/>
      <c r="AQ462" s="27"/>
      <c r="AR462" s="21"/>
      <c r="AS462" s="28"/>
    </row>
    <row r="463" spans="1:45" x14ac:dyDescent="0.35">
      <c r="A463" s="24"/>
      <c r="B463" s="21"/>
      <c r="C463" s="21"/>
      <c r="D463" s="21"/>
      <c r="E463" s="21"/>
      <c r="F463" s="21"/>
      <c r="G463" s="21"/>
      <c r="H463" s="21"/>
      <c r="I463" s="21"/>
      <c r="J463" s="21"/>
      <c r="K463" s="21"/>
      <c r="L463" s="21"/>
      <c r="M463" s="25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6"/>
      <c r="AQ463" s="27"/>
      <c r="AR463" s="21"/>
      <c r="AS463" s="28"/>
    </row>
    <row r="464" spans="1:45" x14ac:dyDescent="0.35">
      <c r="A464" s="29"/>
      <c r="B464" s="22"/>
      <c r="C464" s="22"/>
      <c r="D464" s="22"/>
      <c r="E464" s="22"/>
      <c r="F464" s="22"/>
      <c r="G464" s="22"/>
      <c r="H464" s="22"/>
      <c r="I464" s="22"/>
      <c r="J464" s="22"/>
      <c r="K464" s="29"/>
      <c r="L464" s="22"/>
      <c r="M464" s="30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22"/>
      <c r="AM464" s="22"/>
      <c r="AN464" s="22"/>
      <c r="AO464" s="21"/>
      <c r="AP464" s="26"/>
      <c r="AQ464" s="27"/>
      <c r="AR464" s="21"/>
      <c r="AS464" s="28"/>
    </row>
    <row r="465" spans="1:45" x14ac:dyDescent="0.35">
      <c r="A465" s="24"/>
      <c r="B465" s="21"/>
      <c r="C465" s="21"/>
      <c r="D465" s="21"/>
      <c r="E465" s="21"/>
      <c r="F465" s="21"/>
      <c r="G465" s="21"/>
      <c r="H465" s="21"/>
      <c r="I465" s="21"/>
      <c r="J465" s="21"/>
      <c r="K465" s="24"/>
      <c r="L465" s="21"/>
      <c r="M465" s="25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6"/>
      <c r="AQ465" s="27"/>
      <c r="AR465" s="21"/>
      <c r="AS465" s="28"/>
    </row>
    <row r="466" spans="1:45" x14ac:dyDescent="0.35">
      <c r="A466" s="29"/>
      <c r="B466" s="22"/>
      <c r="C466" s="22"/>
      <c r="D466" s="22"/>
      <c r="E466" s="22"/>
      <c r="F466" s="22"/>
      <c r="G466" s="22"/>
      <c r="H466" s="22"/>
      <c r="I466" s="22"/>
      <c r="J466" s="22"/>
      <c r="K466" s="29"/>
      <c r="L466" s="22"/>
      <c r="M466" s="30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22"/>
      <c r="AM466" s="22"/>
      <c r="AN466" s="22"/>
      <c r="AO466" s="21"/>
      <c r="AP466" s="26"/>
      <c r="AQ466" s="27"/>
      <c r="AR466" s="21"/>
      <c r="AS466" s="28"/>
    </row>
    <row r="467" spans="1:45" x14ac:dyDescent="0.35">
      <c r="A467" s="24"/>
      <c r="B467" s="21"/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5"/>
      <c r="N467" s="21"/>
      <c r="O467" s="21"/>
      <c r="P467" s="21"/>
      <c r="Q467" s="21"/>
      <c r="R467" s="21"/>
      <c r="S467" s="21"/>
      <c r="T467" s="21"/>
      <c r="U467" s="21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6"/>
      <c r="AQ467" s="27"/>
      <c r="AR467" s="21"/>
      <c r="AS467" s="28"/>
    </row>
    <row r="468" spans="1:45" x14ac:dyDescent="0.35">
      <c r="A468" s="24"/>
      <c r="B468" s="21"/>
      <c r="C468" s="21"/>
      <c r="D468" s="21"/>
      <c r="E468" s="21"/>
      <c r="F468" s="21"/>
      <c r="G468" s="21"/>
      <c r="H468" s="21"/>
      <c r="I468" s="21"/>
      <c r="J468" s="21"/>
      <c r="K468" s="24"/>
      <c r="L468" s="21"/>
      <c r="M468" s="25"/>
      <c r="N468" s="21"/>
      <c r="O468" s="21"/>
      <c r="P468" s="21"/>
      <c r="Q468" s="21"/>
      <c r="R468" s="21"/>
      <c r="S468" s="21"/>
      <c r="T468" s="21"/>
      <c r="U468" s="21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6"/>
      <c r="AQ468" s="27"/>
      <c r="AR468" s="21"/>
      <c r="AS468" s="28"/>
    </row>
    <row r="469" spans="1:45" x14ac:dyDescent="0.35">
      <c r="A469" s="24"/>
      <c r="B469" s="21"/>
      <c r="C469" s="21"/>
      <c r="D469" s="21"/>
      <c r="E469" s="21"/>
      <c r="F469" s="21"/>
      <c r="G469" s="21"/>
      <c r="H469" s="21"/>
      <c r="I469" s="21"/>
      <c r="J469" s="21"/>
      <c r="K469" s="21"/>
      <c r="L469" s="21"/>
      <c r="M469" s="25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6"/>
      <c r="AQ469" s="27"/>
      <c r="AR469" s="21"/>
      <c r="AS469" s="28"/>
    </row>
    <row r="470" spans="1:45" x14ac:dyDescent="0.35">
      <c r="A470" s="24"/>
      <c r="B470" s="21"/>
      <c r="C470" s="21"/>
      <c r="D470" s="21"/>
      <c r="E470" s="21"/>
      <c r="F470" s="21"/>
      <c r="G470" s="21"/>
      <c r="H470" s="21"/>
      <c r="I470" s="21"/>
      <c r="J470" s="21"/>
      <c r="K470" s="24"/>
      <c r="L470" s="21"/>
      <c r="M470" s="25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6"/>
      <c r="AQ470" s="27"/>
      <c r="AR470" s="21"/>
      <c r="AS470" s="28"/>
    </row>
    <row r="471" spans="1:45" x14ac:dyDescent="0.35">
      <c r="A471" s="24"/>
      <c r="B471" s="21"/>
      <c r="C471" s="21"/>
      <c r="D471" s="21"/>
      <c r="E471" s="21"/>
      <c r="F471" s="21"/>
      <c r="G471" s="21"/>
      <c r="H471" s="21"/>
      <c r="I471" s="21"/>
      <c r="J471" s="21"/>
      <c r="K471" s="24"/>
      <c r="L471" s="21"/>
      <c r="M471" s="25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6"/>
      <c r="AQ471" s="27"/>
      <c r="AR471" s="21"/>
      <c r="AS471" s="28"/>
    </row>
    <row r="472" spans="1:45" x14ac:dyDescent="0.35">
      <c r="A472" s="24"/>
      <c r="B472" s="21"/>
      <c r="C472" s="21"/>
      <c r="D472" s="21"/>
      <c r="E472" s="21"/>
      <c r="F472" s="21"/>
      <c r="G472" s="21"/>
      <c r="H472" s="21"/>
      <c r="I472" s="21"/>
      <c r="J472" s="21"/>
      <c r="K472" s="24"/>
      <c r="L472" s="21"/>
      <c r="M472" s="25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6"/>
      <c r="AQ472" s="27"/>
      <c r="AR472" s="21"/>
      <c r="AS472" s="28"/>
    </row>
    <row r="473" spans="1:45" x14ac:dyDescent="0.35">
      <c r="A473" s="24"/>
      <c r="B473" s="21"/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5"/>
      <c r="N473" s="21"/>
      <c r="O473" s="21"/>
      <c r="P473" s="21"/>
      <c r="Q473" s="21"/>
      <c r="R473" s="21"/>
      <c r="S473" s="21"/>
      <c r="T473" s="21"/>
      <c r="U473" s="21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6"/>
      <c r="AQ473" s="27"/>
      <c r="AR473" s="21"/>
      <c r="AS473" s="28"/>
    </row>
    <row r="474" spans="1:45" x14ac:dyDescent="0.35">
      <c r="A474" s="29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30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22"/>
      <c r="AM474" s="22"/>
      <c r="AN474" s="22"/>
      <c r="AO474" s="21"/>
      <c r="AP474" s="26"/>
      <c r="AQ474" s="27"/>
      <c r="AR474" s="21"/>
      <c r="AS474" s="28"/>
    </row>
    <row r="475" spans="1:45" x14ac:dyDescent="0.35">
      <c r="A475" s="24"/>
      <c r="B475" s="21"/>
      <c r="C475" s="21"/>
      <c r="D475" s="21"/>
      <c r="E475" s="21"/>
      <c r="F475" s="21"/>
      <c r="G475" s="21"/>
      <c r="H475" s="21"/>
      <c r="I475" s="21"/>
      <c r="J475" s="21"/>
      <c r="K475" s="21"/>
      <c r="L475" s="21"/>
      <c r="M475" s="25"/>
      <c r="N475" s="21"/>
      <c r="O475" s="21"/>
      <c r="P475" s="21"/>
      <c r="Q475" s="21"/>
      <c r="R475" s="21"/>
      <c r="S475" s="21"/>
      <c r="T475" s="21"/>
      <c r="U475" s="21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6"/>
      <c r="AQ475" s="27"/>
      <c r="AR475" s="21"/>
      <c r="AS475" s="28"/>
    </row>
    <row r="476" spans="1:45" x14ac:dyDescent="0.35">
      <c r="A476" s="24"/>
      <c r="B476" s="21"/>
      <c r="C476" s="21"/>
      <c r="D476" s="21"/>
      <c r="E476" s="21"/>
      <c r="F476" s="21"/>
      <c r="G476" s="21"/>
      <c r="H476" s="21"/>
      <c r="I476" s="21"/>
      <c r="J476" s="21"/>
      <c r="K476" s="24"/>
      <c r="L476" s="21"/>
      <c r="M476" s="25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6"/>
      <c r="AQ476" s="27"/>
      <c r="AR476" s="21"/>
      <c r="AS476" s="28"/>
    </row>
    <row r="477" spans="1:45" x14ac:dyDescent="0.35">
      <c r="A477" s="24"/>
      <c r="B477" s="21"/>
      <c r="C477" s="21"/>
      <c r="D477" s="21"/>
      <c r="E477" s="21"/>
      <c r="F477" s="21"/>
      <c r="G477" s="21"/>
      <c r="H477" s="21"/>
      <c r="I477" s="21"/>
      <c r="J477" s="21"/>
      <c r="K477" s="24"/>
      <c r="L477" s="21"/>
      <c r="M477" s="25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6"/>
      <c r="AQ477" s="27"/>
      <c r="AR477" s="21"/>
      <c r="AS477" s="28"/>
    </row>
    <row r="478" spans="1:45" x14ac:dyDescent="0.35">
      <c r="A478" s="24"/>
      <c r="B478" s="21"/>
      <c r="C478" s="21"/>
      <c r="D478" s="21"/>
      <c r="E478" s="21"/>
      <c r="F478" s="21"/>
      <c r="G478" s="21"/>
      <c r="H478" s="21"/>
      <c r="I478" s="21"/>
      <c r="J478" s="21"/>
      <c r="K478" s="21"/>
      <c r="L478" s="21"/>
      <c r="M478" s="25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6"/>
      <c r="AQ478" s="27"/>
      <c r="AR478" s="21"/>
      <c r="AS478" s="28"/>
    </row>
    <row r="479" spans="1:45" x14ac:dyDescent="0.35">
      <c r="A479" s="24"/>
      <c r="B479" s="21"/>
      <c r="C479" s="21"/>
      <c r="D479" s="21"/>
      <c r="E479" s="21"/>
      <c r="F479" s="21"/>
      <c r="G479" s="21"/>
      <c r="H479" s="21"/>
      <c r="I479" s="21"/>
      <c r="J479" s="21"/>
      <c r="K479" s="24"/>
      <c r="L479" s="21"/>
      <c r="M479" s="25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6"/>
      <c r="AQ479" s="27"/>
      <c r="AR479" s="21"/>
      <c r="AS479" s="28"/>
    </row>
    <row r="480" spans="1:45" x14ac:dyDescent="0.35">
      <c r="A480" s="29"/>
      <c r="B480" s="22"/>
      <c r="C480" s="22"/>
      <c r="D480" s="22"/>
      <c r="E480" s="22"/>
      <c r="F480" s="22"/>
      <c r="G480" s="22"/>
      <c r="H480" s="22"/>
      <c r="I480" s="22"/>
      <c r="J480" s="22"/>
      <c r="K480" s="29"/>
      <c r="L480" s="22"/>
      <c r="M480" s="30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1"/>
      <c r="AP480" s="26"/>
      <c r="AQ480" s="27"/>
      <c r="AR480" s="21"/>
      <c r="AS480" s="28"/>
    </row>
    <row r="481" spans="1:45" x14ac:dyDescent="0.35">
      <c r="A481" s="24"/>
      <c r="B481" s="21"/>
      <c r="C481" s="21"/>
      <c r="D481" s="21"/>
      <c r="E481" s="21"/>
      <c r="F481" s="21"/>
      <c r="G481" s="21"/>
      <c r="H481" s="21"/>
      <c r="I481" s="21"/>
      <c r="J481" s="21"/>
      <c r="K481" s="24"/>
      <c r="L481" s="21"/>
      <c r="M481" s="25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6"/>
      <c r="AQ481" s="27"/>
      <c r="AR481" s="21"/>
      <c r="AS481" s="28"/>
    </row>
    <row r="482" spans="1:45" x14ac:dyDescent="0.35">
      <c r="A482" s="24"/>
      <c r="B482" s="21"/>
      <c r="C482" s="21"/>
      <c r="D482" s="21"/>
      <c r="E482" s="21"/>
      <c r="F482" s="21"/>
      <c r="G482" s="21"/>
      <c r="H482" s="21"/>
      <c r="I482" s="21"/>
      <c r="J482" s="21"/>
      <c r="K482" s="24"/>
      <c r="L482" s="21"/>
      <c r="M482" s="25"/>
      <c r="N482" s="21"/>
      <c r="O482" s="21"/>
      <c r="P482" s="21"/>
      <c r="Q482" s="21"/>
      <c r="R482" s="21"/>
      <c r="S482" s="21"/>
      <c r="T482" s="21"/>
      <c r="U482" s="21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6"/>
      <c r="AQ482" s="27"/>
      <c r="AR482" s="21"/>
      <c r="AS482" s="28"/>
    </row>
    <row r="483" spans="1:45" x14ac:dyDescent="0.35">
      <c r="A483" s="24"/>
      <c r="B483" s="21"/>
      <c r="C483" s="21"/>
      <c r="D483" s="21"/>
      <c r="E483" s="21"/>
      <c r="F483" s="21"/>
      <c r="G483" s="21"/>
      <c r="H483" s="21"/>
      <c r="I483" s="21"/>
      <c r="J483" s="21"/>
      <c r="K483" s="24"/>
      <c r="L483" s="21"/>
      <c r="M483" s="25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6"/>
      <c r="AQ483" s="27"/>
      <c r="AR483" s="21"/>
      <c r="AS483" s="28"/>
    </row>
    <row r="484" spans="1:45" x14ac:dyDescent="0.35">
      <c r="A484" s="24"/>
      <c r="B484" s="21"/>
      <c r="C484" s="21"/>
      <c r="D484" s="21"/>
      <c r="E484" s="21"/>
      <c r="F484" s="21"/>
      <c r="G484" s="21"/>
      <c r="H484" s="21"/>
      <c r="I484" s="21"/>
      <c r="J484" s="21"/>
      <c r="K484" s="24"/>
      <c r="L484" s="21"/>
      <c r="M484" s="25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6"/>
      <c r="AQ484" s="27"/>
      <c r="AR484" s="21"/>
      <c r="AS484" s="28"/>
    </row>
    <row r="485" spans="1:45" x14ac:dyDescent="0.35">
      <c r="A485" s="24"/>
      <c r="B485" s="21"/>
      <c r="C485" s="21"/>
      <c r="D485" s="21"/>
      <c r="E485" s="21"/>
      <c r="F485" s="21"/>
      <c r="G485" s="21"/>
      <c r="H485" s="21"/>
      <c r="I485" s="21"/>
      <c r="J485" s="21"/>
      <c r="K485" s="24"/>
      <c r="L485" s="21"/>
      <c r="M485" s="25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6"/>
      <c r="AQ485" s="27"/>
      <c r="AR485" s="21"/>
      <c r="AS485" s="28"/>
    </row>
    <row r="486" spans="1:45" x14ac:dyDescent="0.35">
      <c r="A486" s="24"/>
      <c r="B486" s="21"/>
      <c r="C486" s="21"/>
      <c r="D486" s="21"/>
      <c r="E486" s="21"/>
      <c r="F486" s="21"/>
      <c r="G486" s="21"/>
      <c r="H486" s="21"/>
      <c r="I486" s="21"/>
      <c r="J486" s="21"/>
      <c r="K486" s="24"/>
      <c r="L486" s="21"/>
      <c r="M486" s="25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6"/>
      <c r="AQ486" s="27"/>
      <c r="AR486" s="21"/>
      <c r="AS486" s="28"/>
    </row>
    <row r="487" spans="1:45" x14ac:dyDescent="0.35">
      <c r="A487" s="29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30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22"/>
      <c r="AM487" s="22"/>
      <c r="AN487" s="22"/>
      <c r="AO487" s="21"/>
      <c r="AP487" s="26"/>
      <c r="AQ487" s="27"/>
      <c r="AR487" s="21"/>
      <c r="AS487" s="28"/>
    </row>
    <row r="488" spans="1:45" x14ac:dyDescent="0.35">
      <c r="A488" s="24"/>
      <c r="B488" s="21"/>
      <c r="C488" s="21"/>
      <c r="D488" s="21"/>
      <c r="E488" s="21"/>
      <c r="F488" s="21"/>
      <c r="G488" s="21"/>
      <c r="H488" s="21"/>
      <c r="I488" s="21"/>
      <c r="J488" s="21"/>
      <c r="K488" s="21"/>
      <c r="L488" s="21"/>
      <c r="M488" s="25"/>
      <c r="N488" s="21"/>
      <c r="O488" s="21"/>
      <c r="P488" s="21"/>
      <c r="Q488" s="21"/>
      <c r="R488" s="21"/>
      <c r="S488" s="21"/>
      <c r="T488" s="21"/>
      <c r="U488" s="21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6"/>
      <c r="AQ488" s="27"/>
      <c r="AR488" s="21"/>
      <c r="AS488" s="28"/>
    </row>
    <row r="489" spans="1:45" x14ac:dyDescent="0.35">
      <c r="A489" s="24"/>
      <c r="B489" s="21"/>
      <c r="C489" s="21"/>
      <c r="D489" s="21"/>
      <c r="E489" s="21"/>
      <c r="F489" s="21"/>
      <c r="G489" s="21"/>
      <c r="H489" s="21"/>
      <c r="I489" s="21"/>
      <c r="J489" s="21"/>
      <c r="K489" s="24"/>
      <c r="L489" s="21"/>
      <c r="M489" s="25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6"/>
      <c r="AQ489" s="27"/>
      <c r="AR489" s="21"/>
      <c r="AS489" s="28"/>
    </row>
    <row r="490" spans="1:45" x14ac:dyDescent="0.35">
      <c r="A490" s="24"/>
      <c r="B490" s="21"/>
      <c r="C490" s="21"/>
      <c r="D490" s="21"/>
      <c r="E490" s="21"/>
      <c r="F490" s="21"/>
      <c r="G490" s="21"/>
      <c r="H490" s="21"/>
      <c r="I490" s="21"/>
      <c r="J490" s="21"/>
      <c r="K490" s="24"/>
      <c r="L490" s="21"/>
      <c r="M490" s="25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6"/>
      <c r="AQ490" s="27"/>
      <c r="AR490" s="21"/>
      <c r="AS490" s="28"/>
    </row>
    <row r="491" spans="1:45" x14ac:dyDescent="0.35">
      <c r="A491" s="24"/>
      <c r="B491" s="21"/>
      <c r="C491" s="21"/>
      <c r="D491" s="21"/>
      <c r="E491" s="21"/>
      <c r="F491" s="21"/>
      <c r="G491" s="21"/>
      <c r="H491" s="21"/>
      <c r="I491" s="21"/>
      <c r="J491" s="21"/>
      <c r="K491" s="24"/>
      <c r="L491" s="21"/>
      <c r="M491" s="25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6"/>
      <c r="AQ491" s="27"/>
      <c r="AR491" s="21"/>
      <c r="AS491" s="28"/>
    </row>
    <row r="492" spans="1:45" x14ac:dyDescent="0.35">
      <c r="A492" s="29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30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22"/>
      <c r="AM492" s="22"/>
      <c r="AN492" s="22"/>
      <c r="AO492" s="21"/>
      <c r="AP492" s="26"/>
      <c r="AQ492" s="27"/>
      <c r="AR492" s="21"/>
      <c r="AS492" s="28"/>
    </row>
    <row r="493" spans="1:45" x14ac:dyDescent="0.35">
      <c r="A493" s="24"/>
      <c r="B493" s="21"/>
      <c r="C493" s="21"/>
      <c r="D493" s="21"/>
      <c r="E493" s="21"/>
      <c r="F493" s="21"/>
      <c r="G493" s="21"/>
      <c r="H493" s="21"/>
      <c r="I493" s="21"/>
      <c r="J493" s="21"/>
      <c r="K493" s="24"/>
      <c r="L493" s="21"/>
      <c r="M493" s="25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6"/>
      <c r="AQ493" s="27"/>
      <c r="AR493" s="21"/>
      <c r="AS493" s="28"/>
    </row>
    <row r="494" spans="1:45" x14ac:dyDescent="0.35">
      <c r="A494" s="24"/>
      <c r="B494" s="21"/>
      <c r="C494" s="21"/>
      <c r="D494" s="21"/>
      <c r="E494" s="21"/>
      <c r="F494" s="21"/>
      <c r="G494" s="21"/>
      <c r="H494" s="21"/>
      <c r="I494" s="21"/>
      <c r="J494" s="21"/>
      <c r="K494" s="24"/>
      <c r="L494" s="21"/>
      <c r="M494" s="25"/>
      <c r="N494" s="21"/>
      <c r="O494" s="21"/>
      <c r="P494" s="21"/>
      <c r="Q494" s="21"/>
      <c r="R494" s="21"/>
      <c r="S494" s="21"/>
      <c r="T494" s="21"/>
      <c r="U494" s="21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6"/>
      <c r="AQ494" s="27"/>
      <c r="AR494" s="21"/>
      <c r="AS494" s="28"/>
    </row>
    <row r="495" spans="1:45" x14ac:dyDescent="0.35">
      <c r="A495" s="24"/>
      <c r="B495" s="21"/>
      <c r="C495" s="21"/>
      <c r="D495" s="21"/>
      <c r="E495" s="21"/>
      <c r="F495" s="21"/>
      <c r="G495" s="21"/>
      <c r="H495" s="21"/>
      <c r="I495" s="21"/>
      <c r="J495" s="21"/>
      <c r="K495" s="24"/>
      <c r="L495" s="21"/>
      <c r="M495" s="25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6"/>
      <c r="AQ495" s="27"/>
      <c r="AR495" s="21"/>
      <c r="AS495" s="28"/>
    </row>
    <row r="496" spans="1:45" x14ac:dyDescent="0.35">
      <c r="A496" s="24"/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5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6"/>
      <c r="AQ496" s="27"/>
      <c r="AR496" s="21"/>
      <c r="AS496" s="28"/>
    </row>
    <row r="497" spans="1:45" x14ac:dyDescent="0.35">
      <c r="A497" s="29"/>
      <c r="B497" s="22"/>
      <c r="C497" s="22"/>
      <c r="D497" s="22"/>
      <c r="E497" s="22"/>
      <c r="F497" s="22"/>
      <c r="G497" s="22"/>
      <c r="H497" s="22"/>
      <c r="I497" s="22"/>
      <c r="J497" s="22"/>
      <c r="K497" s="29"/>
      <c r="L497" s="22"/>
      <c r="M497" s="30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22"/>
      <c r="AM497" s="22"/>
      <c r="AN497" s="22"/>
      <c r="AO497" s="21"/>
      <c r="AP497" s="26"/>
      <c r="AQ497" s="27"/>
      <c r="AR497" s="21"/>
      <c r="AS497" s="28"/>
    </row>
    <row r="498" spans="1:45" x14ac:dyDescent="0.35">
      <c r="A498" s="24"/>
      <c r="B498" s="21"/>
      <c r="C498" s="21"/>
      <c r="D498" s="21"/>
      <c r="E498" s="21"/>
      <c r="F498" s="21"/>
      <c r="G498" s="21"/>
      <c r="H498" s="21"/>
      <c r="I498" s="21"/>
      <c r="J498" s="21"/>
      <c r="K498" s="24"/>
      <c r="L498" s="21"/>
      <c r="M498" s="25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6"/>
      <c r="AQ498" s="27"/>
      <c r="AR498" s="21"/>
      <c r="AS498" s="28"/>
    </row>
    <row r="499" spans="1:45" x14ac:dyDescent="0.35">
      <c r="A499" s="24"/>
      <c r="B499" s="21"/>
      <c r="C499" s="21"/>
      <c r="D499" s="21"/>
      <c r="E499" s="21"/>
      <c r="F499" s="21"/>
      <c r="G499" s="21"/>
      <c r="H499" s="21"/>
      <c r="I499" s="21"/>
      <c r="J499" s="21"/>
      <c r="K499" s="24"/>
      <c r="L499" s="21"/>
      <c r="M499" s="25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6"/>
      <c r="AQ499" s="27"/>
      <c r="AR499" s="21"/>
      <c r="AS499" s="28"/>
    </row>
    <row r="500" spans="1:45" x14ac:dyDescent="0.35">
      <c r="A500" s="24"/>
      <c r="B500" s="21"/>
      <c r="C500" s="21"/>
      <c r="D500" s="21"/>
      <c r="E500" s="21"/>
      <c r="F500" s="21"/>
      <c r="G500" s="21"/>
      <c r="H500" s="21"/>
      <c r="I500" s="21"/>
      <c r="J500" s="21"/>
      <c r="K500" s="24"/>
      <c r="L500" s="21"/>
      <c r="M500" s="25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6"/>
      <c r="AQ500" s="27"/>
      <c r="AR500" s="21"/>
      <c r="AS500" s="28"/>
    </row>
    <row r="501" spans="1:45" x14ac:dyDescent="0.35">
      <c r="A501" s="24"/>
      <c r="B501" s="21"/>
      <c r="C501" s="21"/>
      <c r="D501" s="21"/>
      <c r="E501" s="21"/>
      <c r="F501" s="21"/>
      <c r="G501" s="21"/>
      <c r="H501" s="21"/>
      <c r="I501" s="21"/>
      <c r="J501" s="21"/>
      <c r="K501" s="24"/>
      <c r="L501" s="21"/>
      <c r="M501" s="25"/>
      <c r="N501" s="21"/>
      <c r="O501" s="21"/>
      <c r="P501" s="21"/>
      <c r="Q501" s="21"/>
      <c r="R501" s="21"/>
      <c r="S501" s="21"/>
      <c r="T501" s="21"/>
      <c r="U501" s="21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6"/>
      <c r="AQ501" s="27"/>
      <c r="AR501" s="21"/>
      <c r="AS501" s="28"/>
    </row>
    <row r="502" spans="1:45" x14ac:dyDescent="0.35">
      <c r="A502" s="24"/>
      <c r="B502" s="21"/>
      <c r="C502" s="21"/>
      <c r="D502" s="21"/>
      <c r="E502" s="21"/>
      <c r="F502" s="21"/>
      <c r="G502" s="21"/>
      <c r="H502" s="21"/>
      <c r="I502" s="21"/>
      <c r="J502" s="21"/>
      <c r="K502" s="21"/>
      <c r="L502" s="21"/>
      <c r="M502" s="25"/>
      <c r="N502" s="21"/>
      <c r="O502" s="21"/>
      <c r="P502" s="21"/>
      <c r="Q502" s="21"/>
      <c r="R502" s="21"/>
      <c r="S502" s="21"/>
      <c r="T502" s="21"/>
      <c r="U502" s="21"/>
      <c r="V502" s="2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6"/>
      <c r="AQ502" s="27"/>
      <c r="AR502" s="21"/>
      <c r="AS502" s="28"/>
    </row>
    <row r="503" spans="1:45" x14ac:dyDescent="0.35">
      <c r="A503" s="24"/>
      <c r="B503" s="21"/>
      <c r="C503" s="21"/>
      <c r="D503" s="21"/>
      <c r="E503" s="21"/>
      <c r="F503" s="21"/>
      <c r="G503" s="21"/>
      <c r="H503" s="21"/>
      <c r="I503" s="21"/>
      <c r="J503" s="21"/>
      <c r="K503" s="24"/>
      <c r="L503" s="21"/>
      <c r="M503" s="25"/>
      <c r="N503" s="21"/>
      <c r="O503" s="21"/>
      <c r="P503" s="21"/>
      <c r="Q503" s="21"/>
      <c r="R503" s="21"/>
      <c r="S503" s="21"/>
      <c r="T503" s="21"/>
      <c r="U503" s="21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1"/>
      <c r="AI503" s="21"/>
      <c r="AJ503" s="21"/>
      <c r="AK503" s="21"/>
      <c r="AL503" s="21"/>
      <c r="AM503" s="21"/>
      <c r="AN503" s="21"/>
      <c r="AO503" s="21"/>
      <c r="AP503" s="26"/>
      <c r="AQ503" s="27"/>
      <c r="AR503" s="21"/>
      <c r="AS503" s="28"/>
    </row>
    <row r="504" spans="1:45" x14ac:dyDescent="0.35">
      <c r="A504" s="24"/>
      <c r="B504" s="21"/>
      <c r="C504" s="21"/>
      <c r="D504" s="21"/>
      <c r="E504" s="21"/>
      <c r="F504" s="21"/>
      <c r="G504" s="21"/>
      <c r="H504" s="21"/>
      <c r="I504" s="21"/>
      <c r="J504" s="21"/>
      <c r="K504" s="21"/>
      <c r="L504" s="21"/>
      <c r="M504" s="25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  <c r="AF504" s="21"/>
      <c r="AG504" s="21"/>
      <c r="AH504" s="21"/>
      <c r="AI504" s="21"/>
      <c r="AJ504" s="21"/>
      <c r="AK504" s="21"/>
      <c r="AL504" s="21"/>
      <c r="AM504" s="21"/>
      <c r="AN504" s="21"/>
      <c r="AO504" s="21"/>
      <c r="AP504" s="26"/>
      <c r="AQ504" s="27"/>
      <c r="AR504" s="21"/>
      <c r="AS504" s="28"/>
    </row>
    <row r="505" spans="1:45" x14ac:dyDescent="0.35">
      <c r="A505" s="24"/>
      <c r="B505" s="21"/>
      <c r="C505" s="21"/>
      <c r="D505" s="21"/>
      <c r="E505" s="21"/>
      <c r="F505" s="21"/>
      <c r="G505" s="21"/>
      <c r="H505" s="21"/>
      <c r="I505" s="21"/>
      <c r="J505" s="21"/>
      <c r="K505" s="24"/>
      <c r="L505" s="21"/>
      <c r="M505" s="25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  <c r="AF505" s="21"/>
      <c r="AG505" s="21"/>
      <c r="AH505" s="21"/>
      <c r="AI505" s="21"/>
      <c r="AJ505" s="21"/>
      <c r="AK505" s="21"/>
      <c r="AL505" s="21"/>
      <c r="AM505" s="21"/>
      <c r="AN505" s="21"/>
      <c r="AO505" s="21"/>
      <c r="AP505" s="26"/>
      <c r="AQ505" s="27"/>
      <c r="AR505" s="21"/>
      <c r="AS505" s="28"/>
    </row>
    <row r="506" spans="1:45" x14ac:dyDescent="0.35">
      <c r="A506" s="24"/>
      <c r="B506" s="21"/>
      <c r="C506" s="21"/>
      <c r="D506" s="21"/>
      <c r="E506" s="21"/>
      <c r="F506" s="21"/>
      <c r="G506" s="21"/>
      <c r="H506" s="21"/>
      <c r="I506" s="21"/>
      <c r="J506" s="21"/>
      <c r="K506" s="24"/>
      <c r="L506" s="21"/>
      <c r="M506" s="25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6"/>
      <c r="AQ506" s="27"/>
      <c r="AR506" s="21"/>
      <c r="AS506" s="28"/>
    </row>
    <row r="507" spans="1:45" x14ac:dyDescent="0.35">
      <c r="A507" s="24"/>
      <c r="B507" s="21"/>
      <c r="C507" s="21"/>
      <c r="D507" s="21"/>
      <c r="E507" s="21"/>
      <c r="F507" s="21"/>
      <c r="G507" s="21"/>
      <c r="H507" s="21"/>
      <c r="I507" s="21"/>
      <c r="J507" s="21"/>
      <c r="K507" s="24"/>
      <c r="L507" s="21"/>
      <c r="M507" s="25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6"/>
      <c r="AQ507" s="27"/>
      <c r="AR507" s="21"/>
      <c r="AS507" s="28"/>
    </row>
    <row r="508" spans="1:45" x14ac:dyDescent="0.35">
      <c r="A508" s="24"/>
      <c r="B508" s="21"/>
      <c r="C508" s="21"/>
      <c r="D508" s="21"/>
      <c r="E508" s="21"/>
      <c r="F508" s="21"/>
      <c r="G508" s="21"/>
      <c r="H508" s="21"/>
      <c r="I508" s="21"/>
      <c r="J508" s="21"/>
      <c r="K508" s="21"/>
      <c r="L508" s="21"/>
      <c r="M508" s="25"/>
      <c r="N508" s="21"/>
      <c r="O508" s="21"/>
      <c r="P508" s="21"/>
      <c r="Q508" s="21"/>
      <c r="R508" s="21"/>
      <c r="S508" s="21"/>
      <c r="T508" s="21"/>
      <c r="U508" s="21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6"/>
      <c r="AQ508" s="27"/>
      <c r="AR508" s="21"/>
      <c r="AS508" s="28"/>
    </row>
    <row r="509" spans="1:45" x14ac:dyDescent="0.35">
      <c r="A509" s="29"/>
      <c r="B509" s="22"/>
      <c r="C509" s="22"/>
      <c r="D509" s="22"/>
      <c r="E509" s="22"/>
      <c r="F509" s="22"/>
      <c r="G509" s="22"/>
      <c r="H509" s="22"/>
      <c r="I509" s="22"/>
      <c r="J509" s="22"/>
      <c r="K509" s="29"/>
      <c r="L509" s="22"/>
      <c r="M509" s="30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1"/>
      <c r="AP509" s="26"/>
      <c r="AQ509" s="27"/>
      <c r="AR509" s="21"/>
      <c r="AS509" s="28"/>
    </row>
    <row r="510" spans="1:45" x14ac:dyDescent="0.35">
      <c r="A510" s="24"/>
      <c r="B510" s="21"/>
      <c r="C510" s="21"/>
      <c r="D510" s="21"/>
      <c r="E510" s="21"/>
      <c r="F510" s="21"/>
      <c r="G510" s="21"/>
      <c r="H510" s="21"/>
      <c r="I510" s="21"/>
      <c r="J510" s="21"/>
      <c r="K510" s="21"/>
      <c r="L510" s="21"/>
      <c r="M510" s="25"/>
      <c r="N510" s="21"/>
      <c r="O510" s="21"/>
      <c r="P510" s="21"/>
      <c r="Q510" s="21"/>
      <c r="R510" s="21"/>
      <c r="S510" s="21"/>
      <c r="T510" s="21"/>
      <c r="U510" s="21"/>
      <c r="V510" s="21"/>
      <c r="W510" s="21"/>
      <c r="X510" s="21"/>
      <c r="Y510" s="21"/>
      <c r="Z510" s="21"/>
      <c r="AA510" s="21"/>
      <c r="AB510" s="21"/>
      <c r="AC510" s="21"/>
      <c r="AD510" s="21"/>
      <c r="AE510" s="21"/>
      <c r="AF510" s="21"/>
      <c r="AG510" s="21"/>
      <c r="AH510" s="21"/>
      <c r="AI510" s="21"/>
      <c r="AJ510" s="21"/>
      <c r="AK510" s="21"/>
      <c r="AL510" s="21"/>
      <c r="AM510" s="21"/>
      <c r="AN510" s="21"/>
      <c r="AO510" s="21"/>
      <c r="AP510" s="26"/>
      <c r="AQ510" s="27"/>
      <c r="AR510" s="21"/>
      <c r="AS510" s="28"/>
    </row>
    <row r="511" spans="1:45" x14ac:dyDescent="0.35">
      <c r="A511" s="24"/>
      <c r="B511" s="21"/>
      <c r="C511" s="21"/>
      <c r="D511" s="21"/>
      <c r="E511" s="21"/>
      <c r="F511" s="21"/>
      <c r="G511" s="21"/>
      <c r="H511" s="21"/>
      <c r="I511" s="21"/>
      <c r="J511" s="21"/>
      <c r="K511" s="24"/>
      <c r="L511" s="21"/>
      <c r="M511" s="25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1"/>
      <c r="AI511" s="21"/>
      <c r="AJ511" s="21"/>
      <c r="AK511" s="21"/>
      <c r="AL511" s="21"/>
      <c r="AM511" s="21"/>
      <c r="AN511" s="21"/>
      <c r="AO511" s="21"/>
      <c r="AP511" s="26"/>
      <c r="AQ511" s="27"/>
      <c r="AR511" s="21"/>
      <c r="AS511" s="28"/>
    </row>
    <row r="512" spans="1:45" x14ac:dyDescent="0.35">
      <c r="A512" s="29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30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1"/>
      <c r="AP512" s="26"/>
      <c r="AQ512" s="27"/>
      <c r="AR512" s="21"/>
      <c r="AS512" s="28"/>
    </row>
    <row r="513" spans="1:45" x14ac:dyDescent="0.35">
      <c r="A513" s="24"/>
      <c r="B513" s="21"/>
      <c r="C513" s="21"/>
      <c r="D513" s="21"/>
      <c r="E513" s="21"/>
      <c r="F513" s="21"/>
      <c r="G513" s="21"/>
      <c r="H513" s="21"/>
      <c r="I513" s="21"/>
      <c r="J513" s="21"/>
      <c r="K513" s="21"/>
      <c r="L513" s="21"/>
      <c r="M513" s="25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  <c r="AF513" s="21"/>
      <c r="AG513" s="21"/>
      <c r="AH513" s="21"/>
      <c r="AI513" s="21"/>
      <c r="AJ513" s="21"/>
      <c r="AK513" s="21"/>
      <c r="AL513" s="21"/>
      <c r="AM513" s="21"/>
      <c r="AN513" s="21"/>
      <c r="AO513" s="21"/>
      <c r="AP513" s="26"/>
      <c r="AQ513" s="27"/>
      <c r="AR513" s="21"/>
      <c r="AS513" s="28"/>
    </row>
    <row r="514" spans="1:45" x14ac:dyDescent="0.35">
      <c r="A514" s="24"/>
      <c r="B514" s="21"/>
      <c r="C514" s="21"/>
      <c r="D514" s="21"/>
      <c r="E514" s="21"/>
      <c r="F514" s="21"/>
      <c r="G514" s="21"/>
      <c r="H514" s="21"/>
      <c r="I514" s="21"/>
      <c r="J514" s="21"/>
      <c r="K514" s="21"/>
      <c r="L514" s="21"/>
      <c r="M514" s="25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  <c r="AF514" s="21"/>
      <c r="AG514" s="21"/>
      <c r="AH514" s="21"/>
      <c r="AI514" s="21"/>
      <c r="AJ514" s="21"/>
      <c r="AK514" s="21"/>
      <c r="AL514" s="21"/>
      <c r="AM514" s="21"/>
      <c r="AN514" s="21"/>
      <c r="AO514" s="21"/>
      <c r="AP514" s="26"/>
      <c r="AQ514" s="27"/>
      <c r="AR514" s="21"/>
      <c r="AS514" s="28"/>
    </row>
    <row r="515" spans="1:45" x14ac:dyDescent="0.35">
      <c r="A515" s="24"/>
      <c r="B515" s="21"/>
      <c r="C515" s="21"/>
      <c r="D515" s="21"/>
      <c r="E515" s="21"/>
      <c r="F515" s="21"/>
      <c r="G515" s="21"/>
      <c r="H515" s="21"/>
      <c r="I515" s="21"/>
      <c r="J515" s="21"/>
      <c r="K515" s="24"/>
      <c r="L515" s="21"/>
      <c r="M515" s="25"/>
      <c r="N515" s="21"/>
      <c r="O515" s="21"/>
      <c r="P515" s="21"/>
      <c r="Q515" s="21"/>
      <c r="R515" s="21"/>
      <c r="S515" s="21"/>
      <c r="T515" s="21"/>
      <c r="U515" s="21"/>
      <c r="V515" s="21"/>
      <c r="W515" s="21"/>
      <c r="X515" s="21"/>
      <c r="Y515" s="21"/>
      <c r="Z515" s="21"/>
      <c r="AA515" s="21"/>
      <c r="AB515" s="21"/>
      <c r="AC515" s="21"/>
      <c r="AD515" s="21"/>
      <c r="AE515" s="21"/>
      <c r="AF515" s="21"/>
      <c r="AG515" s="21"/>
      <c r="AH515" s="21"/>
      <c r="AI515" s="21"/>
      <c r="AJ515" s="21"/>
      <c r="AK515" s="21"/>
      <c r="AL515" s="21"/>
      <c r="AM515" s="21"/>
      <c r="AN515" s="21"/>
      <c r="AO515" s="21"/>
      <c r="AP515" s="26"/>
      <c r="AQ515" s="27"/>
      <c r="AR515" s="21"/>
      <c r="AS515" s="28"/>
    </row>
    <row r="516" spans="1:45" x14ac:dyDescent="0.35">
      <c r="A516" s="29"/>
      <c r="B516" s="22"/>
      <c r="C516" s="22"/>
      <c r="D516" s="22"/>
      <c r="E516" s="22"/>
      <c r="F516" s="22"/>
      <c r="G516" s="22"/>
      <c r="H516" s="22"/>
      <c r="I516" s="22"/>
      <c r="J516" s="22"/>
      <c r="K516" s="29"/>
      <c r="L516" s="22"/>
      <c r="M516" s="30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22"/>
      <c r="AM516" s="22"/>
      <c r="AN516" s="22"/>
      <c r="AO516" s="21"/>
      <c r="AP516" s="26"/>
      <c r="AQ516" s="27"/>
      <c r="AR516" s="21"/>
      <c r="AS516" s="28"/>
    </row>
    <row r="517" spans="1:45" x14ac:dyDescent="0.35">
      <c r="A517" s="29"/>
      <c r="B517" s="22"/>
      <c r="C517" s="22"/>
      <c r="D517" s="22"/>
      <c r="E517" s="22"/>
      <c r="F517" s="22"/>
      <c r="G517" s="22"/>
      <c r="H517" s="22"/>
      <c r="I517" s="22"/>
      <c r="J517" s="22"/>
      <c r="K517" s="29"/>
      <c r="L517" s="22"/>
      <c r="M517" s="30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22"/>
      <c r="AM517" s="22"/>
      <c r="AN517" s="22"/>
      <c r="AO517" s="21"/>
      <c r="AP517" s="26"/>
      <c r="AQ517" s="27"/>
      <c r="AR517" s="21"/>
      <c r="AS517" s="28"/>
    </row>
    <row r="518" spans="1:45" x14ac:dyDescent="0.35">
      <c r="A518" s="29"/>
      <c r="B518" s="22"/>
      <c r="C518" s="22"/>
      <c r="D518" s="22"/>
      <c r="E518" s="22"/>
      <c r="F518" s="22"/>
      <c r="G518" s="22"/>
      <c r="H518" s="22"/>
      <c r="I518" s="22"/>
      <c r="J518" s="22"/>
      <c r="K518" s="29"/>
      <c r="L518" s="22"/>
      <c r="M518" s="30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22"/>
      <c r="AM518" s="22"/>
      <c r="AN518" s="22"/>
      <c r="AO518" s="21"/>
      <c r="AP518" s="26"/>
      <c r="AQ518" s="27"/>
      <c r="AR518" s="21"/>
      <c r="AS518" s="28"/>
    </row>
    <row r="519" spans="1:45" x14ac:dyDescent="0.35">
      <c r="A519" s="29"/>
      <c r="B519" s="22"/>
      <c r="C519" s="22"/>
      <c r="D519" s="22"/>
      <c r="E519" s="22"/>
      <c r="F519" s="22"/>
      <c r="G519" s="22"/>
      <c r="H519" s="22"/>
      <c r="I519" s="22"/>
      <c r="J519" s="22"/>
      <c r="K519" s="29"/>
      <c r="L519" s="22"/>
      <c r="M519" s="30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22"/>
      <c r="AM519" s="22"/>
      <c r="AN519" s="22"/>
      <c r="AO519" s="21"/>
      <c r="AP519" s="26"/>
      <c r="AQ519" s="27"/>
      <c r="AR519" s="21"/>
      <c r="AS519" s="28"/>
    </row>
    <row r="520" spans="1:45" x14ac:dyDescent="0.35">
      <c r="A520" s="29"/>
      <c r="B520" s="22"/>
      <c r="C520" s="22"/>
      <c r="D520" s="22"/>
      <c r="E520" s="22"/>
      <c r="F520" s="22"/>
      <c r="G520" s="22"/>
      <c r="H520" s="22"/>
      <c r="I520" s="22"/>
      <c r="J520" s="22"/>
      <c r="K520" s="29"/>
      <c r="L520" s="22"/>
      <c r="M520" s="30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1"/>
      <c r="AP520" s="26"/>
      <c r="AQ520" s="27"/>
      <c r="AR520" s="21"/>
      <c r="AS520" s="28"/>
    </row>
    <row r="521" spans="1:45" x14ac:dyDescent="0.35">
      <c r="A521" s="29"/>
      <c r="B521" s="22"/>
      <c r="C521" s="22"/>
      <c r="D521" s="22"/>
      <c r="E521" s="22"/>
      <c r="F521" s="22"/>
      <c r="G521" s="22"/>
      <c r="H521" s="22"/>
      <c r="I521" s="22"/>
      <c r="J521" s="22"/>
      <c r="K521" s="29"/>
      <c r="L521" s="22"/>
      <c r="M521" s="30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1"/>
      <c r="AP521" s="26"/>
      <c r="AQ521" s="27"/>
      <c r="AR521" s="21"/>
      <c r="AS521" s="28"/>
    </row>
    <row r="522" spans="1:45" x14ac:dyDescent="0.35">
      <c r="A522" s="29"/>
      <c r="B522" s="22"/>
      <c r="C522" s="22"/>
      <c r="D522" s="22"/>
      <c r="E522" s="22"/>
      <c r="F522" s="22"/>
      <c r="G522" s="22"/>
      <c r="H522" s="22"/>
      <c r="I522" s="22"/>
      <c r="J522" s="22"/>
      <c r="K522" s="29"/>
      <c r="L522" s="22"/>
      <c r="M522" s="30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1"/>
      <c r="AP522" s="26"/>
      <c r="AQ522" s="27"/>
      <c r="AR522" s="21"/>
      <c r="AS522" s="28"/>
    </row>
    <row r="523" spans="1:45" x14ac:dyDescent="0.35">
      <c r="A523" s="29"/>
      <c r="B523" s="22"/>
      <c r="C523" s="22"/>
      <c r="D523" s="22"/>
      <c r="E523" s="22"/>
      <c r="F523" s="22"/>
      <c r="G523" s="22"/>
      <c r="H523" s="22"/>
      <c r="I523" s="22"/>
      <c r="J523" s="22"/>
      <c r="K523" s="29"/>
      <c r="L523" s="22"/>
      <c r="M523" s="30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1"/>
      <c r="AP523" s="26"/>
      <c r="AQ523" s="27"/>
      <c r="AR523" s="21"/>
      <c r="AS523" s="28"/>
    </row>
    <row r="524" spans="1:45" x14ac:dyDescent="0.35">
      <c r="A524" s="29"/>
      <c r="B524" s="22"/>
      <c r="C524" s="22"/>
      <c r="D524" s="22"/>
      <c r="E524" s="22"/>
      <c r="F524" s="22"/>
      <c r="G524" s="22"/>
      <c r="H524" s="22"/>
      <c r="I524" s="22"/>
      <c r="J524" s="22"/>
      <c r="K524" s="29"/>
      <c r="L524" s="22"/>
      <c r="M524" s="30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1"/>
      <c r="AP524" s="26"/>
      <c r="AQ524" s="27"/>
      <c r="AR524" s="21"/>
      <c r="AS524" s="28"/>
    </row>
    <row r="525" spans="1:45" x14ac:dyDescent="0.35">
      <c r="A525" s="29"/>
      <c r="B525" s="22"/>
      <c r="C525" s="22"/>
      <c r="D525" s="22"/>
      <c r="E525" s="22"/>
      <c r="F525" s="22"/>
      <c r="G525" s="22"/>
      <c r="H525" s="22"/>
      <c r="I525" s="22"/>
      <c r="J525" s="22"/>
      <c r="K525" s="29"/>
      <c r="L525" s="22"/>
      <c r="M525" s="30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1"/>
      <c r="AP525" s="26"/>
      <c r="AQ525" s="27"/>
      <c r="AR525" s="21"/>
      <c r="AS525" s="28"/>
    </row>
    <row r="526" spans="1:45" x14ac:dyDescent="0.35">
      <c r="A526" s="29"/>
      <c r="B526" s="22"/>
      <c r="C526" s="22"/>
      <c r="D526" s="22"/>
      <c r="E526" s="22"/>
      <c r="F526" s="22"/>
      <c r="G526" s="22"/>
      <c r="H526" s="22"/>
      <c r="I526" s="22"/>
      <c r="J526" s="22"/>
      <c r="K526" s="29"/>
      <c r="L526" s="22"/>
      <c r="M526" s="30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1"/>
      <c r="AP526" s="26"/>
      <c r="AQ526" s="27"/>
      <c r="AR526" s="21"/>
      <c r="AS526" s="28"/>
    </row>
    <row r="527" spans="1:45" x14ac:dyDescent="0.35">
      <c r="A527" s="29"/>
      <c r="B527" s="22"/>
      <c r="C527" s="22"/>
      <c r="D527" s="22"/>
      <c r="E527" s="22"/>
      <c r="F527" s="22"/>
      <c r="G527" s="22"/>
      <c r="H527" s="22"/>
      <c r="I527" s="22"/>
      <c r="J527" s="22"/>
      <c r="K527" s="29"/>
      <c r="L527" s="22"/>
      <c r="M527" s="30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1"/>
      <c r="AP527" s="26"/>
      <c r="AQ527" s="27"/>
      <c r="AR527" s="21"/>
      <c r="AS527" s="28"/>
    </row>
    <row r="528" spans="1:45" x14ac:dyDescent="0.35">
      <c r="A528" s="24"/>
      <c r="B528" s="21"/>
      <c r="C528" s="21"/>
      <c r="D528" s="21"/>
      <c r="E528" s="21"/>
      <c r="F528" s="21"/>
      <c r="G528" s="21"/>
      <c r="H528" s="21"/>
      <c r="I528" s="21"/>
      <c r="J528" s="21"/>
      <c r="K528" s="24"/>
      <c r="L528" s="21"/>
      <c r="M528" s="25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6"/>
      <c r="AQ528" s="27"/>
      <c r="AR528" s="21"/>
      <c r="AS528" s="28"/>
    </row>
    <row r="529" spans="1:45" x14ac:dyDescent="0.35">
      <c r="A529" s="24"/>
      <c r="B529" s="21"/>
      <c r="C529" s="21"/>
      <c r="D529" s="21"/>
      <c r="E529" s="21"/>
      <c r="F529" s="21"/>
      <c r="G529" s="21"/>
      <c r="H529" s="21"/>
      <c r="I529" s="21"/>
      <c r="J529" s="21"/>
      <c r="K529" s="24"/>
      <c r="L529" s="21"/>
      <c r="M529" s="25"/>
      <c r="N529" s="21"/>
      <c r="O529" s="21"/>
      <c r="P529" s="21"/>
      <c r="Q529" s="21"/>
      <c r="R529" s="21"/>
      <c r="S529" s="21"/>
      <c r="T529" s="21"/>
      <c r="U529" s="21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6"/>
      <c r="AQ529" s="27"/>
      <c r="AR529" s="21"/>
      <c r="AS529" s="28"/>
    </row>
    <row r="530" spans="1:45" x14ac:dyDescent="0.35">
      <c r="A530" s="24"/>
      <c r="B530" s="21"/>
      <c r="C530" s="21"/>
      <c r="D530" s="21"/>
      <c r="E530" s="21"/>
      <c r="F530" s="21"/>
      <c r="G530" s="21"/>
      <c r="H530" s="21"/>
      <c r="I530" s="21"/>
      <c r="J530" s="21"/>
      <c r="K530" s="24"/>
      <c r="L530" s="21"/>
      <c r="M530" s="25"/>
      <c r="N530" s="21"/>
      <c r="O530" s="21"/>
      <c r="P530" s="21"/>
      <c r="Q530" s="21"/>
      <c r="R530" s="21"/>
      <c r="S530" s="21"/>
      <c r="T530" s="21"/>
      <c r="U530" s="21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6"/>
      <c r="AQ530" s="27"/>
      <c r="AR530" s="21"/>
      <c r="AS530" s="28"/>
    </row>
    <row r="531" spans="1:45" x14ac:dyDescent="0.35">
      <c r="A531" s="24"/>
      <c r="B531" s="21"/>
      <c r="C531" s="21"/>
      <c r="D531" s="21"/>
      <c r="E531" s="21"/>
      <c r="F531" s="21"/>
      <c r="G531" s="21"/>
      <c r="H531" s="21"/>
      <c r="I531" s="21"/>
      <c r="J531" s="21"/>
      <c r="K531" s="24"/>
      <c r="L531" s="21"/>
      <c r="M531" s="25"/>
      <c r="N531" s="21"/>
      <c r="O531" s="21"/>
      <c r="P531" s="21"/>
      <c r="Q531" s="21"/>
      <c r="R531" s="21"/>
      <c r="S531" s="21"/>
      <c r="T531" s="21"/>
      <c r="U531" s="21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6"/>
      <c r="AQ531" s="27"/>
      <c r="AR531" s="21"/>
      <c r="AS531" s="28"/>
    </row>
    <row r="532" spans="1:45" x14ac:dyDescent="0.35">
      <c r="A532" s="24"/>
      <c r="B532" s="21"/>
      <c r="C532" s="21"/>
      <c r="D532" s="21"/>
      <c r="E532" s="21"/>
      <c r="F532" s="21"/>
      <c r="G532" s="21"/>
      <c r="H532" s="21"/>
      <c r="I532" s="21"/>
      <c r="J532" s="21"/>
      <c r="K532" s="21"/>
      <c r="L532" s="21"/>
      <c r="M532" s="25"/>
      <c r="N532" s="21"/>
      <c r="O532" s="21"/>
      <c r="P532" s="21"/>
      <c r="Q532" s="21"/>
      <c r="R532" s="21"/>
      <c r="S532" s="21"/>
      <c r="T532" s="21"/>
      <c r="U532" s="21"/>
      <c r="V532" s="2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6"/>
      <c r="AQ532" s="27"/>
      <c r="AR532" s="21"/>
      <c r="AS532" s="28"/>
    </row>
    <row r="533" spans="1:45" x14ac:dyDescent="0.35">
      <c r="A533" s="24"/>
      <c r="B533" s="21"/>
      <c r="C533" s="21"/>
      <c r="D533" s="21"/>
      <c r="E533" s="21"/>
      <c r="F533" s="21"/>
      <c r="G533" s="21"/>
      <c r="H533" s="21"/>
      <c r="I533" s="21"/>
      <c r="J533" s="21"/>
      <c r="K533" s="21"/>
      <c r="L533" s="21"/>
      <c r="M533" s="25"/>
      <c r="N533" s="21"/>
      <c r="O533" s="21"/>
      <c r="P533" s="21"/>
      <c r="Q533" s="21"/>
      <c r="R533" s="21"/>
      <c r="S533" s="21"/>
      <c r="T533" s="21"/>
      <c r="U533" s="21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6"/>
      <c r="AQ533" s="27"/>
      <c r="AR533" s="21"/>
      <c r="AS533" s="28"/>
    </row>
    <row r="534" spans="1:45" x14ac:dyDescent="0.35">
      <c r="A534" s="24"/>
      <c r="B534" s="21"/>
      <c r="C534" s="21"/>
      <c r="D534" s="21"/>
      <c r="E534" s="21"/>
      <c r="F534" s="21"/>
      <c r="G534" s="21"/>
      <c r="H534" s="21"/>
      <c r="I534" s="21"/>
      <c r="J534" s="21"/>
      <c r="K534" s="21"/>
      <c r="L534" s="21"/>
      <c r="M534" s="25"/>
      <c r="N534" s="21"/>
      <c r="O534" s="21"/>
      <c r="P534" s="21"/>
      <c r="Q534" s="21"/>
      <c r="R534" s="21"/>
      <c r="S534" s="21"/>
      <c r="T534" s="21"/>
      <c r="U534" s="21"/>
      <c r="V534" s="2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6"/>
      <c r="AQ534" s="27"/>
      <c r="AR534" s="21"/>
      <c r="AS534" s="28"/>
    </row>
    <row r="535" spans="1:45" x14ac:dyDescent="0.35">
      <c r="A535" s="31"/>
      <c r="B535" s="32"/>
      <c r="C535" s="32"/>
      <c r="D535" s="32"/>
      <c r="E535" s="32"/>
      <c r="F535" s="32"/>
      <c r="G535" s="32"/>
      <c r="H535" s="32"/>
      <c r="I535" s="32"/>
      <c r="J535" s="32"/>
      <c r="K535" s="32"/>
      <c r="L535" s="32"/>
      <c r="M535" s="33"/>
      <c r="N535" s="32"/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21"/>
      <c r="AP535" s="26"/>
      <c r="AQ535" s="27"/>
      <c r="AR535" s="21"/>
      <c r="AS535" s="28"/>
    </row>
    <row r="536" spans="1:45" x14ac:dyDescent="0.35">
      <c r="A536" s="24"/>
      <c r="B536" s="21"/>
      <c r="C536" s="21"/>
      <c r="D536" s="21"/>
      <c r="E536" s="21"/>
      <c r="F536" s="21"/>
      <c r="G536" s="21"/>
      <c r="H536" s="21"/>
      <c r="I536" s="21"/>
      <c r="J536" s="21"/>
      <c r="K536" s="21"/>
      <c r="L536" s="21"/>
      <c r="M536" s="25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6"/>
      <c r="AQ536" s="27"/>
      <c r="AR536" s="21"/>
      <c r="AS536" s="28"/>
    </row>
    <row r="537" spans="1:45" x14ac:dyDescent="0.35">
      <c r="A537" s="24"/>
      <c r="B537" s="21"/>
      <c r="C537" s="21"/>
      <c r="D537" s="21"/>
      <c r="E537" s="21"/>
      <c r="F537" s="21"/>
      <c r="G537" s="21"/>
      <c r="H537" s="21"/>
      <c r="I537" s="21"/>
      <c r="J537" s="21"/>
      <c r="K537" s="24"/>
      <c r="L537" s="21"/>
      <c r="M537" s="25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6"/>
      <c r="AQ537" s="27"/>
      <c r="AR537" s="21"/>
      <c r="AS537" s="28"/>
    </row>
    <row r="538" spans="1:45" x14ac:dyDescent="0.35">
      <c r="A538" s="24"/>
      <c r="B538" s="21"/>
      <c r="C538" s="21"/>
      <c r="D538" s="21"/>
      <c r="E538" s="21"/>
      <c r="F538" s="21"/>
      <c r="G538" s="21"/>
      <c r="H538" s="21"/>
      <c r="I538" s="21"/>
      <c r="J538" s="21"/>
      <c r="K538" s="24"/>
      <c r="L538" s="21"/>
      <c r="M538" s="25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6"/>
      <c r="AQ538" s="27"/>
      <c r="AR538" s="21"/>
      <c r="AS538" s="28"/>
    </row>
    <row r="539" spans="1:45" x14ac:dyDescent="0.35">
      <c r="A539" s="24"/>
      <c r="B539" s="21"/>
      <c r="C539" s="21"/>
      <c r="D539" s="21"/>
      <c r="E539" s="21"/>
      <c r="F539" s="21"/>
      <c r="G539" s="21"/>
      <c r="H539" s="21"/>
      <c r="I539" s="21"/>
      <c r="J539" s="21"/>
      <c r="K539" s="24"/>
      <c r="L539" s="21"/>
      <c r="M539" s="25"/>
      <c r="N539" s="21"/>
      <c r="O539" s="21"/>
      <c r="P539" s="21"/>
      <c r="Q539" s="21"/>
      <c r="R539" s="21"/>
      <c r="S539" s="21"/>
      <c r="T539" s="21"/>
      <c r="U539" s="21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6"/>
      <c r="AQ539" s="27"/>
      <c r="AR539" s="21"/>
      <c r="AS539" s="28"/>
    </row>
    <row r="540" spans="1:45" x14ac:dyDescent="0.35">
      <c r="A540" s="24"/>
      <c r="B540" s="21"/>
      <c r="C540" s="21"/>
      <c r="D540" s="21"/>
      <c r="E540" s="21"/>
      <c r="F540" s="21"/>
      <c r="G540" s="21"/>
      <c r="H540" s="21"/>
      <c r="I540" s="21"/>
      <c r="J540" s="21"/>
      <c r="K540" s="21"/>
      <c r="L540" s="21"/>
      <c r="M540" s="25"/>
      <c r="N540" s="21"/>
      <c r="O540" s="21"/>
      <c r="P540" s="21"/>
      <c r="Q540" s="21"/>
      <c r="R540" s="21"/>
      <c r="S540" s="21"/>
      <c r="T540" s="21"/>
      <c r="U540" s="21"/>
      <c r="V540" s="21"/>
      <c r="W540" s="21"/>
      <c r="X540" s="21"/>
      <c r="Y540" s="21"/>
      <c r="Z540" s="21"/>
      <c r="AA540" s="21"/>
      <c r="AB540" s="21"/>
      <c r="AC540" s="21"/>
      <c r="AD540" s="21"/>
      <c r="AE540" s="21"/>
      <c r="AF540" s="21"/>
      <c r="AG540" s="21"/>
      <c r="AH540" s="21"/>
      <c r="AI540" s="21"/>
      <c r="AJ540" s="21"/>
      <c r="AK540" s="21"/>
      <c r="AL540" s="21"/>
      <c r="AM540" s="21"/>
      <c r="AN540" s="21"/>
      <c r="AO540" s="21"/>
      <c r="AP540" s="26"/>
      <c r="AQ540" s="27"/>
      <c r="AR540" s="21"/>
      <c r="AS540" s="28"/>
    </row>
    <row r="541" spans="1:45" x14ac:dyDescent="0.35">
      <c r="A541" s="29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30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22"/>
      <c r="AM541" s="22"/>
      <c r="AN541" s="22"/>
      <c r="AO541" s="21"/>
      <c r="AP541" s="26"/>
      <c r="AQ541" s="27"/>
      <c r="AR541" s="21"/>
      <c r="AS541" s="28"/>
    </row>
    <row r="542" spans="1:45" x14ac:dyDescent="0.35">
      <c r="A542" s="24"/>
      <c r="B542" s="21"/>
      <c r="C542" s="21"/>
      <c r="D542" s="21"/>
      <c r="E542" s="21"/>
      <c r="F542" s="21"/>
      <c r="G542" s="21"/>
      <c r="H542" s="21"/>
      <c r="I542" s="21"/>
      <c r="J542" s="21"/>
      <c r="K542" s="21"/>
      <c r="L542" s="21"/>
      <c r="M542" s="25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6"/>
      <c r="AQ542" s="27"/>
      <c r="AR542" s="21"/>
      <c r="AS542" s="28"/>
    </row>
    <row r="543" spans="1:45" x14ac:dyDescent="0.35">
      <c r="A543" s="24"/>
      <c r="B543" s="21"/>
      <c r="C543" s="21"/>
      <c r="D543" s="21"/>
      <c r="E543" s="21"/>
      <c r="F543" s="21"/>
      <c r="G543" s="21"/>
      <c r="H543" s="21"/>
      <c r="I543" s="21"/>
      <c r="J543" s="21"/>
      <c r="K543" s="24"/>
      <c r="L543" s="21"/>
      <c r="M543" s="25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6"/>
      <c r="AQ543" s="27"/>
      <c r="AR543" s="21"/>
      <c r="AS543" s="28"/>
    </row>
    <row r="544" spans="1:45" x14ac:dyDescent="0.35">
      <c r="A544" s="24"/>
      <c r="B544" s="21"/>
      <c r="C544" s="21"/>
      <c r="D544" s="21"/>
      <c r="E544" s="21"/>
      <c r="F544" s="21"/>
      <c r="G544" s="21"/>
      <c r="H544" s="21"/>
      <c r="I544" s="21"/>
      <c r="J544" s="21"/>
      <c r="K544" s="24"/>
      <c r="L544" s="21"/>
      <c r="M544" s="25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6"/>
      <c r="AQ544" s="27"/>
      <c r="AR544" s="21"/>
      <c r="AS544" s="28"/>
    </row>
    <row r="545" spans="1:45" x14ac:dyDescent="0.35">
      <c r="A545" s="24"/>
      <c r="B545" s="21"/>
      <c r="C545" s="21"/>
      <c r="D545" s="21"/>
      <c r="E545" s="21"/>
      <c r="F545" s="21"/>
      <c r="G545" s="21"/>
      <c r="H545" s="21"/>
      <c r="I545" s="21"/>
      <c r="J545" s="21"/>
      <c r="K545" s="21"/>
      <c r="L545" s="21"/>
      <c r="M545" s="25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6"/>
      <c r="AQ545" s="27"/>
      <c r="AR545" s="21"/>
      <c r="AS545" s="28"/>
    </row>
    <row r="546" spans="1:45" x14ac:dyDescent="0.35">
      <c r="A546" s="24"/>
      <c r="B546" s="21"/>
      <c r="C546" s="21"/>
      <c r="D546" s="21"/>
      <c r="E546" s="21"/>
      <c r="F546" s="21"/>
      <c r="G546" s="21"/>
      <c r="H546" s="21"/>
      <c r="I546" s="21"/>
      <c r="J546" s="21"/>
      <c r="K546" s="24"/>
      <c r="L546" s="21"/>
      <c r="M546" s="25"/>
      <c r="N546" s="21"/>
      <c r="O546" s="21"/>
      <c r="P546" s="21"/>
      <c r="Q546" s="21"/>
      <c r="R546" s="21"/>
      <c r="S546" s="21"/>
      <c r="T546" s="21"/>
      <c r="U546" s="21"/>
      <c r="V546" s="2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1"/>
      <c r="AI546" s="21"/>
      <c r="AJ546" s="21"/>
      <c r="AK546" s="21"/>
      <c r="AL546" s="21"/>
      <c r="AM546" s="21"/>
      <c r="AN546" s="21"/>
      <c r="AO546" s="21"/>
      <c r="AP546" s="26"/>
      <c r="AQ546" s="27"/>
      <c r="AR546" s="21"/>
      <c r="AS546" s="28"/>
    </row>
    <row r="547" spans="1:45" x14ac:dyDescent="0.35">
      <c r="A547" s="29"/>
      <c r="B547" s="22"/>
      <c r="C547" s="22"/>
      <c r="D547" s="22"/>
      <c r="E547" s="22"/>
      <c r="F547" s="22"/>
      <c r="G547" s="22"/>
      <c r="H547" s="22"/>
      <c r="I547" s="22"/>
      <c r="J547" s="22"/>
      <c r="K547" s="29"/>
      <c r="L547" s="22"/>
      <c r="M547" s="30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22"/>
      <c r="AM547" s="22"/>
      <c r="AN547" s="22"/>
      <c r="AO547" s="21"/>
      <c r="AP547" s="26"/>
      <c r="AQ547" s="27"/>
      <c r="AR547" s="21"/>
      <c r="AS547" s="28"/>
    </row>
    <row r="548" spans="1:45" x14ac:dyDescent="0.35">
      <c r="A548" s="24"/>
      <c r="B548" s="21"/>
      <c r="C548" s="21"/>
      <c r="D548" s="21"/>
      <c r="E548" s="21"/>
      <c r="F548" s="21"/>
      <c r="G548" s="21"/>
      <c r="H548" s="21"/>
      <c r="I548" s="21"/>
      <c r="J548" s="21"/>
      <c r="K548" s="24"/>
      <c r="L548" s="21"/>
      <c r="M548" s="25"/>
      <c r="N548" s="21"/>
      <c r="O548" s="21"/>
      <c r="P548" s="21"/>
      <c r="Q548" s="21"/>
      <c r="R548" s="21"/>
      <c r="S548" s="21"/>
      <c r="T548" s="21"/>
      <c r="U548" s="21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6"/>
      <c r="AQ548" s="27"/>
      <c r="AR548" s="21"/>
      <c r="AS548" s="28"/>
    </row>
    <row r="549" spans="1:45" x14ac:dyDescent="0.35">
      <c r="A549" s="24"/>
      <c r="B549" s="21"/>
      <c r="C549" s="21"/>
      <c r="D549" s="21"/>
      <c r="E549" s="21"/>
      <c r="F549" s="21"/>
      <c r="G549" s="21"/>
      <c r="H549" s="21"/>
      <c r="I549" s="21"/>
      <c r="J549" s="21"/>
      <c r="K549" s="24"/>
      <c r="L549" s="21"/>
      <c r="M549" s="25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6"/>
      <c r="AQ549" s="27"/>
      <c r="AR549" s="21"/>
      <c r="AS549" s="28"/>
    </row>
    <row r="550" spans="1:45" x14ac:dyDescent="0.35">
      <c r="A550" s="24"/>
      <c r="B550" s="21"/>
      <c r="C550" s="21"/>
      <c r="D550" s="21"/>
      <c r="E550" s="21"/>
      <c r="F550" s="21"/>
      <c r="G550" s="21"/>
      <c r="H550" s="21"/>
      <c r="I550" s="21"/>
      <c r="J550" s="21"/>
      <c r="K550" s="24"/>
      <c r="L550" s="21"/>
      <c r="M550" s="25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6"/>
      <c r="AQ550" s="27"/>
      <c r="AR550" s="21"/>
      <c r="AS550" s="28"/>
    </row>
    <row r="551" spans="1:45" x14ac:dyDescent="0.35">
      <c r="A551" s="24"/>
      <c r="B551" s="21"/>
      <c r="C551" s="21"/>
      <c r="D551" s="21"/>
      <c r="E551" s="21"/>
      <c r="F551" s="21"/>
      <c r="G551" s="21"/>
      <c r="H551" s="21"/>
      <c r="I551" s="21"/>
      <c r="J551" s="21"/>
      <c r="K551" s="24"/>
      <c r="L551" s="21"/>
      <c r="M551" s="25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6"/>
      <c r="AQ551" s="27"/>
      <c r="AR551" s="21"/>
      <c r="AS551" s="28"/>
    </row>
    <row r="552" spans="1:45" x14ac:dyDescent="0.35">
      <c r="A552" s="24"/>
      <c r="B552" s="21"/>
      <c r="C552" s="21"/>
      <c r="D552" s="21"/>
      <c r="E552" s="21"/>
      <c r="F552" s="21"/>
      <c r="G552" s="21"/>
      <c r="H552" s="21"/>
      <c r="I552" s="21"/>
      <c r="J552" s="21"/>
      <c r="K552" s="24"/>
      <c r="L552" s="21"/>
      <c r="M552" s="25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6"/>
      <c r="AQ552" s="27"/>
      <c r="AR552" s="21"/>
      <c r="AS552" s="28"/>
    </row>
    <row r="553" spans="1:45" x14ac:dyDescent="0.35">
      <c r="A553" s="29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30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22"/>
      <c r="AM553" s="22"/>
      <c r="AN553" s="22"/>
      <c r="AO553" s="21"/>
      <c r="AP553" s="26"/>
      <c r="AQ553" s="27"/>
      <c r="AR553" s="21"/>
      <c r="AS553" s="28"/>
    </row>
    <row r="554" spans="1:45" x14ac:dyDescent="0.35">
      <c r="A554" s="24"/>
      <c r="B554" s="21"/>
      <c r="C554" s="21"/>
      <c r="D554" s="21"/>
      <c r="E554" s="21"/>
      <c r="F554" s="21"/>
      <c r="G554" s="21"/>
      <c r="H554" s="21"/>
      <c r="I554" s="21"/>
      <c r="J554" s="21"/>
      <c r="K554" s="21"/>
      <c r="L554" s="21"/>
      <c r="M554" s="25"/>
      <c r="N554" s="21"/>
      <c r="O554" s="21"/>
      <c r="P554" s="21"/>
      <c r="Q554" s="21"/>
      <c r="R554" s="21"/>
      <c r="S554" s="21"/>
      <c r="T554" s="21"/>
      <c r="U554" s="21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6"/>
      <c r="AQ554" s="27"/>
      <c r="AR554" s="21"/>
      <c r="AS554" s="28"/>
    </row>
    <row r="555" spans="1:45" x14ac:dyDescent="0.35">
      <c r="A555" s="24"/>
      <c r="B555" s="21"/>
      <c r="C555" s="21"/>
      <c r="D555" s="21"/>
      <c r="E555" s="21"/>
      <c r="F555" s="21"/>
      <c r="G555" s="21"/>
      <c r="H555" s="21"/>
      <c r="I555" s="21"/>
      <c r="J555" s="21"/>
      <c r="K555" s="24"/>
      <c r="L555" s="21"/>
      <c r="M555" s="25"/>
      <c r="N555" s="21"/>
      <c r="O555" s="21"/>
      <c r="P555" s="21"/>
      <c r="Q555" s="21"/>
      <c r="R555" s="21"/>
      <c r="S555" s="21"/>
      <c r="T555" s="21"/>
      <c r="U555" s="21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6"/>
      <c r="AQ555" s="27"/>
      <c r="AR555" s="21"/>
      <c r="AS555" s="28"/>
    </row>
    <row r="556" spans="1:45" x14ac:dyDescent="0.35">
      <c r="A556" s="24"/>
      <c r="B556" s="21"/>
      <c r="C556" s="21"/>
      <c r="D556" s="21"/>
      <c r="E556" s="21"/>
      <c r="F556" s="21"/>
      <c r="G556" s="21"/>
      <c r="H556" s="21"/>
      <c r="I556" s="21"/>
      <c r="J556" s="21"/>
      <c r="K556" s="24"/>
      <c r="L556" s="21"/>
      <c r="M556" s="25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6"/>
      <c r="AQ556" s="27"/>
      <c r="AR556" s="21"/>
      <c r="AS556" s="28"/>
    </row>
    <row r="557" spans="1:45" x14ac:dyDescent="0.35">
      <c r="A557" s="24"/>
      <c r="B557" s="21"/>
      <c r="C557" s="21"/>
      <c r="D557" s="21"/>
      <c r="E557" s="21"/>
      <c r="F557" s="21"/>
      <c r="G557" s="21"/>
      <c r="H557" s="21"/>
      <c r="I557" s="21"/>
      <c r="J557" s="21"/>
      <c r="K557" s="24"/>
      <c r="L557" s="21"/>
      <c r="M557" s="25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6"/>
      <c r="AQ557" s="27"/>
      <c r="AR557" s="21"/>
      <c r="AS557" s="28"/>
    </row>
    <row r="558" spans="1:45" x14ac:dyDescent="0.35">
      <c r="A558" s="31"/>
      <c r="B558" s="32"/>
      <c r="C558" s="32"/>
      <c r="D558" s="32"/>
      <c r="E558" s="32"/>
      <c r="F558" s="32"/>
      <c r="G558" s="32"/>
      <c r="H558" s="32"/>
      <c r="I558" s="32"/>
      <c r="J558" s="32"/>
      <c r="K558" s="32"/>
      <c r="L558" s="32"/>
      <c r="M558" s="33"/>
      <c r="N558" s="32"/>
      <c r="O558" s="32"/>
      <c r="P558" s="32"/>
      <c r="Q558" s="32"/>
      <c r="R558" s="32"/>
      <c r="S558" s="32"/>
      <c r="T558" s="32"/>
      <c r="U558" s="32"/>
      <c r="V558" s="32"/>
      <c r="W558" s="32"/>
      <c r="X558" s="32"/>
      <c r="Y558" s="32"/>
      <c r="Z558" s="32"/>
      <c r="AA558" s="32"/>
      <c r="AB558" s="32"/>
      <c r="AC558" s="32"/>
      <c r="AD558" s="32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21"/>
      <c r="AP558" s="26"/>
      <c r="AQ558" s="27"/>
      <c r="AR558" s="21"/>
      <c r="AS558" s="28"/>
    </row>
    <row r="559" spans="1:45" x14ac:dyDescent="0.35">
      <c r="A559" s="31"/>
      <c r="B559" s="32"/>
      <c r="C559" s="32"/>
      <c r="D559" s="32"/>
      <c r="E559" s="32"/>
      <c r="F559" s="32"/>
      <c r="G559" s="32"/>
      <c r="H559" s="32"/>
      <c r="I559" s="32"/>
      <c r="J559" s="32"/>
      <c r="K559" s="32"/>
      <c r="L559" s="32"/>
      <c r="M559" s="33"/>
      <c r="N559" s="32"/>
      <c r="O559" s="32"/>
      <c r="P559" s="32"/>
      <c r="Q559" s="32"/>
      <c r="R559" s="32"/>
      <c r="S559" s="32"/>
      <c r="T559" s="32"/>
      <c r="U559" s="32"/>
      <c r="V559" s="32"/>
      <c r="W559" s="32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21"/>
      <c r="AP559" s="26"/>
      <c r="AQ559" s="27"/>
      <c r="AR559" s="21"/>
      <c r="AS559" s="28"/>
    </row>
    <row r="560" spans="1:45" x14ac:dyDescent="0.35">
      <c r="A560" s="24"/>
      <c r="B560" s="21"/>
      <c r="C560" s="21"/>
      <c r="D560" s="21"/>
      <c r="E560" s="21"/>
      <c r="F560" s="21"/>
      <c r="G560" s="21"/>
      <c r="H560" s="21"/>
      <c r="I560" s="21"/>
      <c r="J560" s="21"/>
      <c r="K560" s="24"/>
      <c r="L560" s="21"/>
      <c r="M560" s="25"/>
      <c r="N560" s="21"/>
      <c r="O560" s="21"/>
      <c r="P560" s="21"/>
      <c r="Q560" s="21"/>
      <c r="R560" s="21"/>
      <c r="S560" s="21"/>
      <c r="T560" s="21"/>
      <c r="U560" s="21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6"/>
      <c r="AQ560" s="27"/>
      <c r="AR560" s="21"/>
      <c r="AS560" s="28"/>
    </row>
    <row r="561" spans="1:45" x14ac:dyDescent="0.35">
      <c r="A561" s="24"/>
      <c r="B561" s="21"/>
      <c r="C561" s="21"/>
      <c r="D561" s="21"/>
      <c r="E561" s="21"/>
      <c r="F561" s="21"/>
      <c r="G561" s="21"/>
      <c r="H561" s="21"/>
      <c r="I561" s="21"/>
      <c r="J561" s="21"/>
      <c r="K561" s="24"/>
      <c r="L561" s="21"/>
      <c r="M561" s="25"/>
      <c r="N561" s="21"/>
      <c r="O561" s="21"/>
      <c r="P561" s="21"/>
      <c r="Q561" s="21"/>
      <c r="R561" s="21"/>
      <c r="S561" s="21"/>
      <c r="T561" s="21"/>
      <c r="U561" s="21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1"/>
      <c r="AI561" s="21"/>
      <c r="AJ561" s="21"/>
      <c r="AK561" s="21"/>
      <c r="AL561" s="21"/>
      <c r="AM561" s="21"/>
      <c r="AN561" s="21"/>
      <c r="AO561" s="21"/>
      <c r="AP561" s="26"/>
      <c r="AQ561" s="27"/>
      <c r="AR561" s="21"/>
      <c r="AS561" s="28"/>
    </row>
    <row r="562" spans="1:45" x14ac:dyDescent="0.35">
      <c r="A562" s="24"/>
      <c r="B562" s="21"/>
      <c r="C562" s="21"/>
      <c r="D562" s="21"/>
      <c r="E562" s="21"/>
      <c r="F562" s="21"/>
      <c r="G562" s="21"/>
      <c r="H562" s="21"/>
      <c r="I562" s="21"/>
      <c r="J562" s="21"/>
      <c r="K562" s="21"/>
      <c r="L562" s="21"/>
      <c r="M562" s="25"/>
      <c r="N562" s="21"/>
      <c r="O562" s="21"/>
      <c r="P562" s="21"/>
      <c r="Q562" s="21"/>
      <c r="R562" s="21"/>
      <c r="S562" s="21"/>
      <c r="T562" s="21"/>
      <c r="U562" s="21"/>
      <c r="V562" s="2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6"/>
      <c r="AQ562" s="27"/>
      <c r="AR562" s="21"/>
      <c r="AS562" s="28"/>
    </row>
    <row r="563" spans="1:45" x14ac:dyDescent="0.35">
      <c r="A563" s="24"/>
      <c r="B563" s="21"/>
      <c r="C563" s="21"/>
      <c r="D563" s="21"/>
      <c r="E563" s="21"/>
      <c r="F563" s="21"/>
      <c r="G563" s="21"/>
      <c r="H563" s="21"/>
      <c r="I563" s="21"/>
      <c r="J563" s="21"/>
      <c r="K563" s="24"/>
      <c r="L563" s="21"/>
      <c r="M563" s="25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6"/>
      <c r="AQ563" s="27"/>
      <c r="AR563" s="21"/>
      <c r="AS563" s="28"/>
    </row>
    <row r="564" spans="1:45" x14ac:dyDescent="0.35">
      <c r="A564" s="24"/>
      <c r="B564" s="21"/>
      <c r="C564" s="21"/>
      <c r="D564" s="21"/>
      <c r="E564" s="21"/>
      <c r="F564" s="21"/>
      <c r="G564" s="21"/>
      <c r="H564" s="21"/>
      <c r="I564" s="21"/>
      <c r="J564" s="21"/>
      <c r="K564" s="21"/>
      <c r="L564" s="21"/>
      <c r="M564" s="25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6"/>
      <c r="AQ564" s="27"/>
      <c r="AR564" s="21"/>
      <c r="AS564" s="28"/>
    </row>
    <row r="565" spans="1:45" x14ac:dyDescent="0.35">
      <c r="A565" s="24"/>
      <c r="B565" s="21"/>
      <c r="C565" s="21"/>
      <c r="D565" s="21"/>
      <c r="E565" s="21"/>
      <c r="F565" s="21"/>
      <c r="G565" s="21"/>
      <c r="H565" s="21"/>
      <c r="I565" s="21"/>
      <c r="J565" s="21"/>
      <c r="K565" s="24"/>
      <c r="L565" s="21"/>
      <c r="M565" s="25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6"/>
      <c r="AQ565" s="27"/>
      <c r="AR565" s="21"/>
      <c r="AS565" s="28"/>
    </row>
    <row r="566" spans="1:45" x14ac:dyDescent="0.35">
      <c r="A566" s="29"/>
      <c r="B566" s="22"/>
      <c r="C566" s="22"/>
      <c r="D566" s="22"/>
      <c r="E566" s="22"/>
      <c r="F566" s="22"/>
      <c r="G566" s="22"/>
      <c r="H566" s="22"/>
      <c r="I566" s="22"/>
      <c r="J566" s="22"/>
      <c r="K566" s="29"/>
      <c r="L566" s="22"/>
      <c r="M566" s="30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22"/>
      <c r="AM566" s="22"/>
      <c r="AN566" s="22"/>
      <c r="AO566" s="21"/>
      <c r="AP566" s="26"/>
      <c r="AQ566" s="27"/>
      <c r="AR566" s="21"/>
      <c r="AS566" s="28"/>
    </row>
    <row r="567" spans="1:45" x14ac:dyDescent="0.35">
      <c r="A567" s="24"/>
      <c r="B567" s="21"/>
      <c r="C567" s="21"/>
      <c r="D567" s="21"/>
      <c r="E567" s="21"/>
      <c r="F567" s="21"/>
      <c r="G567" s="21"/>
      <c r="H567" s="21"/>
      <c r="I567" s="21"/>
      <c r="J567" s="21"/>
      <c r="K567" s="24"/>
      <c r="L567" s="21"/>
      <c r="M567" s="25"/>
      <c r="N567" s="21"/>
      <c r="O567" s="21"/>
      <c r="P567" s="21"/>
      <c r="Q567" s="21"/>
      <c r="R567" s="21"/>
      <c r="S567" s="21"/>
      <c r="T567" s="21"/>
      <c r="U567" s="21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6"/>
      <c r="AQ567" s="27"/>
      <c r="AR567" s="21"/>
      <c r="AS567" s="28"/>
    </row>
    <row r="568" spans="1:45" x14ac:dyDescent="0.35">
      <c r="A568" s="29"/>
      <c r="B568" s="22"/>
      <c r="C568" s="22"/>
      <c r="D568" s="22"/>
      <c r="E568" s="22"/>
      <c r="F568" s="22"/>
      <c r="G568" s="22"/>
      <c r="H568" s="22"/>
      <c r="I568" s="22"/>
      <c r="J568" s="22"/>
      <c r="K568" s="29"/>
      <c r="L568" s="22"/>
      <c r="M568" s="30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22"/>
      <c r="AM568" s="22"/>
      <c r="AN568" s="22"/>
      <c r="AO568" s="21"/>
      <c r="AP568" s="26"/>
      <c r="AQ568" s="27"/>
      <c r="AR568" s="21"/>
      <c r="AS568" s="28"/>
    </row>
    <row r="569" spans="1:45" x14ac:dyDescent="0.35">
      <c r="A569" s="24"/>
      <c r="B569" s="21"/>
      <c r="C569" s="21"/>
      <c r="D569" s="21"/>
      <c r="E569" s="21"/>
      <c r="F569" s="21"/>
      <c r="G569" s="21"/>
      <c r="H569" s="21"/>
      <c r="I569" s="21"/>
      <c r="J569" s="21"/>
      <c r="K569" s="24"/>
      <c r="L569" s="21"/>
      <c r="M569" s="25"/>
      <c r="N569" s="21"/>
      <c r="O569" s="21"/>
      <c r="P569" s="21"/>
      <c r="Q569" s="21"/>
      <c r="R569" s="21"/>
      <c r="S569" s="21"/>
      <c r="T569" s="21"/>
      <c r="U569" s="21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6"/>
      <c r="AQ569" s="27"/>
      <c r="AR569" s="21"/>
      <c r="AS569" s="28"/>
    </row>
    <row r="570" spans="1:45" x14ac:dyDescent="0.35">
      <c r="A570" s="24"/>
      <c r="B570" s="21"/>
      <c r="C570" s="21"/>
      <c r="D570" s="21"/>
      <c r="E570" s="21"/>
      <c r="F570" s="21"/>
      <c r="G570" s="21"/>
      <c r="H570" s="21"/>
      <c r="I570" s="21"/>
      <c r="J570" s="21"/>
      <c r="K570" s="21"/>
      <c r="L570" s="21"/>
      <c r="M570" s="25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6"/>
      <c r="AQ570" s="27"/>
      <c r="AR570" s="21"/>
      <c r="AS570" s="28"/>
    </row>
    <row r="571" spans="1:45" x14ac:dyDescent="0.35">
      <c r="A571" s="24"/>
      <c r="B571" s="21"/>
      <c r="C571" s="21"/>
      <c r="D571" s="21"/>
      <c r="E571" s="21"/>
      <c r="F571" s="21"/>
      <c r="G571" s="21"/>
      <c r="H571" s="21"/>
      <c r="I571" s="21"/>
      <c r="J571" s="21"/>
      <c r="K571" s="21"/>
      <c r="L571" s="21"/>
      <c r="M571" s="25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6"/>
      <c r="AQ571" s="27"/>
      <c r="AR571" s="21"/>
      <c r="AS571" s="28"/>
    </row>
    <row r="572" spans="1:45" x14ac:dyDescent="0.35">
      <c r="A572" s="24"/>
      <c r="B572" s="21"/>
      <c r="C572" s="21"/>
      <c r="D572" s="21"/>
      <c r="E572" s="21"/>
      <c r="F572" s="21"/>
      <c r="G572" s="21"/>
      <c r="H572" s="21"/>
      <c r="I572" s="21"/>
      <c r="J572" s="21"/>
      <c r="K572" s="21"/>
      <c r="L572" s="21"/>
      <c r="M572" s="25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6"/>
      <c r="AQ572" s="27"/>
      <c r="AR572" s="21"/>
      <c r="AS572" s="28"/>
    </row>
    <row r="573" spans="1:45" x14ac:dyDescent="0.35">
      <c r="A573" s="24"/>
      <c r="B573" s="21"/>
      <c r="C573" s="21"/>
      <c r="D573" s="21"/>
      <c r="E573" s="21"/>
      <c r="F573" s="21"/>
      <c r="G573" s="21"/>
      <c r="H573" s="21"/>
      <c r="I573" s="21"/>
      <c r="J573" s="21"/>
      <c r="K573" s="21"/>
      <c r="L573" s="21"/>
      <c r="M573" s="25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6"/>
      <c r="AQ573" s="27"/>
      <c r="AR573" s="21"/>
      <c r="AS573" s="28"/>
    </row>
    <row r="574" spans="1:45" x14ac:dyDescent="0.35">
      <c r="A574" s="24"/>
      <c r="B574" s="21"/>
      <c r="C574" s="21"/>
      <c r="D574" s="21"/>
      <c r="E574" s="21"/>
      <c r="F574" s="21"/>
      <c r="G574" s="21"/>
      <c r="H574" s="21"/>
      <c r="I574" s="21"/>
      <c r="J574" s="21"/>
      <c r="K574" s="21"/>
      <c r="L574" s="21"/>
      <c r="M574" s="25"/>
      <c r="N574" s="21"/>
      <c r="O574" s="21"/>
      <c r="P574" s="21"/>
      <c r="Q574" s="21"/>
      <c r="R574" s="21"/>
      <c r="S574" s="21"/>
      <c r="T574" s="21"/>
      <c r="U574" s="21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6"/>
      <c r="AQ574" s="27"/>
      <c r="AR574" s="21"/>
      <c r="AS574" s="28"/>
    </row>
  </sheetData>
  <conditionalFormatting sqref="B130:C135">
    <cfRule type="expression" dxfId="3" priority="1">
      <formula>$B$130=MIN($B$130,$C$130)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SeleccionarMaterialesYAbrirProveedor">
                <anchor moveWithCells="1" sizeWithCells="1">
                  <from>
                    <xdr:col>1</xdr:col>
                    <xdr:colOff>565150</xdr:colOff>
                    <xdr:row>281</xdr:row>
                    <xdr:rowOff>107950</xdr:rowOff>
                  </from>
                  <to>
                    <xdr:col>4</xdr:col>
                    <xdr:colOff>514350</xdr:colOff>
                    <xdr:row>284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D70A7-330A-4EC5-9D3E-B073FFF7EDE8}">
  <sheetPr codeName="Solped1"/>
  <dimension ref="A1:AW574"/>
  <sheetViews>
    <sheetView zoomScale="85" zoomScaleNormal="85" workbookViewId="0">
      <pane ySplit="1" topLeftCell="A32" activePane="bottomLeft" state="frozen"/>
      <selection activeCell="Y1" sqref="Y1"/>
      <selection pane="bottomLeft" activeCell="D6" sqref="D6"/>
    </sheetView>
  </sheetViews>
  <sheetFormatPr baseColWidth="10" defaultColWidth="8.7265625" defaultRowHeight="14.5" x14ac:dyDescent="0.35"/>
  <cols>
    <col min="1" max="1" width="15.81640625" style="20" bestFit="1" customWidth="1"/>
    <col min="2" max="2" width="11.36328125" style="20" customWidth="1"/>
    <col min="3" max="3" width="8.7265625" style="20"/>
    <col min="4" max="4" width="16.81640625" style="20" customWidth="1"/>
    <col min="5" max="5" width="45.08984375" style="20" bestFit="1" customWidth="1"/>
    <col min="6" max="6" width="8.90625" style="20" bestFit="1" customWidth="1"/>
    <col min="7" max="10" width="8.7265625" style="20"/>
    <col min="11" max="11" width="23.36328125" style="20" bestFit="1" customWidth="1"/>
    <col min="12" max="12" width="45" style="20" bestFit="1" customWidth="1"/>
    <col min="13" max="13" width="13.6328125" style="34" customWidth="1"/>
    <col min="14" max="14" width="8.7265625" style="20"/>
    <col min="15" max="15" width="8.90625" style="20" bestFit="1" customWidth="1"/>
    <col min="16" max="16" width="8.7265625" style="20"/>
    <col min="17" max="18" width="8.90625" style="20" bestFit="1" customWidth="1"/>
    <col min="19" max="19" width="11.54296875" style="20" bestFit="1" customWidth="1"/>
    <col min="20" max="24" width="8.7265625" style="20"/>
    <col min="25" max="25" width="8.90625" style="20" bestFit="1" customWidth="1"/>
    <col min="26" max="31" width="8.7265625" style="20"/>
    <col min="32" max="36" width="8.90625" style="20" bestFit="1" customWidth="1"/>
    <col min="37" max="37" width="8.7265625" style="20"/>
    <col min="38" max="38" width="8.90625" style="20" bestFit="1" customWidth="1"/>
    <col min="39" max="39" width="50.26953125" style="20" bestFit="1" customWidth="1"/>
    <col min="40" max="40" width="21.453125" style="20" bestFit="1" customWidth="1"/>
    <col min="41" max="41" width="10" style="20" bestFit="1" customWidth="1"/>
    <col min="42" max="42" width="12.36328125" style="20" bestFit="1" customWidth="1"/>
    <col min="43" max="43" width="8.81640625" style="20" bestFit="1" customWidth="1"/>
    <col min="44" max="44" width="10.1796875" style="20" bestFit="1" customWidth="1"/>
    <col min="45" max="45" width="10.36328125" style="20" bestFit="1" customWidth="1"/>
    <col min="46" max="46" width="11.6328125" style="28" bestFit="1" customWidth="1"/>
    <col min="47" max="47" width="14.1796875" style="21" bestFit="1" customWidth="1"/>
    <col min="48" max="48" width="16.26953125" style="21" bestFit="1" customWidth="1"/>
    <col min="49" max="49" width="92.36328125" style="21" bestFit="1" customWidth="1"/>
    <col min="50" max="16384" width="8.7265625" style="20"/>
  </cols>
  <sheetData>
    <row r="1" spans="1:49" x14ac:dyDescent="0.35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7</v>
      </c>
      <c r="R1" s="8" t="s">
        <v>16</v>
      </c>
      <c r="S1" s="8" t="s">
        <v>17</v>
      </c>
      <c r="T1" s="8" t="s">
        <v>18</v>
      </c>
      <c r="U1" s="8" t="s">
        <v>19</v>
      </c>
      <c r="V1" s="8" t="s">
        <v>20</v>
      </c>
      <c r="W1" s="8" t="s">
        <v>21</v>
      </c>
      <c r="X1" s="8" t="s">
        <v>22</v>
      </c>
      <c r="Y1" s="8" t="s">
        <v>23</v>
      </c>
      <c r="Z1" s="8" t="s">
        <v>24</v>
      </c>
      <c r="AA1" s="8" t="s">
        <v>25</v>
      </c>
      <c r="AB1" s="8" t="s">
        <v>26</v>
      </c>
      <c r="AC1" s="8" t="s">
        <v>27</v>
      </c>
      <c r="AD1" s="8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8" t="s">
        <v>33</v>
      </c>
      <c r="AJ1" s="8" t="s">
        <v>34</v>
      </c>
      <c r="AK1" s="8" t="s">
        <v>13</v>
      </c>
      <c r="AL1" s="8" t="s">
        <v>35</v>
      </c>
      <c r="AM1" s="8" t="s">
        <v>36</v>
      </c>
      <c r="AN1" s="8" t="s">
        <v>37</v>
      </c>
      <c r="AO1" s="8" t="s">
        <v>169</v>
      </c>
      <c r="AP1" s="9" t="s">
        <v>38</v>
      </c>
      <c r="AQ1" s="10" t="s">
        <v>39</v>
      </c>
      <c r="AR1" s="8" t="s">
        <v>40</v>
      </c>
      <c r="AS1" s="8" t="s">
        <v>41</v>
      </c>
      <c r="AT1" s="19" t="s">
        <v>513</v>
      </c>
      <c r="AU1" s="21" t="s">
        <v>40</v>
      </c>
      <c r="AV1" s="21" t="s">
        <v>514</v>
      </c>
      <c r="AW1" s="21" t="s">
        <v>515</v>
      </c>
    </row>
    <row r="2" spans="1:49" x14ac:dyDescent="0.35">
      <c r="A2" s="57">
        <v>46121</v>
      </c>
      <c r="B2" s="58" t="s">
        <v>315</v>
      </c>
      <c r="C2" s="58" t="s">
        <v>63</v>
      </c>
      <c r="D2" s="58">
        <v>14904346</v>
      </c>
      <c r="E2" s="58" t="s">
        <v>316</v>
      </c>
      <c r="F2" s="58">
        <v>1</v>
      </c>
      <c r="G2" s="58" t="s">
        <v>43</v>
      </c>
      <c r="H2" s="58" t="s">
        <v>44</v>
      </c>
      <c r="I2" s="58" t="s">
        <v>45</v>
      </c>
      <c r="J2" s="58" t="s">
        <v>45</v>
      </c>
      <c r="K2" s="57">
        <v>46132</v>
      </c>
      <c r="L2" s="58" t="s">
        <v>317</v>
      </c>
      <c r="M2" s="58">
        <v>422.4</v>
      </c>
      <c r="N2" s="58" t="s">
        <v>56</v>
      </c>
      <c r="O2" s="58">
        <v>1</v>
      </c>
      <c r="P2" s="58" t="s">
        <v>43</v>
      </c>
      <c r="Q2" s="58">
        <v>1207</v>
      </c>
      <c r="R2" s="58">
        <v>1</v>
      </c>
      <c r="S2" s="58">
        <v>4500901987</v>
      </c>
      <c r="T2" s="58" t="s">
        <v>225</v>
      </c>
      <c r="U2" s="58" t="s">
        <v>86</v>
      </c>
      <c r="V2" s="58" t="s">
        <v>70</v>
      </c>
      <c r="W2" s="58" t="s">
        <v>84</v>
      </c>
      <c r="X2" s="58" t="s">
        <v>49</v>
      </c>
      <c r="Y2" s="58">
        <v>0</v>
      </c>
      <c r="Z2" s="58" t="s">
        <v>131</v>
      </c>
      <c r="AA2" s="58" t="s">
        <v>85</v>
      </c>
      <c r="AB2" s="58" t="s">
        <v>61</v>
      </c>
      <c r="AC2" s="58" t="s">
        <v>318</v>
      </c>
      <c r="AD2" s="58" t="s">
        <v>64</v>
      </c>
      <c r="AE2" s="58">
        <v>46122</v>
      </c>
      <c r="AF2" s="58">
        <v>46121</v>
      </c>
      <c r="AG2" s="58">
        <v>46121</v>
      </c>
      <c r="AH2" s="58">
        <v>46122</v>
      </c>
      <c r="AI2" s="58">
        <v>0</v>
      </c>
      <c r="AJ2" s="58">
        <v>1447.39</v>
      </c>
      <c r="AK2" s="58" t="s">
        <v>46</v>
      </c>
      <c r="AL2" s="58">
        <v>1447.39</v>
      </c>
      <c r="AM2" s="58" t="s">
        <v>319</v>
      </c>
      <c r="AN2" s="58">
        <v>4210997</v>
      </c>
      <c r="AO2" s="58" t="s">
        <v>446</v>
      </c>
      <c r="AP2" s="59" t="s">
        <v>320</v>
      </c>
      <c r="AQ2" s="60">
        <v>-16</v>
      </c>
      <c r="AR2" s="58" t="s">
        <v>53</v>
      </c>
      <c r="AS2" s="58" t="s">
        <v>54</v>
      </c>
      <c r="AT2" s="28">
        <v>4500903719</v>
      </c>
    </row>
    <row r="3" spans="1:49" x14ac:dyDescent="0.35">
      <c r="A3" s="11">
        <v>46127</v>
      </c>
      <c r="B3" s="1" t="s">
        <v>235</v>
      </c>
      <c r="C3" s="1" t="s">
        <v>42</v>
      </c>
      <c r="D3" s="1">
        <v>14906677</v>
      </c>
      <c r="E3" s="1" t="s">
        <v>236</v>
      </c>
      <c r="F3" s="1">
        <v>1</v>
      </c>
      <c r="G3" s="1" t="s">
        <v>43</v>
      </c>
      <c r="H3" s="1" t="s">
        <v>44</v>
      </c>
      <c r="I3" s="1" t="s">
        <v>45</v>
      </c>
      <c r="J3" s="1" t="s">
        <v>45</v>
      </c>
      <c r="K3" s="1"/>
      <c r="L3" s="1"/>
      <c r="M3" s="1"/>
      <c r="N3" s="1"/>
      <c r="O3" s="1"/>
      <c r="P3" s="1"/>
      <c r="Q3" s="1"/>
      <c r="R3" s="1"/>
      <c r="S3" s="1"/>
      <c r="T3" s="1" t="s">
        <v>225</v>
      </c>
      <c r="U3" s="1" t="s">
        <v>237</v>
      </c>
      <c r="V3" s="1" t="s">
        <v>70</v>
      </c>
      <c r="W3" s="1" t="s">
        <v>84</v>
      </c>
      <c r="X3" s="1" t="s">
        <v>49</v>
      </c>
      <c r="Y3" s="1">
        <v>0</v>
      </c>
      <c r="Z3" s="1" t="s">
        <v>131</v>
      </c>
      <c r="AA3" s="1" t="s">
        <v>85</v>
      </c>
      <c r="AB3" s="1" t="s">
        <v>61</v>
      </c>
      <c r="AC3" s="1" t="s">
        <v>271</v>
      </c>
      <c r="AD3" s="1" t="s">
        <v>42</v>
      </c>
      <c r="AE3" s="1">
        <v>46133</v>
      </c>
      <c r="AF3" s="1">
        <v>46127</v>
      </c>
      <c r="AG3" s="1">
        <v>46127</v>
      </c>
      <c r="AH3" s="1">
        <v>46128</v>
      </c>
      <c r="AI3" s="1">
        <v>0</v>
      </c>
      <c r="AJ3" s="1">
        <v>1162.04</v>
      </c>
      <c r="AK3" s="1" t="s">
        <v>46</v>
      </c>
      <c r="AL3" s="1">
        <v>1162.04</v>
      </c>
      <c r="AM3" s="1" t="s">
        <v>238</v>
      </c>
      <c r="AN3" s="1">
        <v>4214850</v>
      </c>
      <c r="AO3" s="1"/>
      <c r="AP3" s="12" t="s">
        <v>239</v>
      </c>
      <c r="AQ3" s="13">
        <v>-10</v>
      </c>
      <c r="AR3" s="1" t="s">
        <v>53</v>
      </c>
      <c r="AS3" s="1" t="s">
        <v>54</v>
      </c>
    </row>
    <row r="4" spans="1:49" ht="14" customHeight="1" x14ac:dyDescent="0.35">
      <c r="A4" s="11">
        <v>46135</v>
      </c>
      <c r="B4" s="1" t="s">
        <v>321</v>
      </c>
      <c r="C4" s="1" t="s">
        <v>42</v>
      </c>
      <c r="D4" s="1">
        <v>14902733</v>
      </c>
      <c r="E4" s="1" t="s">
        <v>322</v>
      </c>
      <c r="F4" s="1">
        <v>1</v>
      </c>
      <c r="G4" s="1" t="s">
        <v>43</v>
      </c>
      <c r="H4" s="1" t="s">
        <v>44</v>
      </c>
      <c r="I4" s="1" t="s">
        <v>45</v>
      </c>
      <c r="J4" s="1" t="s">
        <v>45</v>
      </c>
      <c r="K4" s="11">
        <v>46122</v>
      </c>
      <c r="L4" s="1" t="s">
        <v>317</v>
      </c>
      <c r="M4" s="1">
        <v>387</v>
      </c>
      <c r="N4" s="1" t="s">
        <v>56</v>
      </c>
      <c r="O4" s="1">
        <v>1</v>
      </c>
      <c r="P4" s="1" t="s">
        <v>43</v>
      </c>
      <c r="Q4" s="1">
        <v>1207</v>
      </c>
      <c r="R4" s="1">
        <v>1</v>
      </c>
      <c r="S4" s="1">
        <v>4500899918</v>
      </c>
      <c r="T4" s="1" t="s">
        <v>225</v>
      </c>
      <c r="U4" s="1" t="s">
        <v>323</v>
      </c>
      <c r="V4" s="1" t="s">
        <v>70</v>
      </c>
      <c r="W4" s="1" t="s">
        <v>84</v>
      </c>
      <c r="X4" s="1" t="s">
        <v>49</v>
      </c>
      <c r="Y4" s="1">
        <v>0</v>
      </c>
      <c r="Z4" s="1" t="s">
        <v>50</v>
      </c>
      <c r="AA4" s="1" t="s">
        <v>87</v>
      </c>
      <c r="AB4" s="1" t="s">
        <v>61</v>
      </c>
      <c r="AC4" s="1"/>
      <c r="AD4" s="1" t="s">
        <v>52</v>
      </c>
      <c r="AE4" s="1"/>
      <c r="AF4" s="1">
        <v>46135</v>
      </c>
      <c r="AG4" s="1">
        <v>46135</v>
      </c>
      <c r="AH4" s="1">
        <v>46136</v>
      </c>
      <c r="AI4" s="1">
        <v>0</v>
      </c>
      <c r="AJ4" s="1">
        <v>1332.05</v>
      </c>
      <c r="AK4" s="1" t="s">
        <v>46</v>
      </c>
      <c r="AL4" s="1">
        <v>1332.05</v>
      </c>
      <c r="AM4" s="1" t="s">
        <v>324</v>
      </c>
      <c r="AN4" s="1">
        <v>4215864</v>
      </c>
      <c r="AO4" s="1"/>
      <c r="AP4" s="12" t="s">
        <v>325</v>
      </c>
      <c r="AQ4" s="13">
        <v>-2</v>
      </c>
      <c r="AR4" s="1" t="s">
        <v>53</v>
      </c>
      <c r="AS4" s="1" t="s">
        <v>54</v>
      </c>
    </row>
    <row r="5" spans="1:49" x14ac:dyDescent="0.35">
      <c r="A5" s="11">
        <v>46135</v>
      </c>
      <c r="B5" s="1" t="s">
        <v>326</v>
      </c>
      <c r="C5" s="1" t="s">
        <v>42</v>
      </c>
      <c r="D5" s="61">
        <v>14904175</v>
      </c>
      <c r="E5" s="1" t="s">
        <v>327</v>
      </c>
      <c r="F5" s="1">
        <v>1</v>
      </c>
      <c r="G5" s="1" t="s">
        <v>43</v>
      </c>
      <c r="H5" s="1" t="s">
        <v>44</v>
      </c>
      <c r="I5" s="1" t="s">
        <v>45</v>
      </c>
      <c r="J5" s="1" t="s">
        <v>45</v>
      </c>
      <c r="K5" s="11">
        <v>46017</v>
      </c>
      <c r="L5" s="1" t="s">
        <v>317</v>
      </c>
      <c r="M5" s="1">
        <v>207.68</v>
      </c>
      <c r="N5" s="1" t="s">
        <v>56</v>
      </c>
      <c r="O5" s="1">
        <v>1</v>
      </c>
      <c r="P5" s="1" t="s">
        <v>43</v>
      </c>
      <c r="Q5" s="1">
        <v>1207</v>
      </c>
      <c r="R5" s="1">
        <v>1</v>
      </c>
      <c r="S5" s="1">
        <v>4500882483</v>
      </c>
      <c r="T5" s="1" t="s">
        <v>225</v>
      </c>
      <c r="U5" s="1" t="s">
        <v>323</v>
      </c>
      <c r="V5" s="1" t="s">
        <v>70</v>
      </c>
      <c r="W5" s="1" t="s">
        <v>84</v>
      </c>
      <c r="X5" s="1" t="s">
        <v>49</v>
      </c>
      <c r="Y5" s="1">
        <v>0</v>
      </c>
      <c r="Z5" s="1" t="s">
        <v>50</v>
      </c>
      <c r="AA5" s="1" t="s">
        <v>87</v>
      </c>
      <c r="AB5" s="1" t="s">
        <v>61</v>
      </c>
      <c r="AC5" s="1"/>
      <c r="AD5" s="1" t="s">
        <v>52</v>
      </c>
      <c r="AE5" s="1"/>
      <c r="AF5" s="1">
        <v>46135</v>
      </c>
      <c r="AG5" s="1">
        <v>46135</v>
      </c>
      <c r="AH5" s="1">
        <v>46136</v>
      </c>
      <c r="AI5" s="1">
        <v>0</v>
      </c>
      <c r="AJ5" s="1">
        <v>690.93</v>
      </c>
      <c r="AK5" s="1" t="s">
        <v>46</v>
      </c>
      <c r="AL5" s="1">
        <v>690.93</v>
      </c>
      <c r="AM5" s="1" t="s">
        <v>328</v>
      </c>
      <c r="AN5" s="1">
        <v>4215865</v>
      </c>
      <c r="AO5" s="1"/>
      <c r="AP5" s="12" t="s">
        <v>329</v>
      </c>
      <c r="AQ5" s="13">
        <v>-2</v>
      </c>
      <c r="AR5" s="1" t="s">
        <v>53</v>
      </c>
      <c r="AS5" s="1" t="s">
        <v>54</v>
      </c>
    </row>
    <row r="6" spans="1:49" x14ac:dyDescent="0.35">
      <c r="A6" s="43">
        <v>46139</v>
      </c>
      <c r="B6" s="44" t="s">
        <v>447</v>
      </c>
      <c r="C6" s="44" t="s">
        <v>42</v>
      </c>
      <c r="D6" s="44">
        <v>14905046</v>
      </c>
      <c r="E6" s="44" t="s">
        <v>448</v>
      </c>
      <c r="F6" s="44">
        <v>1</v>
      </c>
      <c r="G6" s="44" t="s">
        <v>43</v>
      </c>
      <c r="H6" s="44" t="s">
        <v>264</v>
      </c>
      <c r="I6" s="44" t="s">
        <v>45</v>
      </c>
      <c r="J6" s="44" t="s">
        <v>45</v>
      </c>
      <c r="K6" s="43">
        <v>46127</v>
      </c>
      <c r="L6" s="44" t="s">
        <v>487</v>
      </c>
      <c r="M6" s="44">
        <v>684</v>
      </c>
      <c r="N6" s="44" t="s">
        <v>56</v>
      </c>
      <c r="O6" s="44">
        <v>1</v>
      </c>
      <c r="P6" s="44" t="s">
        <v>43</v>
      </c>
      <c r="Q6" s="44">
        <v>1301</v>
      </c>
      <c r="R6" s="44">
        <v>1</v>
      </c>
      <c r="S6" s="44">
        <v>4500901098</v>
      </c>
      <c r="T6" s="44" t="s">
        <v>225</v>
      </c>
      <c r="U6" s="44" t="s">
        <v>265</v>
      </c>
      <c r="V6" s="44" t="s">
        <v>135</v>
      </c>
      <c r="W6" s="44" t="s">
        <v>97</v>
      </c>
      <c r="X6" s="44" t="s">
        <v>49</v>
      </c>
      <c r="Y6" s="44">
        <v>0</v>
      </c>
      <c r="Z6" s="44" t="s">
        <v>50</v>
      </c>
      <c r="AA6" s="44"/>
      <c r="AB6" s="44" t="s">
        <v>51</v>
      </c>
      <c r="AC6" s="44"/>
      <c r="AD6" s="44" t="s">
        <v>52</v>
      </c>
      <c r="AE6" s="44"/>
      <c r="AF6" s="44">
        <v>46139</v>
      </c>
      <c r="AG6" s="44">
        <v>46139</v>
      </c>
      <c r="AH6" s="44">
        <v>46139</v>
      </c>
      <c r="AI6" s="44">
        <v>0</v>
      </c>
      <c r="AJ6" s="44">
        <v>2357.6</v>
      </c>
      <c r="AK6" s="44" t="s">
        <v>46</v>
      </c>
      <c r="AL6" s="44">
        <v>2357.6</v>
      </c>
      <c r="AM6" s="44"/>
      <c r="AN6" s="44"/>
      <c r="AO6" s="44"/>
      <c r="AP6" s="45" t="s">
        <v>449</v>
      </c>
      <c r="AQ6" s="46">
        <v>2</v>
      </c>
      <c r="AR6" s="44" t="s">
        <v>62</v>
      </c>
      <c r="AS6" s="44" t="s">
        <v>54</v>
      </c>
      <c r="AT6" s="62">
        <v>4500903642</v>
      </c>
      <c r="AU6" s="47"/>
      <c r="AV6" s="47"/>
      <c r="AW6" s="47"/>
    </row>
    <row r="7" spans="1:49" x14ac:dyDescent="0.35">
      <c r="A7" s="39">
        <v>46139</v>
      </c>
      <c r="B7" s="40" t="s">
        <v>450</v>
      </c>
      <c r="C7" s="40" t="s">
        <v>63</v>
      </c>
      <c r="D7" s="40">
        <v>14091435</v>
      </c>
      <c r="E7" s="40" t="s">
        <v>368</v>
      </c>
      <c r="F7" s="40">
        <v>1</v>
      </c>
      <c r="G7" s="40" t="s">
        <v>43</v>
      </c>
      <c r="H7" s="40" t="s">
        <v>44</v>
      </c>
      <c r="I7" s="40" t="s">
        <v>45</v>
      </c>
      <c r="J7" s="40" t="s">
        <v>45</v>
      </c>
      <c r="K7" s="39">
        <v>46139</v>
      </c>
      <c r="L7" s="40" t="s">
        <v>241</v>
      </c>
      <c r="M7" s="40">
        <v>25.8</v>
      </c>
      <c r="N7" s="40" t="s">
        <v>46</v>
      </c>
      <c r="O7" s="40">
        <v>1</v>
      </c>
      <c r="P7" s="40" t="s">
        <v>43</v>
      </c>
      <c r="Q7" s="40">
        <v>1207</v>
      </c>
      <c r="R7" s="40">
        <v>1</v>
      </c>
      <c r="S7" s="40">
        <v>4500903428</v>
      </c>
      <c r="T7" s="40" t="s">
        <v>369</v>
      </c>
      <c r="U7" s="40" t="s">
        <v>128</v>
      </c>
      <c r="V7" s="40" t="s">
        <v>70</v>
      </c>
      <c r="W7" s="40" t="s">
        <v>84</v>
      </c>
      <c r="X7" s="40" t="s">
        <v>49</v>
      </c>
      <c r="Y7" s="40">
        <v>0</v>
      </c>
      <c r="Z7" s="40" t="s">
        <v>50</v>
      </c>
      <c r="AA7" s="40" t="s">
        <v>87</v>
      </c>
      <c r="AB7" s="40" t="s">
        <v>61</v>
      </c>
      <c r="AC7" s="40"/>
      <c r="AD7" s="40" t="s">
        <v>52</v>
      </c>
      <c r="AE7" s="40"/>
      <c r="AF7" s="40">
        <v>46139</v>
      </c>
      <c r="AG7" s="40">
        <v>46139</v>
      </c>
      <c r="AH7" s="40">
        <v>46140</v>
      </c>
      <c r="AI7" s="40">
        <v>0</v>
      </c>
      <c r="AJ7" s="40">
        <v>25.63</v>
      </c>
      <c r="AK7" s="40" t="s">
        <v>46</v>
      </c>
      <c r="AL7" s="40">
        <v>25.63</v>
      </c>
      <c r="AM7" s="40" t="s">
        <v>451</v>
      </c>
      <c r="AN7" s="40">
        <v>4214420</v>
      </c>
      <c r="AO7" s="40"/>
      <c r="AP7" s="41" t="s">
        <v>452</v>
      </c>
      <c r="AQ7" s="42">
        <v>2</v>
      </c>
      <c r="AR7" s="40" t="s">
        <v>62</v>
      </c>
      <c r="AS7" s="40" t="s">
        <v>54</v>
      </c>
      <c r="AT7" s="28">
        <v>4500903721</v>
      </c>
    </row>
    <row r="8" spans="1:49" x14ac:dyDescent="0.35">
      <c r="A8" s="39">
        <v>46133</v>
      </c>
      <c r="B8" s="40" t="s">
        <v>272</v>
      </c>
      <c r="C8" s="40" t="s">
        <v>91</v>
      </c>
      <c r="D8" s="40">
        <v>14906190</v>
      </c>
      <c r="E8" s="40" t="s">
        <v>295</v>
      </c>
      <c r="F8" s="40">
        <v>1</v>
      </c>
      <c r="G8" s="40" t="s">
        <v>43</v>
      </c>
      <c r="H8" s="40" t="s">
        <v>65</v>
      </c>
      <c r="I8" s="40" t="s">
        <v>45</v>
      </c>
      <c r="J8" s="40" t="s">
        <v>45</v>
      </c>
      <c r="K8" s="40"/>
      <c r="L8" s="40" t="s">
        <v>504</v>
      </c>
      <c r="M8" s="40">
        <v>654.48</v>
      </c>
      <c r="N8" s="40" t="s">
        <v>56</v>
      </c>
      <c r="O8" s="40"/>
      <c r="P8" s="40"/>
      <c r="Q8" s="40"/>
      <c r="R8" s="40"/>
      <c r="S8" s="40"/>
      <c r="T8" s="40" t="s">
        <v>296</v>
      </c>
      <c r="U8" s="40" t="s">
        <v>265</v>
      </c>
      <c r="V8" s="40" t="s">
        <v>135</v>
      </c>
      <c r="W8" s="40" t="s">
        <v>266</v>
      </c>
      <c r="X8" s="40" t="s">
        <v>49</v>
      </c>
      <c r="Y8" s="40">
        <v>0</v>
      </c>
      <c r="Z8" s="40" t="s">
        <v>50</v>
      </c>
      <c r="AA8" s="40" t="s">
        <v>67</v>
      </c>
      <c r="AB8" s="40" t="s">
        <v>51</v>
      </c>
      <c r="AC8" s="40"/>
      <c r="AD8" s="40" t="s">
        <v>52</v>
      </c>
      <c r="AE8" s="40"/>
      <c r="AF8" s="40">
        <v>46133</v>
      </c>
      <c r="AG8" s="40">
        <v>46133</v>
      </c>
      <c r="AH8" s="40">
        <v>46133</v>
      </c>
      <c r="AI8" s="40">
        <v>0</v>
      </c>
      <c r="AJ8" s="40">
        <v>1852.29</v>
      </c>
      <c r="AK8" s="40" t="s">
        <v>46</v>
      </c>
      <c r="AL8" s="40">
        <v>1852.29</v>
      </c>
      <c r="AM8" s="40"/>
      <c r="AN8" s="40"/>
      <c r="AO8" s="40"/>
      <c r="AP8" s="41" t="s">
        <v>297</v>
      </c>
      <c r="AQ8" s="42">
        <v>-4</v>
      </c>
      <c r="AR8" s="40" t="s">
        <v>53</v>
      </c>
      <c r="AS8" s="40" t="s">
        <v>54</v>
      </c>
      <c r="AT8" s="63">
        <v>4500903709</v>
      </c>
      <c r="AU8" s="55"/>
      <c r="AV8" s="55"/>
      <c r="AW8" s="55"/>
    </row>
    <row r="9" spans="1:49" x14ac:dyDescent="0.35">
      <c r="A9" s="39">
        <v>46133</v>
      </c>
      <c r="B9" s="40" t="s">
        <v>272</v>
      </c>
      <c r="C9" s="40" t="s">
        <v>42</v>
      </c>
      <c r="D9" s="40">
        <v>14906688</v>
      </c>
      <c r="E9" s="40" t="s">
        <v>289</v>
      </c>
      <c r="F9" s="40">
        <v>1</v>
      </c>
      <c r="G9" s="40" t="s">
        <v>43</v>
      </c>
      <c r="H9" s="40" t="s">
        <v>71</v>
      </c>
      <c r="I9" s="40" t="s">
        <v>45</v>
      </c>
      <c r="J9" s="40" t="s">
        <v>45</v>
      </c>
      <c r="K9" s="40"/>
      <c r="L9" s="40" t="s">
        <v>504</v>
      </c>
      <c r="M9" s="40">
        <v>243</v>
      </c>
      <c r="N9" s="40" t="s">
        <v>56</v>
      </c>
      <c r="O9" s="40"/>
      <c r="P9" s="40"/>
      <c r="Q9" s="40"/>
      <c r="R9" s="40"/>
      <c r="S9" s="40"/>
      <c r="T9" s="40" t="s">
        <v>290</v>
      </c>
      <c r="U9" s="40" t="s">
        <v>265</v>
      </c>
      <c r="V9" s="40" t="s">
        <v>135</v>
      </c>
      <c r="W9" s="40" t="s">
        <v>266</v>
      </c>
      <c r="X9" s="40" t="s">
        <v>49</v>
      </c>
      <c r="Y9" s="40">
        <v>0</v>
      </c>
      <c r="Z9" s="40" t="s">
        <v>50</v>
      </c>
      <c r="AA9" s="40" t="s">
        <v>74</v>
      </c>
      <c r="AB9" s="40" t="s">
        <v>51</v>
      </c>
      <c r="AC9" s="40"/>
      <c r="AD9" s="40" t="s">
        <v>52</v>
      </c>
      <c r="AE9" s="40"/>
      <c r="AF9" s="40">
        <v>46133</v>
      </c>
      <c r="AG9" s="40">
        <v>46133</v>
      </c>
      <c r="AH9" s="40">
        <v>46135</v>
      </c>
      <c r="AI9" s="40">
        <v>0</v>
      </c>
      <c r="AJ9" s="40">
        <v>1105</v>
      </c>
      <c r="AK9" s="40" t="s">
        <v>46</v>
      </c>
      <c r="AL9" s="40">
        <v>1105</v>
      </c>
      <c r="AM9" s="40"/>
      <c r="AN9" s="40"/>
      <c r="AO9" s="40"/>
      <c r="AP9" s="41" t="s">
        <v>291</v>
      </c>
      <c r="AQ9" s="42">
        <v>-4</v>
      </c>
      <c r="AR9" s="40" t="s">
        <v>53</v>
      </c>
      <c r="AS9" s="40" t="s">
        <v>54</v>
      </c>
      <c r="AT9" s="63">
        <v>4500903709</v>
      </c>
      <c r="AU9" s="55"/>
      <c r="AV9" s="55"/>
      <c r="AW9" s="55"/>
    </row>
    <row r="10" spans="1:49" ht="20.5" customHeight="1" x14ac:dyDescent="0.35">
      <c r="A10" s="39">
        <v>46133</v>
      </c>
      <c r="B10" s="40" t="s">
        <v>272</v>
      </c>
      <c r="C10" s="40" t="s">
        <v>276</v>
      </c>
      <c r="D10" s="40">
        <v>14101770</v>
      </c>
      <c r="E10" s="40" t="s">
        <v>277</v>
      </c>
      <c r="F10" s="40">
        <v>1</v>
      </c>
      <c r="G10" s="40" t="s">
        <v>43</v>
      </c>
      <c r="H10" s="40" t="s">
        <v>44</v>
      </c>
      <c r="I10" s="40" t="s">
        <v>45</v>
      </c>
      <c r="J10" s="40" t="s">
        <v>45</v>
      </c>
      <c r="K10" s="40"/>
      <c r="L10" s="40" t="s">
        <v>504</v>
      </c>
      <c r="M10" s="40">
        <v>189.54</v>
      </c>
      <c r="N10" s="40" t="s">
        <v>56</v>
      </c>
      <c r="O10" s="40"/>
      <c r="P10" s="40"/>
      <c r="Q10" s="40"/>
      <c r="R10" s="40"/>
      <c r="S10" s="40"/>
      <c r="T10" s="40" t="s">
        <v>274</v>
      </c>
      <c r="U10" s="40" t="s">
        <v>265</v>
      </c>
      <c r="V10" s="40" t="s">
        <v>135</v>
      </c>
      <c r="W10" s="40" t="s">
        <v>266</v>
      </c>
      <c r="X10" s="40" t="s">
        <v>49</v>
      </c>
      <c r="Y10" s="40">
        <v>0</v>
      </c>
      <c r="Z10" s="40" t="s">
        <v>50</v>
      </c>
      <c r="AA10" s="40"/>
      <c r="AB10" s="40" t="s">
        <v>51</v>
      </c>
      <c r="AC10" s="40"/>
      <c r="AD10" s="40" t="s">
        <v>52</v>
      </c>
      <c r="AE10" s="40"/>
      <c r="AF10" s="40">
        <v>46133</v>
      </c>
      <c r="AG10" s="40">
        <v>46133</v>
      </c>
      <c r="AH10" s="40">
        <v>46133</v>
      </c>
      <c r="AI10" s="40">
        <v>0</v>
      </c>
      <c r="AJ10" s="40">
        <v>700</v>
      </c>
      <c r="AK10" s="40" t="s">
        <v>46</v>
      </c>
      <c r="AL10" s="40">
        <v>700</v>
      </c>
      <c r="AM10" s="40"/>
      <c r="AN10" s="40"/>
      <c r="AO10" s="40"/>
      <c r="AP10" s="41" t="s">
        <v>278</v>
      </c>
      <c r="AQ10" s="42">
        <v>-4</v>
      </c>
      <c r="AR10" s="40" t="s">
        <v>53</v>
      </c>
      <c r="AS10" s="40" t="s">
        <v>54</v>
      </c>
      <c r="AT10" s="63">
        <v>4500903709</v>
      </c>
      <c r="AU10" s="55"/>
      <c r="AV10" s="55"/>
      <c r="AW10" s="55"/>
    </row>
    <row r="11" spans="1:49" x14ac:dyDescent="0.35">
      <c r="A11" s="11">
        <v>46112</v>
      </c>
      <c r="B11" s="1" t="s">
        <v>137</v>
      </c>
      <c r="C11" s="1" t="s">
        <v>42</v>
      </c>
      <c r="D11" s="73">
        <v>14092062</v>
      </c>
      <c r="E11" s="1" t="s">
        <v>138</v>
      </c>
      <c r="F11" s="1">
        <v>1</v>
      </c>
      <c r="G11" s="1" t="s">
        <v>43</v>
      </c>
      <c r="H11" s="1" t="s">
        <v>92</v>
      </c>
      <c r="I11" s="1" t="s">
        <v>45</v>
      </c>
      <c r="J11" s="1" t="s">
        <v>45</v>
      </c>
      <c r="K11" s="1"/>
      <c r="L11" s="1"/>
      <c r="M11" s="1"/>
      <c r="N11" s="1"/>
      <c r="O11" s="1"/>
      <c r="P11" s="1"/>
      <c r="Q11" s="1"/>
      <c r="R11" s="1"/>
      <c r="S11" s="1"/>
      <c r="T11" s="1" t="s">
        <v>139</v>
      </c>
      <c r="U11" s="1" t="s">
        <v>140</v>
      </c>
      <c r="V11" s="1" t="s">
        <v>135</v>
      </c>
      <c r="W11" s="1" t="s">
        <v>93</v>
      </c>
      <c r="X11" s="1" t="s">
        <v>59</v>
      </c>
      <c r="Y11" s="1">
        <v>0</v>
      </c>
      <c r="Z11" s="1" t="s">
        <v>50</v>
      </c>
      <c r="AA11" s="1" t="s">
        <v>94</v>
      </c>
      <c r="AB11" s="1" t="s">
        <v>61</v>
      </c>
      <c r="AC11" s="1"/>
      <c r="AD11" s="1" t="s">
        <v>52</v>
      </c>
      <c r="AE11" s="1"/>
      <c r="AF11" s="1">
        <v>46112</v>
      </c>
      <c r="AG11" s="1">
        <v>46112</v>
      </c>
      <c r="AH11" s="1">
        <v>46113</v>
      </c>
      <c r="AI11" s="1">
        <v>29</v>
      </c>
      <c r="AJ11" s="1">
        <v>108.75</v>
      </c>
      <c r="AK11" s="1" t="s">
        <v>46</v>
      </c>
      <c r="AL11" s="1">
        <v>108.75</v>
      </c>
      <c r="AM11" s="1" t="s">
        <v>141</v>
      </c>
      <c r="AN11" s="1">
        <v>2017463</v>
      </c>
      <c r="AO11" s="1"/>
      <c r="AP11" s="12" t="s">
        <v>142</v>
      </c>
      <c r="AQ11" s="13">
        <v>-25</v>
      </c>
      <c r="AR11" s="1" t="s">
        <v>53</v>
      </c>
      <c r="AS11" s="1" t="s">
        <v>54</v>
      </c>
      <c r="AV11" s="65"/>
    </row>
    <row r="12" spans="1:49" x14ac:dyDescent="0.35">
      <c r="A12" s="39">
        <v>46133</v>
      </c>
      <c r="B12" s="40" t="s">
        <v>272</v>
      </c>
      <c r="C12" s="40" t="s">
        <v>63</v>
      </c>
      <c r="D12" s="40">
        <v>14906688</v>
      </c>
      <c r="E12" s="40" t="s">
        <v>289</v>
      </c>
      <c r="F12" s="40">
        <v>1</v>
      </c>
      <c r="G12" s="40" t="s">
        <v>43</v>
      </c>
      <c r="H12" s="40" t="s">
        <v>92</v>
      </c>
      <c r="I12" s="40" t="s">
        <v>45</v>
      </c>
      <c r="J12" s="40" t="s">
        <v>45</v>
      </c>
      <c r="K12" s="40"/>
      <c r="L12" s="40" t="s">
        <v>504</v>
      </c>
      <c r="M12" s="40">
        <v>243</v>
      </c>
      <c r="N12" s="40" t="s">
        <v>56</v>
      </c>
      <c r="O12" s="40"/>
      <c r="P12" s="40"/>
      <c r="Q12" s="40"/>
      <c r="R12" s="40"/>
      <c r="S12" s="40"/>
      <c r="T12" s="40" t="s">
        <v>290</v>
      </c>
      <c r="U12" s="40" t="s">
        <v>265</v>
      </c>
      <c r="V12" s="40" t="s">
        <v>135</v>
      </c>
      <c r="W12" s="40" t="s">
        <v>266</v>
      </c>
      <c r="X12" s="40" t="s">
        <v>49</v>
      </c>
      <c r="Y12" s="40">
        <v>0</v>
      </c>
      <c r="Z12" s="40" t="s">
        <v>50</v>
      </c>
      <c r="AA12" s="40" t="s">
        <v>94</v>
      </c>
      <c r="AB12" s="40" t="s">
        <v>51</v>
      </c>
      <c r="AC12" s="40"/>
      <c r="AD12" s="40" t="s">
        <v>52</v>
      </c>
      <c r="AE12" s="40"/>
      <c r="AF12" s="40">
        <v>46133</v>
      </c>
      <c r="AG12" s="40">
        <v>46133</v>
      </c>
      <c r="AH12" s="40">
        <v>46133</v>
      </c>
      <c r="AI12" s="40">
        <v>0</v>
      </c>
      <c r="AJ12" s="40">
        <v>1105</v>
      </c>
      <c r="AK12" s="40" t="s">
        <v>46</v>
      </c>
      <c r="AL12" s="40">
        <v>1105</v>
      </c>
      <c r="AM12" s="40"/>
      <c r="AN12" s="40"/>
      <c r="AO12" s="40"/>
      <c r="AP12" s="41" t="s">
        <v>292</v>
      </c>
      <c r="AQ12" s="42">
        <v>-4</v>
      </c>
      <c r="AR12" s="40" t="s">
        <v>53</v>
      </c>
      <c r="AS12" s="40" t="s">
        <v>54</v>
      </c>
      <c r="AT12" s="63">
        <v>4500903709</v>
      </c>
      <c r="AU12" s="55"/>
      <c r="AV12" s="55"/>
      <c r="AW12" s="55"/>
    </row>
    <row r="13" spans="1:49" x14ac:dyDescent="0.35">
      <c r="A13" s="39">
        <v>46133</v>
      </c>
      <c r="B13" s="40" t="s">
        <v>272</v>
      </c>
      <c r="C13" s="40" t="s">
        <v>105</v>
      </c>
      <c r="D13" s="40">
        <v>14101769</v>
      </c>
      <c r="E13" s="40" t="s">
        <v>273</v>
      </c>
      <c r="F13" s="40">
        <v>1</v>
      </c>
      <c r="G13" s="40" t="s">
        <v>43</v>
      </c>
      <c r="H13" s="40" t="s">
        <v>264</v>
      </c>
      <c r="I13" s="40" t="s">
        <v>45</v>
      </c>
      <c r="J13" s="40" t="s">
        <v>45</v>
      </c>
      <c r="K13" s="40"/>
      <c r="L13" s="40" t="s">
        <v>504</v>
      </c>
      <c r="M13" s="40">
        <v>260.93</v>
      </c>
      <c r="N13" s="40" t="s">
        <v>56</v>
      </c>
      <c r="O13" s="40"/>
      <c r="P13" s="40"/>
      <c r="Q13" s="40"/>
      <c r="R13" s="40"/>
      <c r="S13" s="40"/>
      <c r="T13" s="40" t="s">
        <v>274</v>
      </c>
      <c r="U13" s="40" t="s">
        <v>265</v>
      </c>
      <c r="V13" s="40" t="s">
        <v>135</v>
      </c>
      <c r="W13" s="40" t="s">
        <v>266</v>
      </c>
      <c r="X13" s="40" t="s">
        <v>267</v>
      </c>
      <c r="Y13" s="40">
        <v>0</v>
      </c>
      <c r="Z13" s="40" t="s">
        <v>50</v>
      </c>
      <c r="AA13" s="40"/>
      <c r="AB13" s="40" t="s">
        <v>51</v>
      </c>
      <c r="AC13" s="40"/>
      <c r="AD13" s="40" t="s">
        <v>52</v>
      </c>
      <c r="AE13" s="40"/>
      <c r="AF13" s="40">
        <v>46133</v>
      </c>
      <c r="AG13" s="40">
        <v>46133</v>
      </c>
      <c r="AH13" s="40">
        <v>46133</v>
      </c>
      <c r="AI13" s="40">
        <v>0</v>
      </c>
      <c r="AJ13" s="40">
        <v>1000</v>
      </c>
      <c r="AK13" s="40" t="s">
        <v>46</v>
      </c>
      <c r="AL13" s="40">
        <v>1000</v>
      </c>
      <c r="AM13" s="40"/>
      <c r="AN13" s="40"/>
      <c r="AO13" s="40"/>
      <c r="AP13" s="41" t="s">
        <v>275</v>
      </c>
      <c r="AQ13" s="42">
        <v>-4</v>
      </c>
      <c r="AR13" s="40" t="s">
        <v>53</v>
      </c>
      <c r="AS13" s="40" t="s">
        <v>54</v>
      </c>
      <c r="AT13" s="63">
        <v>4500903713</v>
      </c>
      <c r="AU13" s="55"/>
      <c r="AV13" s="55"/>
      <c r="AW13" s="55"/>
    </row>
    <row r="14" spans="1:49" x14ac:dyDescent="0.35">
      <c r="A14" s="39">
        <v>46133</v>
      </c>
      <c r="B14" s="40" t="s">
        <v>272</v>
      </c>
      <c r="C14" s="40" t="s">
        <v>279</v>
      </c>
      <c r="D14" s="40">
        <v>14101589</v>
      </c>
      <c r="E14" s="40" t="s">
        <v>280</v>
      </c>
      <c r="F14" s="40">
        <v>1</v>
      </c>
      <c r="G14" s="40" t="s">
        <v>43</v>
      </c>
      <c r="H14" s="40" t="s">
        <v>264</v>
      </c>
      <c r="I14" s="40" t="s">
        <v>45</v>
      </c>
      <c r="J14" s="40" t="s">
        <v>45</v>
      </c>
      <c r="K14" s="39">
        <v>46121</v>
      </c>
      <c r="L14" s="40" t="s">
        <v>504</v>
      </c>
      <c r="M14" s="40">
        <v>41.6</v>
      </c>
      <c r="N14" s="40" t="s">
        <v>56</v>
      </c>
      <c r="O14" s="40">
        <v>1</v>
      </c>
      <c r="P14" s="40" t="s">
        <v>43</v>
      </c>
      <c r="Q14" s="40">
        <v>1207</v>
      </c>
      <c r="R14" s="40">
        <v>1</v>
      </c>
      <c r="S14" s="40">
        <v>4500899518</v>
      </c>
      <c r="T14" s="40" t="s">
        <v>274</v>
      </c>
      <c r="U14" s="40" t="s">
        <v>265</v>
      </c>
      <c r="V14" s="40" t="s">
        <v>135</v>
      </c>
      <c r="W14" s="40" t="s">
        <v>266</v>
      </c>
      <c r="X14" s="40" t="s">
        <v>267</v>
      </c>
      <c r="Y14" s="40">
        <v>0</v>
      </c>
      <c r="Z14" s="40" t="s">
        <v>50</v>
      </c>
      <c r="AA14" s="40"/>
      <c r="AB14" s="40" t="s">
        <v>51</v>
      </c>
      <c r="AC14" s="40"/>
      <c r="AD14" s="40" t="s">
        <v>52</v>
      </c>
      <c r="AE14" s="40"/>
      <c r="AF14" s="40">
        <v>46133</v>
      </c>
      <c r="AG14" s="40">
        <v>46133</v>
      </c>
      <c r="AH14" s="40">
        <v>46133</v>
      </c>
      <c r="AI14" s="40">
        <v>0</v>
      </c>
      <c r="AJ14" s="40">
        <v>105.93</v>
      </c>
      <c r="AK14" s="40" t="s">
        <v>46</v>
      </c>
      <c r="AL14" s="40">
        <v>105.93</v>
      </c>
      <c r="AM14" s="40"/>
      <c r="AN14" s="40"/>
      <c r="AO14" s="40"/>
      <c r="AP14" s="41" t="s">
        <v>281</v>
      </c>
      <c r="AQ14" s="42">
        <v>-4</v>
      </c>
      <c r="AR14" s="40" t="s">
        <v>53</v>
      </c>
      <c r="AS14" s="40" t="s">
        <v>54</v>
      </c>
      <c r="AT14" s="63">
        <v>4500903713</v>
      </c>
      <c r="AU14" s="55"/>
      <c r="AV14" s="55"/>
      <c r="AW14" s="55"/>
    </row>
    <row r="15" spans="1:49" x14ac:dyDescent="0.35">
      <c r="A15" s="39">
        <v>46133</v>
      </c>
      <c r="B15" s="40" t="s">
        <v>262</v>
      </c>
      <c r="C15" s="40" t="s">
        <v>42</v>
      </c>
      <c r="D15" s="40">
        <v>14905873</v>
      </c>
      <c r="E15" s="40" t="s">
        <v>263</v>
      </c>
      <c r="F15" s="40">
        <v>3</v>
      </c>
      <c r="G15" s="40" t="s">
        <v>43</v>
      </c>
      <c r="H15" s="40" t="s">
        <v>264</v>
      </c>
      <c r="I15" s="40" t="s">
        <v>45</v>
      </c>
      <c r="J15" s="40" t="s">
        <v>45</v>
      </c>
      <c r="K15" s="40"/>
      <c r="L15" s="40" t="s">
        <v>505</v>
      </c>
      <c r="M15" s="40">
        <v>450.53</v>
      </c>
      <c r="N15" s="40" t="s">
        <v>56</v>
      </c>
      <c r="O15" s="40"/>
      <c r="P15" s="40"/>
      <c r="Q15" s="40"/>
      <c r="R15" s="40"/>
      <c r="S15" s="40"/>
      <c r="T15" s="40" t="s">
        <v>139</v>
      </c>
      <c r="U15" s="40" t="s">
        <v>265</v>
      </c>
      <c r="V15" s="40" t="s">
        <v>135</v>
      </c>
      <c r="W15" s="40" t="s">
        <v>266</v>
      </c>
      <c r="X15" s="40" t="s">
        <v>267</v>
      </c>
      <c r="Y15" s="40">
        <v>0</v>
      </c>
      <c r="Z15" s="40" t="s">
        <v>50</v>
      </c>
      <c r="AA15" s="40"/>
      <c r="AB15" s="40" t="s">
        <v>51</v>
      </c>
      <c r="AC15" s="40"/>
      <c r="AD15" s="40" t="s">
        <v>52</v>
      </c>
      <c r="AE15" s="40"/>
      <c r="AF15" s="40">
        <v>46133</v>
      </c>
      <c r="AG15" s="40">
        <v>46133</v>
      </c>
      <c r="AH15" s="40">
        <v>46133</v>
      </c>
      <c r="AI15" s="40">
        <v>0</v>
      </c>
      <c r="AJ15" s="40">
        <v>3188.16</v>
      </c>
      <c r="AK15" s="40" t="s">
        <v>46</v>
      </c>
      <c r="AL15" s="40">
        <v>9564.48</v>
      </c>
      <c r="AM15" s="40"/>
      <c r="AN15" s="40"/>
      <c r="AO15" s="40"/>
      <c r="AP15" s="41" t="s">
        <v>268</v>
      </c>
      <c r="AQ15" s="42">
        <v>-4</v>
      </c>
      <c r="AR15" s="40" t="s">
        <v>53</v>
      </c>
      <c r="AS15" s="40" t="s">
        <v>54</v>
      </c>
      <c r="AT15" s="28">
        <v>4500903710</v>
      </c>
    </row>
    <row r="16" spans="1:49" x14ac:dyDescent="0.35">
      <c r="A16" s="39">
        <v>46133</v>
      </c>
      <c r="B16" s="40" t="s">
        <v>272</v>
      </c>
      <c r="C16" s="40" t="s">
        <v>79</v>
      </c>
      <c r="D16" s="40">
        <v>14906304</v>
      </c>
      <c r="E16" s="40" t="s">
        <v>282</v>
      </c>
      <c r="F16" s="40">
        <v>10</v>
      </c>
      <c r="G16" s="40" t="s">
        <v>43</v>
      </c>
      <c r="H16" s="40" t="s">
        <v>264</v>
      </c>
      <c r="I16" s="40" t="s">
        <v>45</v>
      </c>
      <c r="J16" s="40" t="s">
        <v>45</v>
      </c>
      <c r="K16" s="40"/>
      <c r="L16" s="40" t="s">
        <v>504</v>
      </c>
      <c r="M16" s="40">
        <v>81</v>
      </c>
      <c r="N16" s="40" t="s">
        <v>56</v>
      </c>
      <c r="O16" s="40"/>
      <c r="P16" s="40"/>
      <c r="Q16" s="40"/>
      <c r="R16" s="40"/>
      <c r="S16" s="40"/>
      <c r="T16" s="40" t="s">
        <v>139</v>
      </c>
      <c r="U16" s="40" t="s">
        <v>265</v>
      </c>
      <c r="V16" s="40" t="s">
        <v>135</v>
      </c>
      <c r="W16" s="40" t="s">
        <v>266</v>
      </c>
      <c r="X16" s="40" t="s">
        <v>267</v>
      </c>
      <c r="Y16" s="40">
        <v>0</v>
      </c>
      <c r="Z16" s="40" t="s">
        <v>50</v>
      </c>
      <c r="AA16" s="40"/>
      <c r="AB16" s="40" t="s">
        <v>51</v>
      </c>
      <c r="AC16" s="40"/>
      <c r="AD16" s="40" t="s">
        <v>52</v>
      </c>
      <c r="AE16" s="40"/>
      <c r="AF16" s="40">
        <v>46133</v>
      </c>
      <c r="AG16" s="40">
        <v>46133</v>
      </c>
      <c r="AH16" s="40">
        <v>46133</v>
      </c>
      <c r="AI16" s="40">
        <v>0</v>
      </c>
      <c r="AJ16" s="40">
        <v>338.06</v>
      </c>
      <c r="AK16" s="40" t="s">
        <v>46</v>
      </c>
      <c r="AL16" s="40">
        <v>3380.6</v>
      </c>
      <c r="AM16" s="40"/>
      <c r="AN16" s="40"/>
      <c r="AO16" s="40"/>
      <c r="AP16" s="41" t="s">
        <v>283</v>
      </c>
      <c r="AQ16" s="42">
        <v>-4</v>
      </c>
      <c r="AR16" s="40" t="s">
        <v>53</v>
      </c>
      <c r="AS16" s="40" t="s">
        <v>54</v>
      </c>
      <c r="AT16" s="63">
        <v>4500903713</v>
      </c>
      <c r="AU16" s="55"/>
      <c r="AV16" s="55"/>
      <c r="AW16" s="55"/>
    </row>
    <row r="17" spans="1:49" x14ac:dyDescent="0.35">
      <c r="A17" s="39">
        <v>46133</v>
      </c>
      <c r="B17" s="40" t="s">
        <v>272</v>
      </c>
      <c r="C17" s="40" t="s">
        <v>252</v>
      </c>
      <c r="D17" s="40">
        <v>14101771</v>
      </c>
      <c r="E17" s="40" t="s">
        <v>284</v>
      </c>
      <c r="F17" s="40">
        <v>5</v>
      </c>
      <c r="G17" s="40" t="s">
        <v>43</v>
      </c>
      <c r="H17" s="40" t="s">
        <v>264</v>
      </c>
      <c r="I17" s="40" t="s">
        <v>45</v>
      </c>
      <c r="J17" s="40" t="s">
        <v>45</v>
      </c>
      <c r="K17" s="40"/>
      <c r="L17" s="40" t="s">
        <v>504</v>
      </c>
      <c r="M17" s="40">
        <v>241.92</v>
      </c>
      <c r="N17" s="40" t="s">
        <v>56</v>
      </c>
      <c r="O17" s="40"/>
      <c r="P17" s="40"/>
      <c r="Q17" s="40"/>
      <c r="R17" s="40"/>
      <c r="S17" s="40"/>
      <c r="T17" s="40" t="s">
        <v>139</v>
      </c>
      <c r="U17" s="40" t="s">
        <v>265</v>
      </c>
      <c r="V17" s="40" t="s">
        <v>135</v>
      </c>
      <c r="W17" s="40" t="s">
        <v>266</v>
      </c>
      <c r="X17" s="40" t="s">
        <v>267</v>
      </c>
      <c r="Y17" s="40">
        <v>0</v>
      </c>
      <c r="Z17" s="40" t="s">
        <v>50</v>
      </c>
      <c r="AA17" s="40"/>
      <c r="AB17" s="40" t="s">
        <v>51</v>
      </c>
      <c r="AC17" s="40"/>
      <c r="AD17" s="40" t="s">
        <v>52</v>
      </c>
      <c r="AE17" s="40"/>
      <c r="AF17" s="40">
        <v>46133</v>
      </c>
      <c r="AG17" s="40">
        <v>46133</v>
      </c>
      <c r="AH17" s="40">
        <v>46133</v>
      </c>
      <c r="AI17" s="40">
        <v>0</v>
      </c>
      <c r="AJ17" s="40">
        <v>690</v>
      </c>
      <c r="AK17" s="40" t="s">
        <v>46</v>
      </c>
      <c r="AL17" s="40">
        <v>3450</v>
      </c>
      <c r="AM17" s="40"/>
      <c r="AN17" s="40"/>
      <c r="AO17" s="40"/>
      <c r="AP17" s="41" t="s">
        <v>285</v>
      </c>
      <c r="AQ17" s="42">
        <v>-4</v>
      </c>
      <c r="AR17" s="40" t="s">
        <v>53</v>
      </c>
      <c r="AS17" s="40" t="s">
        <v>54</v>
      </c>
      <c r="AT17" s="63">
        <v>4500903713</v>
      </c>
      <c r="AU17" s="55"/>
      <c r="AV17" s="55"/>
      <c r="AW17" s="55"/>
    </row>
    <row r="18" spans="1:49" x14ac:dyDescent="0.35">
      <c r="A18" s="39">
        <v>46133</v>
      </c>
      <c r="B18" s="40" t="s">
        <v>272</v>
      </c>
      <c r="C18" s="40" t="s">
        <v>286</v>
      </c>
      <c r="D18" s="40">
        <v>14905308</v>
      </c>
      <c r="E18" s="40" t="s">
        <v>287</v>
      </c>
      <c r="F18" s="40">
        <v>2</v>
      </c>
      <c r="G18" s="40" t="s">
        <v>43</v>
      </c>
      <c r="H18" s="40" t="s">
        <v>264</v>
      </c>
      <c r="I18" s="40" t="s">
        <v>45</v>
      </c>
      <c r="J18" s="40" t="s">
        <v>45</v>
      </c>
      <c r="K18" s="40"/>
      <c r="L18" s="40" t="s">
        <v>504</v>
      </c>
      <c r="M18" s="54">
        <v>1266.1199999999999</v>
      </c>
      <c r="N18" s="40" t="s">
        <v>56</v>
      </c>
      <c r="O18" s="40"/>
      <c r="P18" s="40"/>
      <c r="Q18" s="40"/>
      <c r="R18" s="40"/>
      <c r="S18" s="40"/>
      <c r="T18" s="40" t="s">
        <v>139</v>
      </c>
      <c r="U18" s="40" t="s">
        <v>265</v>
      </c>
      <c r="V18" s="40" t="s">
        <v>135</v>
      </c>
      <c r="W18" s="40" t="s">
        <v>266</v>
      </c>
      <c r="X18" s="40" t="s">
        <v>267</v>
      </c>
      <c r="Y18" s="40">
        <v>0</v>
      </c>
      <c r="Z18" s="40" t="s">
        <v>50</v>
      </c>
      <c r="AA18" s="40"/>
      <c r="AB18" s="40" t="s">
        <v>51</v>
      </c>
      <c r="AC18" s="40"/>
      <c r="AD18" s="40" t="s">
        <v>52</v>
      </c>
      <c r="AE18" s="40"/>
      <c r="AF18" s="40">
        <v>46133</v>
      </c>
      <c r="AG18" s="40">
        <v>46133</v>
      </c>
      <c r="AH18" s="40">
        <v>46133</v>
      </c>
      <c r="AI18" s="40">
        <v>0</v>
      </c>
      <c r="AJ18" s="40">
        <v>2965.6</v>
      </c>
      <c r="AK18" s="40" t="s">
        <v>46</v>
      </c>
      <c r="AL18" s="40">
        <v>5931.2</v>
      </c>
      <c r="AM18" s="40"/>
      <c r="AN18" s="40"/>
      <c r="AO18" s="40"/>
      <c r="AP18" s="41" t="s">
        <v>288</v>
      </c>
      <c r="AQ18" s="42">
        <v>-4</v>
      </c>
      <c r="AR18" s="40" t="s">
        <v>53</v>
      </c>
      <c r="AS18" s="40" t="s">
        <v>54</v>
      </c>
      <c r="AT18" s="63">
        <v>4500903713</v>
      </c>
      <c r="AU18" s="55"/>
      <c r="AV18" s="55"/>
      <c r="AW18" s="55"/>
    </row>
    <row r="19" spans="1:49" x14ac:dyDescent="0.35">
      <c r="A19" s="39">
        <v>46136</v>
      </c>
      <c r="B19" s="40" t="s">
        <v>370</v>
      </c>
      <c r="C19" s="40" t="s">
        <v>64</v>
      </c>
      <c r="D19" s="40">
        <v>14075090</v>
      </c>
      <c r="E19" s="40" t="s">
        <v>379</v>
      </c>
      <c r="F19" s="40">
        <v>50</v>
      </c>
      <c r="G19" s="40" t="s">
        <v>43</v>
      </c>
      <c r="H19" s="40" t="s">
        <v>71</v>
      </c>
      <c r="I19" s="40" t="s">
        <v>45</v>
      </c>
      <c r="J19" s="40" t="s">
        <v>45</v>
      </c>
      <c r="K19" s="39">
        <v>46058</v>
      </c>
      <c r="L19" s="40" t="s">
        <v>80</v>
      </c>
      <c r="M19" s="40">
        <v>0.08</v>
      </c>
      <c r="N19" s="40" t="s">
        <v>56</v>
      </c>
      <c r="O19" s="40">
        <v>1</v>
      </c>
      <c r="P19" s="40" t="s">
        <v>43</v>
      </c>
      <c r="Q19" s="40">
        <v>1102</v>
      </c>
      <c r="R19" s="40">
        <v>200</v>
      </c>
      <c r="S19" s="40">
        <v>4500889647</v>
      </c>
      <c r="T19" s="40" t="s">
        <v>380</v>
      </c>
      <c r="U19" s="40" t="s">
        <v>69</v>
      </c>
      <c r="V19" s="40" t="s">
        <v>70</v>
      </c>
      <c r="W19" s="40" t="s">
        <v>73</v>
      </c>
      <c r="X19" s="40" t="s">
        <v>59</v>
      </c>
      <c r="Y19" s="40">
        <v>0</v>
      </c>
      <c r="Z19" s="40" t="s">
        <v>50</v>
      </c>
      <c r="AA19" s="40" t="s">
        <v>74</v>
      </c>
      <c r="AB19" s="40" t="s">
        <v>61</v>
      </c>
      <c r="AC19" s="40"/>
      <c r="AD19" s="40" t="s">
        <v>52</v>
      </c>
      <c r="AE19" s="40"/>
      <c r="AF19" s="40">
        <v>46136</v>
      </c>
      <c r="AG19" s="40">
        <v>46136</v>
      </c>
      <c r="AH19" s="40">
        <v>46137</v>
      </c>
      <c r="AI19" s="40">
        <v>0</v>
      </c>
      <c r="AJ19" s="40">
        <v>0.27</v>
      </c>
      <c r="AK19" s="40" t="s">
        <v>46</v>
      </c>
      <c r="AL19" s="40">
        <v>13.5</v>
      </c>
      <c r="AM19" s="40" t="s">
        <v>381</v>
      </c>
      <c r="AN19" s="40">
        <v>4215984</v>
      </c>
      <c r="AO19" s="40"/>
      <c r="AP19" s="41" t="s">
        <v>382</v>
      </c>
      <c r="AQ19" s="42">
        <v>-1</v>
      </c>
      <c r="AR19" s="40" t="s">
        <v>53</v>
      </c>
      <c r="AS19" s="40" t="s">
        <v>54</v>
      </c>
      <c r="AT19" s="63"/>
      <c r="AU19" s="55"/>
      <c r="AV19" s="55"/>
      <c r="AW19" s="55"/>
    </row>
    <row r="20" spans="1:49" x14ac:dyDescent="0.35">
      <c r="A20" s="39">
        <v>46136</v>
      </c>
      <c r="B20" s="40" t="s">
        <v>370</v>
      </c>
      <c r="C20" s="40" t="s">
        <v>276</v>
      </c>
      <c r="D20" s="40">
        <v>14087675</v>
      </c>
      <c r="E20" s="40" t="s">
        <v>383</v>
      </c>
      <c r="F20" s="40">
        <v>50</v>
      </c>
      <c r="G20" s="40" t="s">
        <v>43</v>
      </c>
      <c r="H20" s="40" t="s">
        <v>71</v>
      </c>
      <c r="I20" s="40" t="s">
        <v>45</v>
      </c>
      <c r="J20" s="40" t="s">
        <v>45</v>
      </c>
      <c r="K20" s="40"/>
      <c r="L20" s="40" t="s">
        <v>80</v>
      </c>
      <c r="M20" s="40">
        <v>0.01</v>
      </c>
      <c r="N20" s="40" t="s">
        <v>56</v>
      </c>
      <c r="O20" s="40"/>
      <c r="P20" s="40"/>
      <c r="Q20" s="40"/>
      <c r="R20" s="40"/>
      <c r="S20" s="40"/>
      <c r="T20" s="40" t="s">
        <v>380</v>
      </c>
      <c r="U20" s="40" t="s">
        <v>69</v>
      </c>
      <c r="V20" s="40" t="s">
        <v>70</v>
      </c>
      <c r="W20" s="40" t="s">
        <v>73</v>
      </c>
      <c r="X20" s="40" t="s">
        <v>59</v>
      </c>
      <c r="Y20" s="40">
        <v>0</v>
      </c>
      <c r="Z20" s="40" t="s">
        <v>50</v>
      </c>
      <c r="AA20" s="40" t="s">
        <v>74</v>
      </c>
      <c r="AB20" s="40" t="s">
        <v>61</v>
      </c>
      <c r="AC20" s="40"/>
      <c r="AD20" s="40" t="s">
        <v>52</v>
      </c>
      <c r="AE20" s="40"/>
      <c r="AF20" s="40">
        <v>46136</v>
      </c>
      <c r="AG20" s="40">
        <v>46136</v>
      </c>
      <c r="AH20" s="40">
        <v>46137</v>
      </c>
      <c r="AI20" s="40">
        <v>0</v>
      </c>
      <c r="AJ20" s="40">
        <v>0.38</v>
      </c>
      <c r="AK20" s="40" t="s">
        <v>46</v>
      </c>
      <c r="AL20" s="40">
        <v>19</v>
      </c>
      <c r="AM20" s="40" t="s">
        <v>384</v>
      </c>
      <c r="AN20" s="40">
        <v>4215984</v>
      </c>
      <c r="AO20" s="40"/>
      <c r="AP20" s="41" t="s">
        <v>385</v>
      </c>
      <c r="AQ20" s="42">
        <v>-1</v>
      </c>
      <c r="AR20" s="40" t="s">
        <v>53</v>
      </c>
      <c r="AS20" s="40" t="s">
        <v>54</v>
      </c>
      <c r="AT20" s="63"/>
      <c r="AU20" s="55"/>
      <c r="AV20" s="55"/>
      <c r="AW20" s="55"/>
    </row>
    <row r="21" spans="1:49" x14ac:dyDescent="0.35">
      <c r="A21" s="11">
        <v>46137</v>
      </c>
      <c r="B21" s="1" t="s">
        <v>374</v>
      </c>
      <c r="C21" s="1" t="s">
        <v>64</v>
      </c>
      <c r="D21" s="1">
        <v>14040824</v>
      </c>
      <c r="E21" s="1" t="s">
        <v>375</v>
      </c>
      <c r="F21" s="1">
        <v>5</v>
      </c>
      <c r="G21" s="1" t="s">
        <v>43</v>
      </c>
      <c r="H21" s="1" t="s">
        <v>71</v>
      </c>
      <c r="I21" s="1" t="s">
        <v>45</v>
      </c>
      <c r="J21" s="1" t="s">
        <v>45</v>
      </c>
      <c r="K21" s="11">
        <v>46048</v>
      </c>
      <c r="L21" s="1" t="s">
        <v>80</v>
      </c>
      <c r="M21" s="1">
        <v>440.65</v>
      </c>
      <c r="N21" s="1" t="s">
        <v>56</v>
      </c>
      <c r="O21" s="1">
        <v>1</v>
      </c>
      <c r="P21" s="1" t="s">
        <v>43</v>
      </c>
      <c r="Q21" s="1">
        <v>1102</v>
      </c>
      <c r="R21" s="1">
        <v>4</v>
      </c>
      <c r="S21" s="1">
        <v>4500887670</v>
      </c>
      <c r="T21" s="1" t="s">
        <v>376</v>
      </c>
      <c r="U21" s="1" t="s">
        <v>361</v>
      </c>
      <c r="V21" s="1" t="s">
        <v>70</v>
      </c>
      <c r="W21" s="1" t="s">
        <v>73</v>
      </c>
      <c r="X21" s="1" t="s">
        <v>59</v>
      </c>
      <c r="Y21" s="1">
        <v>0</v>
      </c>
      <c r="Z21" s="1" t="s">
        <v>50</v>
      </c>
      <c r="AA21" s="1" t="s">
        <v>74</v>
      </c>
      <c r="AB21" s="1" t="s">
        <v>61</v>
      </c>
      <c r="AC21" s="1"/>
      <c r="AD21" s="1" t="s">
        <v>52</v>
      </c>
      <c r="AE21" s="1"/>
      <c r="AF21" s="1">
        <v>46137</v>
      </c>
      <c r="AG21" s="1">
        <v>46137</v>
      </c>
      <c r="AH21" s="1">
        <v>46138</v>
      </c>
      <c r="AI21" s="1">
        <v>0</v>
      </c>
      <c r="AJ21" s="1">
        <v>1473.98</v>
      </c>
      <c r="AK21" s="1" t="s">
        <v>46</v>
      </c>
      <c r="AL21" s="1">
        <v>7369.9</v>
      </c>
      <c r="AM21" s="1" t="s">
        <v>377</v>
      </c>
      <c r="AN21" s="1">
        <v>4212177</v>
      </c>
      <c r="AO21" s="1"/>
      <c r="AP21" s="12" t="s">
        <v>378</v>
      </c>
      <c r="AQ21" s="13">
        <v>0</v>
      </c>
      <c r="AR21" s="1" t="s">
        <v>62</v>
      </c>
      <c r="AS21" s="1" t="s">
        <v>54</v>
      </c>
      <c r="AV21" s="65"/>
    </row>
    <row r="22" spans="1:49" x14ac:dyDescent="0.35">
      <c r="A22" s="39">
        <v>46137</v>
      </c>
      <c r="B22" s="40" t="s">
        <v>371</v>
      </c>
      <c r="C22" s="40" t="s">
        <v>81</v>
      </c>
      <c r="D22" s="40">
        <v>14078545</v>
      </c>
      <c r="E22" s="40" t="s">
        <v>372</v>
      </c>
      <c r="F22" s="40">
        <v>6</v>
      </c>
      <c r="G22" s="40" t="s">
        <v>43</v>
      </c>
      <c r="H22" s="40" t="s">
        <v>44</v>
      </c>
      <c r="I22" s="40" t="s">
        <v>45</v>
      </c>
      <c r="J22" s="40" t="s">
        <v>45</v>
      </c>
      <c r="K22" s="39">
        <v>46132</v>
      </c>
      <c r="L22" s="40" t="s">
        <v>80</v>
      </c>
      <c r="M22" s="40">
        <v>2.15</v>
      </c>
      <c r="N22" s="40" t="s">
        <v>56</v>
      </c>
      <c r="O22" s="40">
        <v>1</v>
      </c>
      <c r="P22" s="40" t="s">
        <v>43</v>
      </c>
      <c r="Q22" s="40">
        <v>1207</v>
      </c>
      <c r="R22" s="40">
        <v>6</v>
      </c>
      <c r="S22" s="40">
        <v>4500902060</v>
      </c>
      <c r="T22" s="40" t="s">
        <v>145</v>
      </c>
      <c r="U22" s="40" t="s">
        <v>84</v>
      </c>
      <c r="V22" s="40" t="s">
        <v>47</v>
      </c>
      <c r="W22" s="40" t="s">
        <v>84</v>
      </c>
      <c r="X22" s="40" t="s">
        <v>49</v>
      </c>
      <c r="Y22" s="40">
        <v>0</v>
      </c>
      <c r="Z22" s="40" t="s">
        <v>50</v>
      </c>
      <c r="AA22" s="40" t="s">
        <v>96</v>
      </c>
      <c r="AB22" s="40" t="s">
        <v>83</v>
      </c>
      <c r="AC22" s="40"/>
      <c r="AD22" s="40" t="s">
        <v>52</v>
      </c>
      <c r="AE22" s="40"/>
      <c r="AF22" s="40">
        <v>46137</v>
      </c>
      <c r="AG22" s="40">
        <v>46137</v>
      </c>
      <c r="AH22" s="40">
        <v>46166</v>
      </c>
      <c r="AI22" s="40">
        <v>29</v>
      </c>
      <c r="AJ22" s="40">
        <v>7.71</v>
      </c>
      <c r="AK22" s="40" t="s">
        <v>46</v>
      </c>
      <c r="AL22" s="40">
        <v>46.26</v>
      </c>
      <c r="AM22" s="40"/>
      <c r="AN22" s="40"/>
      <c r="AO22" s="40"/>
      <c r="AP22" s="41" t="s">
        <v>373</v>
      </c>
      <c r="AQ22" s="42">
        <v>0</v>
      </c>
      <c r="AR22" s="40" t="s">
        <v>62</v>
      </c>
      <c r="AS22" s="40" t="s">
        <v>54</v>
      </c>
      <c r="AT22" s="63"/>
      <c r="AU22" s="55"/>
      <c r="AV22" s="55"/>
      <c r="AW22" s="55"/>
    </row>
    <row r="23" spans="1:49" x14ac:dyDescent="0.35">
      <c r="A23" s="11">
        <v>46136</v>
      </c>
      <c r="B23" s="1" t="s">
        <v>331</v>
      </c>
      <c r="C23" s="1" t="s">
        <v>81</v>
      </c>
      <c r="D23" s="1">
        <v>14076687</v>
      </c>
      <c r="E23" s="1" t="s">
        <v>332</v>
      </c>
      <c r="F23" s="1">
        <v>3</v>
      </c>
      <c r="G23" s="1" t="s">
        <v>43</v>
      </c>
      <c r="H23" s="1" t="s">
        <v>44</v>
      </c>
      <c r="I23" s="1" t="s">
        <v>45</v>
      </c>
      <c r="J23" s="1" t="s">
        <v>45</v>
      </c>
      <c r="K23" s="11">
        <v>46066</v>
      </c>
      <c r="L23" s="1" t="s">
        <v>82</v>
      </c>
      <c r="M23" s="1">
        <v>12.27</v>
      </c>
      <c r="N23" s="1" t="s">
        <v>56</v>
      </c>
      <c r="O23" s="1">
        <v>1</v>
      </c>
      <c r="P23" s="1" t="s">
        <v>43</v>
      </c>
      <c r="Q23" s="1">
        <v>1207</v>
      </c>
      <c r="R23" s="1">
        <v>2</v>
      </c>
      <c r="S23" s="1">
        <v>4500890771</v>
      </c>
      <c r="T23" s="1" t="s">
        <v>143</v>
      </c>
      <c r="U23" s="1" t="s">
        <v>84</v>
      </c>
      <c r="V23" s="1" t="s">
        <v>47</v>
      </c>
      <c r="W23" s="1" t="s">
        <v>84</v>
      </c>
      <c r="X23" s="1" t="s">
        <v>49</v>
      </c>
      <c r="Y23" s="1">
        <v>0</v>
      </c>
      <c r="Z23" s="1" t="s">
        <v>131</v>
      </c>
      <c r="AA23" s="1" t="s">
        <v>96</v>
      </c>
      <c r="AB23" s="1" t="s">
        <v>83</v>
      </c>
      <c r="AC23" s="1" t="s">
        <v>453</v>
      </c>
      <c r="AD23" s="1" t="s">
        <v>276</v>
      </c>
      <c r="AE23" s="1">
        <v>46139</v>
      </c>
      <c r="AF23" s="1">
        <v>46140</v>
      </c>
      <c r="AG23" s="1">
        <v>46136</v>
      </c>
      <c r="AH23" s="1">
        <v>46169</v>
      </c>
      <c r="AI23" s="1">
        <v>29</v>
      </c>
      <c r="AJ23" s="1">
        <v>41.49</v>
      </c>
      <c r="AK23" s="1" t="s">
        <v>46</v>
      </c>
      <c r="AL23" s="1">
        <v>124.47</v>
      </c>
      <c r="AM23" s="1"/>
      <c r="AN23" s="1"/>
      <c r="AO23" s="1"/>
      <c r="AP23" s="12" t="s">
        <v>333</v>
      </c>
      <c r="AQ23" s="13">
        <v>-1</v>
      </c>
      <c r="AR23" s="1" t="s">
        <v>53</v>
      </c>
      <c r="AS23" s="1" t="s">
        <v>54</v>
      </c>
    </row>
    <row r="24" spans="1:49" x14ac:dyDescent="0.35">
      <c r="A24" s="39">
        <v>46133</v>
      </c>
      <c r="B24" s="40" t="s">
        <v>272</v>
      </c>
      <c r="C24" s="40" t="s">
        <v>64</v>
      </c>
      <c r="D24" s="40">
        <v>14906688</v>
      </c>
      <c r="E24" s="40" t="s">
        <v>289</v>
      </c>
      <c r="F24" s="40">
        <v>1</v>
      </c>
      <c r="G24" s="40" t="s">
        <v>43</v>
      </c>
      <c r="H24" s="40" t="s">
        <v>75</v>
      </c>
      <c r="I24" s="40" t="s">
        <v>45</v>
      </c>
      <c r="J24" s="40" t="s">
        <v>45</v>
      </c>
      <c r="K24" s="40"/>
      <c r="L24" s="40" t="s">
        <v>504</v>
      </c>
      <c r="M24" s="40">
        <v>243</v>
      </c>
      <c r="N24" s="40" t="s">
        <v>56</v>
      </c>
      <c r="O24" s="40"/>
      <c r="P24" s="40"/>
      <c r="Q24" s="40"/>
      <c r="R24" s="40"/>
      <c r="S24" s="40"/>
      <c r="T24" s="40" t="s">
        <v>290</v>
      </c>
      <c r="U24" s="40" t="s">
        <v>265</v>
      </c>
      <c r="V24" s="40" t="s">
        <v>135</v>
      </c>
      <c r="W24" s="40" t="s">
        <v>266</v>
      </c>
      <c r="X24" s="40" t="s">
        <v>293</v>
      </c>
      <c r="Y24" s="40">
        <v>0</v>
      </c>
      <c r="Z24" s="40" t="s">
        <v>50</v>
      </c>
      <c r="AA24" s="40" t="s">
        <v>78</v>
      </c>
      <c r="AB24" s="40" t="s">
        <v>51</v>
      </c>
      <c r="AC24" s="40"/>
      <c r="AD24" s="40" t="s">
        <v>52</v>
      </c>
      <c r="AE24" s="40"/>
      <c r="AF24" s="40">
        <v>46133</v>
      </c>
      <c r="AG24" s="40">
        <v>46133</v>
      </c>
      <c r="AH24" s="40">
        <v>46133</v>
      </c>
      <c r="AI24" s="40">
        <v>0</v>
      </c>
      <c r="AJ24" s="40">
        <v>1105</v>
      </c>
      <c r="AK24" s="40" t="s">
        <v>46</v>
      </c>
      <c r="AL24" s="40">
        <v>1105</v>
      </c>
      <c r="AM24" s="40"/>
      <c r="AN24" s="40"/>
      <c r="AO24" s="40"/>
      <c r="AP24" s="41" t="s">
        <v>294</v>
      </c>
      <c r="AQ24" s="42">
        <v>-4</v>
      </c>
      <c r="AR24" s="40" t="s">
        <v>53</v>
      </c>
      <c r="AS24" s="40" t="s">
        <v>54</v>
      </c>
      <c r="AT24" s="63">
        <v>4500903709</v>
      </c>
      <c r="AU24" s="55"/>
      <c r="AV24" s="55"/>
      <c r="AW24" s="55"/>
    </row>
    <row r="25" spans="1:49" x14ac:dyDescent="0.35">
      <c r="A25" s="39">
        <v>46133</v>
      </c>
      <c r="B25" s="40" t="s">
        <v>272</v>
      </c>
      <c r="C25" s="40" t="s">
        <v>251</v>
      </c>
      <c r="D25" s="40">
        <v>14906190</v>
      </c>
      <c r="E25" s="40" t="s">
        <v>295</v>
      </c>
      <c r="F25" s="40">
        <v>1</v>
      </c>
      <c r="G25" s="40" t="s">
        <v>43</v>
      </c>
      <c r="H25" s="40" t="s">
        <v>75</v>
      </c>
      <c r="I25" s="40" t="s">
        <v>45</v>
      </c>
      <c r="J25" s="40" t="s">
        <v>45</v>
      </c>
      <c r="K25" s="40"/>
      <c r="L25" s="40" t="s">
        <v>504</v>
      </c>
      <c r="M25" s="40">
        <v>654.48</v>
      </c>
      <c r="N25" s="40" t="s">
        <v>56</v>
      </c>
      <c r="O25" s="40"/>
      <c r="P25" s="40"/>
      <c r="Q25" s="40"/>
      <c r="R25" s="40"/>
      <c r="S25" s="40"/>
      <c r="T25" s="40" t="s">
        <v>296</v>
      </c>
      <c r="U25" s="40" t="s">
        <v>265</v>
      </c>
      <c r="V25" s="40" t="s">
        <v>135</v>
      </c>
      <c r="W25" s="40" t="s">
        <v>266</v>
      </c>
      <c r="X25" s="40" t="s">
        <v>293</v>
      </c>
      <c r="Y25" s="40">
        <v>0</v>
      </c>
      <c r="Z25" s="40" t="s">
        <v>50</v>
      </c>
      <c r="AA25" s="40" t="s">
        <v>78</v>
      </c>
      <c r="AB25" s="40" t="s">
        <v>51</v>
      </c>
      <c r="AC25" s="40"/>
      <c r="AD25" s="40" t="s">
        <v>52</v>
      </c>
      <c r="AE25" s="40"/>
      <c r="AF25" s="40">
        <v>46133</v>
      </c>
      <c r="AG25" s="40">
        <v>46133</v>
      </c>
      <c r="AH25" s="40">
        <v>46133</v>
      </c>
      <c r="AI25" s="40">
        <v>0</v>
      </c>
      <c r="AJ25" s="40">
        <v>1852.29</v>
      </c>
      <c r="AK25" s="40" t="s">
        <v>46</v>
      </c>
      <c r="AL25" s="40">
        <v>1852.29</v>
      </c>
      <c r="AM25" s="40"/>
      <c r="AN25" s="40"/>
      <c r="AO25" s="40"/>
      <c r="AP25" s="41" t="s">
        <v>298</v>
      </c>
      <c r="AQ25" s="42">
        <v>-4</v>
      </c>
      <c r="AR25" s="40" t="s">
        <v>53</v>
      </c>
      <c r="AS25" s="40" t="s">
        <v>54</v>
      </c>
      <c r="AT25" s="63">
        <v>4500903709</v>
      </c>
      <c r="AU25" s="55"/>
      <c r="AV25" s="55"/>
      <c r="AW25" s="55"/>
    </row>
    <row r="26" spans="1:49" x14ac:dyDescent="0.35">
      <c r="A26" s="66">
        <v>46135</v>
      </c>
      <c r="B26" s="67" t="s">
        <v>334</v>
      </c>
      <c r="C26" s="67" t="s">
        <v>42</v>
      </c>
      <c r="D26" s="67">
        <v>14073808</v>
      </c>
      <c r="E26" s="67" t="s">
        <v>335</v>
      </c>
      <c r="F26" s="67">
        <v>1</v>
      </c>
      <c r="G26" s="67" t="s">
        <v>43</v>
      </c>
      <c r="H26" s="67" t="s">
        <v>92</v>
      </c>
      <c r="I26" s="67" t="s">
        <v>45</v>
      </c>
      <c r="J26" s="67" t="s">
        <v>45</v>
      </c>
      <c r="K26" s="66">
        <v>46126</v>
      </c>
      <c r="L26" s="67" t="s">
        <v>336</v>
      </c>
      <c r="M26" s="67">
        <v>10.72</v>
      </c>
      <c r="N26" s="67" t="s">
        <v>56</v>
      </c>
      <c r="O26" s="67">
        <v>1</v>
      </c>
      <c r="P26" s="67" t="s">
        <v>43</v>
      </c>
      <c r="Q26" s="67">
        <v>1101</v>
      </c>
      <c r="R26" s="67">
        <v>10</v>
      </c>
      <c r="S26" s="67">
        <v>4500900735</v>
      </c>
      <c r="T26" s="67" t="s">
        <v>337</v>
      </c>
      <c r="U26" s="67" t="s">
        <v>338</v>
      </c>
      <c r="V26" s="67" t="s">
        <v>70</v>
      </c>
      <c r="W26" s="67" t="s">
        <v>93</v>
      </c>
      <c r="X26" s="67" t="s">
        <v>59</v>
      </c>
      <c r="Y26" s="67">
        <v>0</v>
      </c>
      <c r="Z26" s="67" t="s">
        <v>50</v>
      </c>
      <c r="AA26" s="67" t="s">
        <v>94</v>
      </c>
      <c r="AB26" s="67" t="s">
        <v>61</v>
      </c>
      <c r="AC26" s="67"/>
      <c r="AD26" s="67" t="s">
        <v>52</v>
      </c>
      <c r="AE26" s="67"/>
      <c r="AF26" s="67">
        <v>46135</v>
      </c>
      <c r="AG26" s="67">
        <v>46135</v>
      </c>
      <c r="AH26" s="67">
        <v>46136</v>
      </c>
      <c r="AI26" s="67">
        <v>29</v>
      </c>
      <c r="AJ26" s="67">
        <v>36.729999999999997</v>
      </c>
      <c r="AK26" s="67" t="s">
        <v>46</v>
      </c>
      <c r="AL26" s="67">
        <v>36.729999999999997</v>
      </c>
      <c r="AM26" s="67" t="s">
        <v>339</v>
      </c>
      <c r="AN26" s="67">
        <v>2022879</v>
      </c>
      <c r="AO26" s="67"/>
      <c r="AP26" s="68" t="s">
        <v>340</v>
      </c>
      <c r="AQ26" s="69">
        <v>-2</v>
      </c>
      <c r="AR26" s="67" t="s">
        <v>53</v>
      </c>
      <c r="AS26" s="67" t="s">
        <v>54</v>
      </c>
      <c r="AT26" s="70"/>
      <c r="AU26" s="71" t="s">
        <v>510</v>
      </c>
      <c r="AV26" s="72">
        <v>46140.687395833331</v>
      </c>
      <c r="AW26" s="71" t="s">
        <v>511</v>
      </c>
    </row>
    <row r="27" spans="1:49" x14ac:dyDescent="0.35">
      <c r="A27" s="66">
        <v>46135</v>
      </c>
      <c r="B27" s="67" t="s">
        <v>341</v>
      </c>
      <c r="C27" s="67" t="s">
        <v>42</v>
      </c>
      <c r="D27" s="67">
        <v>14073812</v>
      </c>
      <c r="E27" s="67" t="s">
        <v>342</v>
      </c>
      <c r="F27" s="67">
        <v>1</v>
      </c>
      <c r="G27" s="67" t="s">
        <v>43</v>
      </c>
      <c r="H27" s="67" t="s">
        <v>71</v>
      </c>
      <c r="I27" s="67" t="s">
        <v>45</v>
      </c>
      <c r="J27" s="67" t="s">
        <v>45</v>
      </c>
      <c r="K27" s="66">
        <v>46059</v>
      </c>
      <c r="L27" s="67" t="s">
        <v>336</v>
      </c>
      <c r="M27" s="67">
        <v>10.72</v>
      </c>
      <c r="N27" s="67" t="s">
        <v>56</v>
      </c>
      <c r="O27" s="67">
        <v>1</v>
      </c>
      <c r="P27" s="67" t="s">
        <v>43</v>
      </c>
      <c r="Q27" s="67">
        <v>1101</v>
      </c>
      <c r="R27" s="67">
        <v>3</v>
      </c>
      <c r="S27" s="67">
        <v>4500889930</v>
      </c>
      <c r="T27" s="67" t="s">
        <v>337</v>
      </c>
      <c r="U27" s="67" t="s">
        <v>260</v>
      </c>
      <c r="V27" s="67" t="s">
        <v>70</v>
      </c>
      <c r="W27" s="67" t="s">
        <v>73</v>
      </c>
      <c r="X27" s="67" t="s">
        <v>59</v>
      </c>
      <c r="Y27" s="67">
        <v>0</v>
      </c>
      <c r="Z27" s="67" t="s">
        <v>50</v>
      </c>
      <c r="AA27" s="67" t="s">
        <v>74</v>
      </c>
      <c r="AB27" s="67" t="s">
        <v>61</v>
      </c>
      <c r="AC27" s="67"/>
      <c r="AD27" s="67" t="s">
        <v>52</v>
      </c>
      <c r="AE27" s="67"/>
      <c r="AF27" s="67">
        <v>46135</v>
      </c>
      <c r="AG27" s="67">
        <v>46135</v>
      </c>
      <c r="AH27" s="67">
        <v>46136</v>
      </c>
      <c r="AI27" s="67">
        <v>29</v>
      </c>
      <c r="AJ27" s="67">
        <v>36.74</v>
      </c>
      <c r="AK27" s="67" t="s">
        <v>46</v>
      </c>
      <c r="AL27" s="67">
        <v>36.74</v>
      </c>
      <c r="AM27" s="67" t="s">
        <v>343</v>
      </c>
      <c r="AN27" s="67">
        <v>2002882</v>
      </c>
      <c r="AO27" s="67"/>
      <c r="AP27" s="68" t="s">
        <v>344</v>
      </c>
      <c r="AQ27" s="69">
        <v>-2</v>
      </c>
      <c r="AR27" s="67" t="s">
        <v>53</v>
      </c>
      <c r="AS27" s="67" t="s">
        <v>54</v>
      </c>
      <c r="AT27" s="70"/>
      <c r="AU27" s="71" t="s">
        <v>510</v>
      </c>
      <c r="AV27" s="72">
        <v>46140.687395833331</v>
      </c>
      <c r="AW27" s="71" t="s">
        <v>511</v>
      </c>
    </row>
    <row r="28" spans="1:49" ht="27" customHeight="1" x14ac:dyDescent="0.35">
      <c r="A28" s="66">
        <v>46137</v>
      </c>
      <c r="B28" s="67" t="s">
        <v>386</v>
      </c>
      <c r="C28" s="67" t="s">
        <v>42</v>
      </c>
      <c r="D28" s="67">
        <v>14080870</v>
      </c>
      <c r="E28" s="67" t="s">
        <v>387</v>
      </c>
      <c r="F28" s="67">
        <v>1</v>
      </c>
      <c r="G28" s="67" t="s">
        <v>43</v>
      </c>
      <c r="H28" s="67" t="s">
        <v>92</v>
      </c>
      <c r="I28" s="67" t="s">
        <v>45</v>
      </c>
      <c r="J28" s="67" t="s">
        <v>45</v>
      </c>
      <c r="K28" s="66">
        <v>46129</v>
      </c>
      <c r="L28" s="67" t="s">
        <v>336</v>
      </c>
      <c r="M28" s="67">
        <v>10.72</v>
      </c>
      <c r="N28" s="67" t="s">
        <v>56</v>
      </c>
      <c r="O28" s="67">
        <v>1</v>
      </c>
      <c r="P28" s="67" t="s">
        <v>43</v>
      </c>
      <c r="Q28" s="67">
        <v>1208</v>
      </c>
      <c r="R28" s="67">
        <v>1</v>
      </c>
      <c r="S28" s="67">
        <v>4500901463</v>
      </c>
      <c r="T28" s="67" t="s">
        <v>337</v>
      </c>
      <c r="U28" s="67" t="s">
        <v>388</v>
      </c>
      <c r="V28" s="67" t="s">
        <v>70</v>
      </c>
      <c r="W28" s="67" t="s">
        <v>93</v>
      </c>
      <c r="X28" s="67" t="s">
        <v>59</v>
      </c>
      <c r="Y28" s="67">
        <v>0</v>
      </c>
      <c r="Z28" s="67" t="s">
        <v>50</v>
      </c>
      <c r="AA28" s="67" t="s">
        <v>94</v>
      </c>
      <c r="AB28" s="67" t="s">
        <v>61</v>
      </c>
      <c r="AC28" s="67"/>
      <c r="AD28" s="67" t="s">
        <v>52</v>
      </c>
      <c r="AE28" s="67"/>
      <c r="AF28" s="67">
        <v>46137</v>
      </c>
      <c r="AG28" s="67">
        <v>46137</v>
      </c>
      <c r="AH28" s="67">
        <v>46138</v>
      </c>
      <c r="AI28" s="67">
        <v>29</v>
      </c>
      <c r="AJ28" s="67">
        <v>37.04</v>
      </c>
      <c r="AK28" s="67" t="s">
        <v>46</v>
      </c>
      <c r="AL28" s="67">
        <v>37.04</v>
      </c>
      <c r="AM28" s="67" t="s">
        <v>389</v>
      </c>
      <c r="AN28" s="67">
        <v>2023336</v>
      </c>
      <c r="AO28" s="67"/>
      <c r="AP28" s="68" t="s">
        <v>390</v>
      </c>
      <c r="AQ28" s="69">
        <v>0</v>
      </c>
      <c r="AR28" s="67" t="s">
        <v>62</v>
      </c>
      <c r="AS28" s="67" t="s">
        <v>54</v>
      </c>
      <c r="AT28" s="70"/>
      <c r="AU28" s="71" t="s">
        <v>510</v>
      </c>
      <c r="AV28" s="72">
        <v>46140.687395833331</v>
      </c>
      <c r="AW28" s="71" t="s">
        <v>511</v>
      </c>
    </row>
    <row r="29" spans="1:49" x14ac:dyDescent="0.35">
      <c r="A29" s="39">
        <v>46140</v>
      </c>
      <c r="B29" s="40" t="s">
        <v>454</v>
      </c>
      <c r="C29" s="40" t="s">
        <v>81</v>
      </c>
      <c r="D29" s="40">
        <v>14099695</v>
      </c>
      <c r="E29" s="40" t="s">
        <v>455</v>
      </c>
      <c r="F29" s="40">
        <v>150</v>
      </c>
      <c r="G29" s="40" t="s">
        <v>95</v>
      </c>
      <c r="H29" s="40" t="s">
        <v>55</v>
      </c>
      <c r="I29" s="40" t="s">
        <v>45</v>
      </c>
      <c r="J29" s="40" t="s">
        <v>45</v>
      </c>
      <c r="K29" s="39">
        <v>46126</v>
      </c>
      <c r="L29" s="40" t="s">
        <v>336</v>
      </c>
      <c r="M29" s="40">
        <v>0.26</v>
      </c>
      <c r="N29" s="40" t="s">
        <v>56</v>
      </c>
      <c r="O29" s="40">
        <v>1</v>
      </c>
      <c r="P29" s="40" t="s">
        <v>95</v>
      </c>
      <c r="Q29" s="40">
        <v>1601</v>
      </c>
      <c r="R29" s="40">
        <v>300</v>
      </c>
      <c r="S29" s="40">
        <v>4500900735</v>
      </c>
      <c r="T29" s="40" t="s">
        <v>391</v>
      </c>
      <c r="U29" s="40" t="s">
        <v>58</v>
      </c>
      <c r="V29" s="40" t="s">
        <v>47</v>
      </c>
      <c r="W29" s="40" t="s">
        <v>58</v>
      </c>
      <c r="X29" s="40" t="s">
        <v>59</v>
      </c>
      <c r="Y29" s="40">
        <v>0</v>
      </c>
      <c r="Z29" s="40" t="s">
        <v>50</v>
      </c>
      <c r="AA29" s="40" t="s">
        <v>60</v>
      </c>
      <c r="AB29" s="40" t="s">
        <v>83</v>
      </c>
      <c r="AC29" s="40"/>
      <c r="AD29" s="40" t="s">
        <v>52</v>
      </c>
      <c r="AE29" s="40"/>
      <c r="AF29" s="40">
        <v>46140</v>
      </c>
      <c r="AG29" s="40">
        <v>46140</v>
      </c>
      <c r="AH29" s="40">
        <v>46169</v>
      </c>
      <c r="AI29" s="40">
        <v>29</v>
      </c>
      <c r="AJ29" s="40">
        <v>0.89</v>
      </c>
      <c r="AK29" s="40" t="s">
        <v>46</v>
      </c>
      <c r="AL29" s="40">
        <v>133.5</v>
      </c>
      <c r="AM29" s="40"/>
      <c r="AN29" s="40"/>
      <c r="AO29" s="40"/>
      <c r="AP29" s="41" t="s">
        <v>456</v>
      </c>
      <c r="AQ29" s="42">
        <v>3</v>
      </c>
      <c r="AR29" s="40" t="s">
        <v>62</v>
      </c>
      <c r="AS29" s="40" t="s">
        <v>54</v>
      </c>
      <c r="AT29" s="28">
        <v>4500903749</v>
      </c>
    </row>
    <row r="30" spans="1:49" x14ac:dyDescent="0.35">
      <c r="A30" s="39">
        <v>46136</v>
      </c>
      <c r="B30" s="40" t="s">
        <v>392</v>
      </c>
      <c r="C30" s="40" t="s">
        <v>42</v>
      </c>
      <c r="D30" s="40">
        <v>14100347</v>
      </c>
      <c r="E30" s="40" t="s">
        <v>393</v>
      </c>
      <c r="F30" s="40">
        <v>1</v>
      </c>
      <c r="G30" s="40" t="s">
        <v>43</v>
      </c>
      <c r="H30" s="40" t="s">
        <v>44</v>
      </c>
      <c r="I30" s="40" t="s">
        <v>45</v>
      </c>
      <c r="J30" s="40" t="s">
        <v>45</v>
      </c>
      <c r="K30" s="39">
        <v>46134</v>
      </c>
      <c r="L30" s="40" t="s">
        <v>336</v>
      </c>
      <c r="M30" s="40">
        <v>5.51</v>
      </c>
      <c r="N30" s="40" t="s">
        <v>56</v>
      </c>
      <c r="O30" s="40">
        <v>1</v>
      </c>
      <c r="P30" s="40" t="s">
        <v>43</v>
      </c>
      <c r="Q30" s="40">
        <v>1207</v>
      </c>
      <c r="R30" s="40">
        <v>1</v>
      </c>
      <c r="S30" s="40">
        <v>4500902749</v>
      </c>
      <c r="T30" s="40" t="s">
        <v>394</v>
      </c>
      <c r="U30" s="40" t="s">
        <v>226</v>
      </c>
      <c r="V30" s="40" t="s">
        <v>70</v>
      </c>
      <c r="W30" s="40" t="s">
        <v>84</v>
      </c>
      <c r="X30" s="40" t="s">
        <v>49</v>
      </c>
      <c r="Y30" s="40">
        <v>0</v>
      </c>
      <c r="Z30" s="40" t="s">
        <v>131</v>
      </c>
      <c r="AA30" s="40" t="s">
        <v>87</v>
      </c>
      <c r="AB30" s="40" t="s">
        <v>61</v>
      </c>
      <c r="AC30" s="40" t="s">
        <v>457</v>
      </c>
      <c r="AD30" s="40" t="s">
        <v>63</v>
      </c>
      <c r="AE30" s="40">
        <v>46139</v>
      </c>
      <c r="AF30" s="40">
        <v>46136</v>
      </c>
      <c r="AG30" s="40">
        <v>46136</v>
      </c>
      <c r="AH30" s="40">
        <v>46137</v>
      </c>
      <c r="AI30" s="40">
        <v>29</v>
      </c>
      <c r="AJ30" s="40">
        <v>19.059999999999999</v>
      </c>
      <c r="AK30" s="40" t="s">
        <v>46</v>
      </c>
      <c r="AL30" s="40">
        <v>19.059999999999999</v>
      </c>
      <c r="AM30" s="40" t="s">
        <v>395</v>
      </c>
      <c r="AN30" s="40">
        <v>2023120</v>
      </c>
      <c r="AO30" s="40"/>
      <c r="AP30" s="41" t="s">
        <v>396</v>
      </c>
      <c r="AQ30" s="42">
        <v>-1</v>
      </c>
      <c r="AR30" s="40" t="s">
        <v>53</v>
      </c>
      <c r="AS30" s="40" t="s">
        <v>54</v>
      </c>
      <c r="AT30" s="28">
        <v>4500903749</v>
      </c>
    </row>
    <row r="31" spans="1:49" ht="30" customHeight="1" x14ac:dyDescent="0.35">
      <c r="A31" s="11">
        <v>46137</v>
      </c>
      <c r="B31" s="1" t="s">
        <v>398</v>
      </c>
      <c r="C31" s="1" t="s">
        <v>42</v>
      </c>
      <c r="D31" s="73">
        <v>14077982</v>
      </c>
      <c r="E31" s="1" t="s">
        <v>399</v>
      </c>
      <c r="F31" s="1">
        <v>8</v>
      </c>
      <c r="G31" s="1" t="s">
        <v>43</v>
      </c>
      <c r="H31" s="1" t="s">
        <v>71</v>
      </c>
      <c r="I31" s="1" t="s">
        <v>45</v>
      </c>
      <c r="J31" s="1" t="s">
        <v>45</v>
      </c>
      <c r="K31" s="1"/>
      <c r="L31" s="1"/>
      <c r="M31" s="1"/>
      <c r="N31" s="1"/>
      <c r="O31" s="1"/>
      <c r="P31" s="1"/>
      <c r="Q31" s="1"/>
      <c r="R31" s="1"/>
      <c r="S31" s="1"/>
      <c r="T31" s="1" t="s">
        <v>400</v>
      </c>
      <c r="U31" s="1" t="s">
        <v>367</v>
      </c>
      <c r="V31" s="1" t="s">
        <v>70</v>
      </c>
      <c r="W31" s="1" t="s">
        <v>73</v>
      </c>
      <c r="X31" s="1" t="s">
        <v>59</v>
      </c>
      <c r="Y31" s="1">
        <v>0</v>
      </c>
      <c r="Z31" s="1" t="s">
        <v>50</v>
      </c>
      <c r="AA31" s="1" t="s">
        <v>74</v>
      </c>
      <c r="AB31" s="1" t="s">
        <v>61</v>
      </c>
      <c r="AC31" s="1"/>
      <c r="AD31" s="1" t="s">
        <v>52</v>
      </c>
      <c r="AE31" s="1"/>
      <c r="AF31" s="1">
        <v>46137</v>
      </c>
      <c r="AG31" s="1">
        <v>46137</v>
      </c>
      <c r="AH31" s="1">
        <v>46138</v>
      </c>
      <c r="AI31" s="1">
        <v>0</v>
      </c>
      <c r="AJ31" s="1">
        <v>26.29</v>
      </c>
      <c r="AK31" s="1" t="s">
        <v>46</v>
      </c>
      <c r="AL31" s="1">
        <v>210.32</v>
      </c>
      <c r="AM31" s="1" t="s">
        <v>401</v>
      </c>
      <c r="AN31" s="1">
        <v>2023337</v>
      </c>
      <c r="AO31" s="1"/>
      <c r="AP31" s="12" t="s">
        <v>402</v>
      </c>
      <c r="AQ31" s="13">
        <v>0</v>
      </c>
      <c r="AR31" s="1" t="s">
        <v>62</v>
      </c>
      <c r="AS31" s="1" t="s">
        <v>54</v>
      </c>
      <c r="AV31" s="65"/>
    </row>
    <row r="32" spans="1:49" x14ac:dyDescent="0.35">
      <c r="A32" s="11">
        <v>46137</v>
      </c>
      <c r="B32" s="1" t="s">
        <v>398</v>
      </c>
      <c r="C32" s="1" t="s">
        <v>63</v>
      </c>
      <c r="D32" s="73">
        <v>14088444</v>
      </c>
      <c r="E32" s="1" t="s">
        <v>403</v>
      </c>
      <c r="F32" s="1">
        <v>1</v>
      </c>
      <c r="G32" s="1" t="s">
        <v>43</v>
      </c>
      <c r="H32" s="1" t="s">
        <v>71</v>
      </c>
      <c r="I32" s="1" t="s">
        <v>45</v>
      </c>
      <c r="J32" s="1" t="s">
        <v>45</v>
      </c>
      <c r="K32" s="1"/>
      <c r="L32" s="1"/>
      <c r="M32" s="1"/>
      <c r="N32" s="1"/>
      <c r="O32" s="1"/>
      <c r="P32" s="1"/>
      <c r="Q32" s="1"/>
      <c r="R32" s="1"/>
      <c r="S32" s="1"/>
      <c r="T32" s="1" t="s">
        <v>400</v>
      </c>
      <c r="U32" s="1" t="s">
        <v>367</v>
      </c>
      <c r="V32" s="1" t="s">
        <v>70</v>
      </c>
      <c r="W32" s="1" t="s">
        <v>73</v>
      </c>
      <c r="X32" s="1" t="s">
        <v>59</v>
      </c>
      <c r="Y32" s="1">
        <v>0</v>
      </c>
      <c r="Z32" s="1" t="s">
        <v>50</v>
      </c>
      <c r="AA32" s="1" t="s">
        <v>74</v>
      </c>
      <c r="AB32" s="1" t="s">
        <v>61</v>
      </c>
      <c r="AC32" s="1"/>
      <c r="AD32" s="1" t="s">
        <v>52</v>
      </c>
      <c r="AE32" s="1"/>
      <c r="AF32" s="1">
        <v>46137</v>
      </c>
      <c r="AG32" s="1">
        <v>46137</v>
      </c>
      <c r="AH32" s="1">
        <v>46138</v>
      </c>
      <c r="AI32" s="1">
        <v>0</v>
      </c>
      <c r="AJ32" s="1">
        <v>17.71</v>
      </c>
      <c r="AK32" s="1" t="s">
        <v>46</v>
      </c>
      <c r="AL32" s="1">
        <v>17.71</v>
      </c>
      <c r="AM32" s="1" t="s">
        <v>404</v>
      </c>
      <c r="AN32" s="1">
        <v>2023337</v>
      </c>
      <c r="AO32" s="1"/>
      <c r="AP32" s="12" t="s">
        <v>405</v>
      </c>
      <c r="AQ32" s="13">
        <v>0</v>
      </c>
      <c r="AR32" s="1" t="s">
        <v>62</v>
      </c>
      <c r="AS32" s="1" t="s">
        <v>54</v>
      </c>
      <c r="AV32" s="65"/>
    </row>
    <row r="33" spans="1:49" x14ac:dyDescent="0.35">
      <c r="A33" s="11">
        <v>46137</v>
      </c>
      <c r="B33" s="1" t="s">
        <v>398</v>
      </c>
      <c r="C33" s="1" t="s">
        <v>64</v>
      </c>
      <c r="D33" s="1">
        <v>14080029</v>
      </c>
      <c r="E33" s="1" t="s">
        <v>406</v>
      </c>
      <c r="F33" s="1">
        <v>6</v>
      </c>
      <c r="G33" s="1" t="s">
        <v>43</v>
      </c>
      <c r="H33" s="1" t="s">
        <v>71</v>
      </c>
      <c r="I33" s="1" t="s">
        <v>45</v>
      </c>
      <c r="J33" s="1" t="s">
        <v>45</v>
      </c>
      <c r="K33" s="1"/>
      <c r="L33" s="1"/>
      <c r="M33" s="1"/>
      <c r="N33" s="1"/>
      <c r="O33" s="1"/>
      <c r="P33" s="1"/>
      <c r="Q33" s="1"/>
      <c r="R33" s="1"/>
      <c r="S33" s="1"/>
      <c r="T33" s="1" t="s">
        <v>400</v>
      </c>
      <c r="U33" s="1" t="s">
        <v>367</v>
      </c>
      <c r="V33" s="1" t="s">
        <v>397</v>
      </c>
      <c r="W33" s="1" t="s">
        <v>73</v>
      </c>
      <c r="X33" s="1" t="s">
        <v>59</v>
      </c>
      <c r="Y33" s="1">
        <v>0</v>
      </c>
      <c r="Z33" s="1" t="s">
        <v>50</v>
      </c>
      <c r="AA33" s="1" t="s">
        <v>74</v>
      </c>
      <c r="AB33" s="1" t="s">
        <v>61</v>
      </c>
      <c r="AC33" s="1"/>
      <c r="AD33" s="1" t="s">
        <v>52</v>
      </c>
      <c r="AE33" s="1"/>
      <c r="AF33" s="1">
        <v>46137</v>
      </c>
      <c r="AG33" s="1">
        <v>46137</v>
      </c>
      <c r="AH33" s="1">
        <v>46137</v>
      </c>
      <c r="AI33" s="1">
        <v>0</v>
      </c>
      <c r="AJ33" s="1">
        <v>47.62</v>
      </c>
      <c r="AK33" s="1" t="s">
        <v>46</v>
      </c>
      <c r="AL33" s="1">
        <v>285.72000000000003</v>
      </c>
      <c r="AM33" s="1" t="s">
        <v>407</v>
      </c>
      <c r="AN33" s="1">
        <v>2023337</v>
      </c>
      <c r="AO33" s="1"/>
      <c r="AP33" s="12" t="s">
        <v>408</v>
      </c>
      <c r="AQ33" s="13">
        <v>0</v>
      </c>
      <c r="AR33" s="1" t="s">
        <v>62</v>
      </c>
      <c r="AS33" s="1" t="s">
        <v>54</v>
      </c>
    </row>
    <row r="34" spans="1:49" x14ac:dyDescent="0.35">
      <c r="A34" s="11">
        <v>45964</v>
      </c>
      <c r="B34" s="1" t="s">
        <v>345</v>
      </c>
      <c r="C34" s="1" t="s">
        <v>42</v>
      </c>
      <c r="D34" s="1">
        <v>14071061</v>
      </c>
      <c r="E34" s="1" t="s">
        <v>346</v>
      </c>
      <c r="F34" s="1">
        <v>1</v>
      </c>
      <c r="G34" s="1" t="s">
        <v>43</v>
      </c>
      <c r="H34" s="1" t="s">
        <v>92</v>
      </c>
      <c r="I34" s="1" t="s">
        <v>45</v>
      </c>
      <c r="J34" s="1" t="s">
        <v>45</v>
      </c>
      <c r="K34" s="1"/>
      <c r="L34" s="1"/>
      <c r="M34" s="1"/>
      <c r="N34" s="1"/>
      <c r="O34" s="1"/>
      <c r="P34" s="1"/>
      <c r="Q34" s="1"/>
      <c r="R34" s="1"/>
      <c r="S34" s="1"/>
      <c r="T34" s="1" t="s">
        <v>72</v>
      </c>
      <c r="U34" s="1" t="s">
        <v>347</v>
      </c>
      <c r="V34" s="1" t="s">
        <v>104</v>
      </c>
      <c r="W34" s="1" t="s">
        <v>93</v>
      </c>
      <c r="X34" s="1" t="s">
        <v>59</v>
      </c>
      <c r="Y34" s="1">
        <v>0</v>
      </c>
      <c r="Z34" s="1" t="s">
        <v>131</v>
      </c>
      <c r="AA34" s="1" t="s">
        <v>94</v>
      </c>
      <c r="AB34" s="1" t="s">
        <v>61</v>
      </c>
      <c r="AC34" s="1" t="s">
        <v>348</v>
      </c>
      <c r="AD34" s="1" t="s">
        <v>42</v>
      </c>
      <c r="AE34" s="1">
        <v>45980</v>
      </c>
      <c r="AF34" s="1">
        <v>45964</v>
      </c>
      <c r="AG34" s="1">
        <v>45964</v>
      </c>
      <c r="AH34" s="1">
        <v>45994</v>
      </c>
      <c r="AI34" s="1">
        <v>29</v>
      </c>
      <c r="AJ34" s="1">
        <v>7.63</v>
      </c>
      <c r="AK34" s="1" t="s">
        <v>46</v>
      </c>
      <c r="AL34" s="1">
        <v>7.63</v>
      </c>
      <c r="AM34" s="1" t="s">
        <v>349</v>
      </c>
      <c r="AN34" s="1">
        <v>4201895</v>
      </c>
      <c r="AO34" s="1"/>
      <c r="AP34" s="12" t="s">
        <v>350</v>
      </c>
      <c r="AQ34" s="13">
        <v>-173</v>
      </c>
      <c r="AR34" s="1" t="s">
        <v>53</v>
      </c>
      <c r="AS34" s="1" t="s">
        <v>54</v>
      </c>
    </row>
    <row r="35" spans="1:49" x14ac:dyDescent="0.35">
      <c r="A35" s="11">
        <v>46095</v>
      </c>
      <c r="B35" s="1" t="s">
        <v>110</v>
      </c>
      <c r="C35" s="1" t="s">
        <v>42</v>
      </c>
      <c r="D35" s="1">
        <v>14100174</v>
      </c>
      <c r="E35" s="1" t="s">
        <v>111</v>
      </c>
      <c r="F35" s="1">
        <v>2</v>
      </c>
      <c r="G35" s="1" t="s">
        <v>43</v>
      </c>
      <c r="H35" s="1" t="s">
        <v>55</v>
      </c>
      <c r="I35" s="1" t="s">
        <v>45</v>
      </c>
      <c r="J35" s="1" t="s">
        <v>45</v>
      </c>
      <c r="K35" s="1"/>
      <c r="L35" s="1"/>
      <c r="M35" s="1"/>
      <c r="N35" s="1"/>
      <c r="O35" s="1"/>
      <c r="P35" s="1"/>
      <c r="Q35" s="1"/>
      <c r="R35" s="1"/>
      <c r="S35" s="1"/>
      <c r="T35" s="1" t="s">
        <v>72</v>
      </c>
      <c r="U35" s="1" t="s">
        <v>106</v>
      </c>
      <c r="V35" s="1" t="s">
        <v>57</v>
      </c>
      <c r="W35" s="1" t="s">
        <v>58</v>
      </c>
      <c r="X35" s="1" t="s">
        <v>59</v>
      </c>
      <c r="Y35" s="1">
        <v>0</v>
      </c>
      <c r="Z35" s="1" t="s">
        <v>194</v>
      </c>
      <c r="AA35" s="1" t="s">
        <v>60</v>
      </c>
      <c r="AB35" s="1" t="s">
        <v>61</v>
      </c>
      <c r="AC35" s="1"/>
      <c r="AD35" s="1" t="s">
        <v>52</v>
      </c>
      <c r="AE35" s="1"/>
      <c r="AF35" s="1">
        <v>46095</v>
      </c>
      <c r="AG35" s="1">
        <v>46095</v>
      </c>
      <c r="AH35" s="1">
        <v>46096</v>
      </c>
      <c r="AI35" s="1">
        <v>29</v>
      </c>
      <c r="AJ35" s="1">
        <v>48.5</v>
      </c>
      <c r="AK35" s="1" t="s">
        <v>46</v>
      </c>
      <c r="AL35" s="1">
        <v>97</v>
      </c>
      <c r="AM35" s="1" t="s">
        <v>112</v>
      </c>
      <c r="AN35" s="1">
        <v>6200000129</v>
      </c>
      <c r="AO35" s="1"/>
      <c r="AP35" s="12" t="s">
        <v>117</v>
      </c>
      <c r="AQ35" s="13">
        <v>-42</v>
      </c>
      <c r="AR35" s="1" t="s">
        <v>53</v>
      </c>
      <c r="AS35" s="1" t="s">
        <v>54</v>
      </c>
    </row>
    <row r="36" spans="1:49" x14ac:dyDescent="0.35">
      <c r="A36" s="11">
        <v>46117</v>
      </c>
      <c r="B36" s="1" t="s">
        <v>146</v>
      </c>
      <c r="C36" s="1" t="s">
        <v>81</v>
      </c>
      <c r="D36" s="1">
        <v>14095514</v>
      </c>
      <c r="E36" s="1" t="s">
        <v>147</v>
      </c>
      <c r="F36" s="1">
        <v>1</v>
      </c>
      <c r="G36" s="1" t="s">
        <v>43</v>
      </c>
      <c r="H36" s="1" t="s">
        <v>44</v>
      </c>
      <c r="I36" s="1" t="s">
        <v>45</v>
      </c>
      <c r="J36" s="1" t="s">
        <v>45</v>
      </c>
      <c r="K36" s="11">
        <v>46101</v>
      </c>
      <c r="L36" s="1" t="s">
        <v>148</v>
      </c>
      <c r="M36" s="1">
        <v>327.25</v>
      </c>
      <c r="N36" s="1" t="s">
        <v>56</v>
      </c>
      <c r="O36" s="1">
        <v>1</v>
      </c>
      <c r="P36" s="1" t="s">
        <v>43</v>
      </c>
      <c r="Q36" s="1">
        <v>1208</v>
      </c>
      <c r="R36" s="1">
        <v>2</v>
      </c>
      <c r="S36" s="1">
        <v>4500896757</v>
      </c>
      <c r="T36" s="1" t="s">
        <v>72</v>
      </c>
      <c r="U36" s="1" t="s">
        <v>84</v>
      </c>
      <c r="V36" s="1" t="s">
        <v>70</v>
      </c>
      <c r="W36" s="1" t="s">
        <v>84</v>
      </c>
      <c r="X36" s="1" t="s">
        <v>49</v>
      </c>
      <c r="Y36" s="1">
        <v>0</v>
      </c>
      <c r="Z36" s="1" t="s">
        <v>194</v>
      </c>
      <c r="AA36" s="1" t="s">
        <v>96</v>
      </c>
      <c r="AB36" s="1" t="s">
        <v>83</v>
      </c>
      <c r="AC36" s="1"/>
      <c r="AD36" s="1" t="s">
        <v>52</v>
      </c>
      <c r="AE36" s="1"/>
      <c r="AF36" s="1">
        <v>46125</v>
      </c>
      <c r="AG36" s="1">
        <v>46117</v>
      </c>
      <c r="AH36" s="1">
        <v>46154</v>
      </c>
      <c r="AI36" s="1">
        <v>29</v>
      </c>
      <c r="AJ36" s="1">
        <v>2069.12</v>
      </c>
      <c r="AK36" s="1" t="s">
        <v>46</v>
      </c>
      <c r="AL36" s="1">
        <v>2069.12</v>
      </c>
      <c r="AM36" s="1"/>
      <c r="AN36" s="1"/>
      <c r="AO36" s="1"/>
      <c r="AP36" s="12" t="s">
        <v>149</v>
      </c>
      <c r="AQ36" s="13">
        <v>-20</v>
      </c>
      <c r="AR36" s="1" t="s">
        <v>53</v>
      </c>
      <c r="AS36" s="1" t="s">
        <v>54</v>
      </c>
    </row>
    <row r="37" spans="1:49" x14ac:dyDescent="0.35">
      <c r="A37" s="11">
        <v>46137</v>
      </c>
      <c r="B37" s="1" t="s">
        <v>409</v>
      </c>
      <c r="C37" s="1" t="s">
        <v>42</v>
      </c>
      <c r="D37" s="1">
        <v>14071061</v>
      </c>
      <c r="E37" s="1" t="s">
        <v>346</v>
      </c>
      <c r="F37" s="1">
        <v>1</v>
      </c>
      <c r="G37" s="1" t="s">
        <v>43</v>
      </c>
      <c r="H37" s="1" t="s">
        <v>71</v>
      </c>
      <c r="I37" s="1" t="s">
        <v>45</v>
      </c>
      <c r="J37" s="1" t="s">
        <v>45</v>
      </c>
      <c r="K37" s="1"/>
      <c r="L37" s="1"/>
      <c r="M37" s="1"/>
      <c r="N37" s="1"/>
      <c r="O37" s="1"/>
      <c r="P37" s="1"/>
      <c r="Q37" s="1"/>
      <c r="R37" s="1"/>
      <c r="S37" s="1"/>
      <c r="T37" s="1" t="s">
        <v>72</v>
      </c>
      <c r="U37" s="1" t="s">
        <v>69</v>
      </c>
      <c r="V37" s="1" t="s">
        <v>70</v>
      </c>
      <c r="W37" s="1" t="s">
        <v>73</v>
      </c>
      <c r="X37" s="1" t="s">
        <v>59</v>
      </c>
      <c r="Y37" s="1">
        <v>0</v>
      </c>
      <c r="Z37" s="1" t="s">
        <v>50</v>
      </c>
      <c r="AA37" s="1" t="s">
        <v>74</v>
      </c>
      <c r="AB37" s="1" t="s">
        <v>61</v>
      </c>
      <c r="AC37" s="1"/>
      <c r="AD37" s="1" t="s">
        <v>52</v>
      </c>
      <c r="AE37" s="1"/>
      <c r="AF37" s="1">
        <v>46137</v>
      </c>
      <c r="AG37" s="1">
        <v>46137</v>
      </c>
      <c r="AH37" s="1">
        <v>46138</v>
      </c>
      <c r="AI37" s="1">
        <v>0</v>
      </c>
      <c r="AJ37" s="1">
        <v>84.11</v>
      </c>
      <c r="AK37" s="1" t="s">
        <v>46</v>
      </c>
      <c r="AL37" s="1">
        <v>84.11</v>
      </c>
      <c r="AM37" s="1" t="s">
        <v>410</v>
      </c>
      <c r="AN37" s="1">
        <v>4215944</v>
      </c>
      <c r="AO37" s="1"/>
      <c r="AP37" s="12" t="s">
        <v>411</v>
      </c>
      <c r="AQ37" s="13">
        <v>0</v>
      </c>
      <c r="AR37" s="1" t="s">
        <v>62</v>
      </c>
      <c r="AS37" s="1" t="s">
        <v>54</v>
      </c>
    </row>
    <row r="38" spans="1:49" x14ac:dyDescent="0.35">
      <c r="A38" s="39">
        <v>46140</v>
      </c>
      <c r="B38" s="40" t="s">
        <v>458</v>
      </c>
      <c r="C38" s="40" t="s">
        <v>63</v>
      </c>
      <c r="D38" s="40">
        <v>14074144</v>
      </c>
      <c r="E38" s="40" t="s">
        <v>459</v>
      </c>
      <c r="F38" s="40">
        <v>1</v>
      </c>
      <c r="G38" s="40" t="s">
        <v>43</v>
      </c>
      <c r="H38" s="40" t="s">
        <v>71</v>
      </c>
      <c r="I38" s="40">
        <v>12.233898305084747</v>
      </c>
      <c r="J38" s="40">
        <v>152326</v>
      </c>
      <c r="K38" s="39">
        <v>46133</v>
      </c>
      <c r="L38" s="40" t="s">
        <v>330</v>
      </c>
      <c r="M38" s="40">
        <v>12.87</v>
      </c>
      <c r="N38" s="40" t="s">
        <v>46</v>
      </c>
      <c r="O38" s="40">
        <v>1</v>
      </c>
      <c r="P38" s="40" t="s">
        <v>43</v>
      </c>
      <c r="Q38" s="40">
        <v>1102</v>
      </c>
      <c r="R38" s="40">
        <v>1</v>
      </c>
      <c r="S38" s="40">
        <v>4500902388</v>
      </c>
      <c r="T38" s="40" t="s">
        <v>460</v>
      </c>
      <c r="U38" s="40" t="s">
        <v>461</v>
      </c>
      <c r="V38" s="40" t="s">
        <v>70</v>
      </c>
      <c r="W38" s="40" t="s">
        <v>73</v>
      </c>
      <c r="X38" s="40" t="s">
        <v>59</v>
      </c>
      <c r="Y38" s="40">
        <v>0</v>
      </c>
      <c r="Z38" s="40" t="s">
        <v>50</v>
      </c>
      <c r="AA38" s="40" t="s">
        <v>74</v>
      </c>
      <c r="AB38" s="40" t="s">
        <v>61</v>
      </c>
      <c r="AC38" s="40"/>
      <c r="AD38" s="40" t="s">
        <v>52</v>
      </c>
      <c r="AE38" s="40"/>
      <c r="AF38" s="40">
        <v>46140</v>
      </c>
      <c r="AG38" s="40">
        <v>46140</v>
      </c>
      <c r="AH38" s="40">
        <v>46141</v>
      </c>
      <c r="AI38" s="40">
        <v>0</v>
      </c>
      <c r="AJ38" s="40">
        <v>12.34</v>
      </c>
      <c r="AK38" s="40" t="s">
        <v>46</v>
      </c>
      <c r="AL38" s="40">
        <v>12.34</v>
      </c>
      <c r="AM38" s="40" t="s">
        <v>462</v>
      </c>
      <c r="AN38" s="40">
        <v>2023783</v>
      </c>
      <c r="AO38" s="40"/>
      <c r="AP38" s="41" t="s">
        <v>463</v>
      </c>
      <c r="AQ38" s="42">
        <v>3</v>
      </c>
      <c r="AR38" s="40" t="s">
        <v>62</v>
      </c>
      <c r="AS38" s="40" t="s">
        <v>54</v>
      </c>
      <c r="AT38" s="63">
        <v>4500903758</v>
      </c>
      <c r="AU38" s="55" t="s">
        <v>512</v>
      </c>
      <c r="AV38" s="74">
        <v>46140.702789351853</v>
      </c>
      <c r="AW38" s="55"/>
    </row>
    <row r="39" spans="1:49" x14ac:dyDescent="0.35">
      <c r="A39" s="11">
        <v>46126</v>
      </c>
      <c r="B39" s="1" t="s">
        <v>227</v>
      </c>
      <c r="C39" s="1" t="s">
        <v>42</v>
      </c>
      <c r="D39" s="1">
        <v>14904893</v>
      </c>
      <c r="E39" s="1" t="s">
        <v>228</v>
      </c>
      <c r="F39" s="1">
        <v>1</v>
      </c>
      <c r="G39" s="1" t="s">
        <v>43</v>
      </c>
      <c r="H39" s="1" t="s">
        <v>44</v>
      </c>
      <c r="I39" s="1" t="s">
        <v>45</v>
      </c>
      <c r="J39" s="1" t="s">
        <v>45</v>
      </c>
      <c r="K39" s="1"/>
      <c r="L39" s="1"/>
      <c r="M39" s="1"/>
      <c r="N39" s="1"/>
      <c r="O39" s="1"/>
      <c r="P39" s="1"/>
      <c r="Q39" s="1"/>
      <c r="R39" s="1"/>
      <c r="S39" s="1"/>
      <c r="T39" s="1" t="s">
        <v>229</v>
      </c>
      <c r="U39" s="1" t="s">
        <v>128</v>
      </c>
      <c r="V39" s="1" t="s">
        <v>70</v>
      </c>
      <c r="W39" s="1" t="s">
        <v>84</v>
      </c>
      <c r="X39" s="1" t="s">
        <v>49</v>
      </c>
      <c r="Y39" s="1">
        <v>0</v>
      </c>
      <c r="Z39" s="1" t="s">
        <v>50</v>
      </c>
      <c r="AA39" s="1" t="s">
        <v>87</v>
      </c>
      <c r="AB39" s="1" t="s">
        <v>61</v>
      </c>
      <c r="AC39" s="1"/>
      <c r="AD39" s="1" t="s">
        <v>52</v>
      </c>
      <c r="AE39" s="1"/>
      <c r="AF39" s="1">
        <v>46126</v>
      </c>
      <c r="AG39" s="1">
        <v>46126</v>
      </c>
      <c r="AH39" s="1">
        <v>46127</v>
      </c>
      <c r="AI39" s="1">
        <v>0</v>
      </c>
      <c r="AJ39" s="1">
        <v>126.87</v>
      </c>
      <c r="AK39" s="1" t="s">
        <v>46</v>
      </c>
      <c r="AL39" s="1">
        <v>126.87</v>
      </c>
      <c r="AM39" s="1" t="s">
        <v>230</v>
      </c>
      <c r="AN39" s="1">
        <v>4214406</v>
      </c>
      <c r="AO39" s="1"/>
      <c r="AP39" s="12" t="s">
        <v>231</v>
      </c>
      <c r="AQ39" s="13">
        <v>-11</v>
      </c>
      <c r="AR39" s="1" t="s">
        <v>53</v>
      </c>
      <c r="AS39" s="1" t="s">
        <v>54</v>
      </c>
    </row>
    <row r="40" spans="1:49" x14ac:dyDescent="0.35">
      <c r="A40" s="11">
        <v>46136</v>
      </c>
      <c r="B40" s="1" t="s">
        <v>412</v>
      </c>
      <c r="C40" s="1" t="s">
        <v>42</v>
      </c>
      <c r="D40" s="1">
        <v>14084895</v>
      </c>
      <c r="E40" s="1" t="s">
        <v>413</v>
      </c>
      <c r="F40" s="1">
        <v>1</v>
      </c>
      <c r="G40" s="1" t="s">
        <v>43</v>
      </c>
      <c r="H40" s="1" t="s">
        <v>44</v>
      </c>
      <c r="I40" s="1" t="s">
        <v>45</v>
      </c>
      <c r="J40" s="1" t="s">
        <v>45</v>
      </c>
      <c r="K40" s="1"/>
      <c r="L40" s="1"/>
      <c r="M40" s="1"/>
      <c r="N40" s="1"/>
      <c r="O40" s="1"/>
      <c r="P40" s="1"/>
      <c r="Q40" s="1"/>
      <c r="R40" s="1"/>
      <c r="S40" s="1"/>
      <c r="T40" s="1" t="s">
        <v>229</v>
      </c>
      <c r="U40" s="1" t="s">
        <v>128</v>
      </c>
      <c r="V40" s="1" t="s">
        <v>70</v>
      </c>
      <c r="W40" s="1" t="s">
        <v>84</v>
      </c>
      <c r="X40" s="1" t="s">
        <v>49</v>
      </c>
      <c r="Y40" s="1">
        <v>0</v>
      </c>
      <c r="Z40" s="1" t="s">
        <v>50</v>
      </c>
      <c r="AA40" s="1" t="s">
        <v>87</v>
      </c>
      <c r="AB40" s="1" t="s">
        <v>61</v>
      </c>
      <c r="AC40" s="1"/>
      <c r="AD40" s="1" t="s">
        <v>52</v>
      </c>
      <c r="AE40" s="1"/>
      <c r="AF40" s="1">
        <v>46136</v>
      </c>
      <c r="AG40" s="1">
        <v>46136</v>
      </c>
      <c r="AH40" s="1">
        <v>46137</v>
      </c>
      <c r="AI40" s="1">
        <v>0</v>
      </c>
      <c r="AJ40" s="1">
        <v>35.71</v>
      </c>
      <c r="AK40" s="1" t="s">
        <v>46</v>
      </c>
      <c r="AL40" s="1">
        <v>35.71</v>
      </c>
      <c r="AM40" s="1" t="s">
        <v>414</v>
      </c>
      <c r="AN40" s="1">
        <v>4214428</v>
      </c>
      <c r="AO40" s="1"/>
      <c r="AP40" s="12" t="s">
        <v>415</v>
      </c>
      <c r="AQ40" s="13">
        <v>-1</v>
      </c>
      <c r="AR40" s="1" t="s">
        <v>53</v>
      </c>
      <c r="AS40" s="1" t="s">
        <v>54</v>
      </c>
    </row>
    <row r="41" spans="1:49" x14ac:dyDescent="0.35">
      <c r="A41" s="11">
        <v>46113</v>
      </c>
      <c r="B41" s="1" t="s">
        <v>150</v>
      </c>
      <c r="C41" s="1" t="s">
        <v>42</v>
      </c>
      <c r="D41" s="1">
        <v>14086740</v>
      </c>
      <c r="E41" s="1" t="s">
        <v>151</v>
      </c>
      <c r="F41" s="1">
        <v>10</v>
      </c>
      <c r="G41" s="1" t="s">
        <v>43</v>
      </c>
      <c r="H41" s="1" t="s">
        <v>92</v>
      </c>
      <c r="I41" s="1" t="s">
        <v>45</v>
      </c>
      <c r="J41" s="1" t="s">
        <v>45</v>
      </c>
      <c r="K41" s="1"/>
      <c r="L41" s="1"/>
      <c r="M41" s="1"/>
      <c r="N41" s="1"/>
      <c r="O41" s="1"/>
      <c r="P41" s="1"/>
      <c r="Q41" s="1"/>
      <c r="R41" s="1"/>
      <c r="S41" s="1"/>
      <c r="T41" s="1" t="s">
        <v>152</v>
      </c>
      <c r="U41" s="1" t="s">
        <v>134</v>
      </c>
      <c r="V41" s="1" t="s">
        <v>104</v>
      </c>
      <c r="W41" s="1" t="s">
        <v>93</v>
      </c>
      <c r="X41" s="1" t="s">
        <v>59</v>
      </c>
      <c r="Y41" s="1">
        <v>0</v>
      </c>
      <c r="Z41" s="1" t="s">
        <v>50</v>
      </c>
      <c r="AA41" s="1" t="s">
        <v>94</v>
      </c>
      <c r="AB41" s="1" t="s">
        <v>61</v>
      </c>
      <c r="AC41" s="1"/>
      <c r="AD41" s="1" t="s">
        <v>52</v>
      </c>
      <c r="AE41" s="1"/>
      <c r="AF41" s="1">
        <v>46113</v>
      </c>
      <c r="AG41" s="1">
        <v>46113</v>
      </c>
      <c r="AH41" s="1">
        <v>46114</v>
      </c>
      <c r="AI41" s="1">
        <v>0</v>
      </c>
      <c r="AJ41" s="1">
        <v>6.75</v>
      </c>
      <c r="AK41" s="1" t="s">
        <v>46</v>
      </c>
      <c r="AL41" s="1">
        <v>67.5</v>
      </c>
      <c r="AM41" s="1" t="s">
        <v>153</v>
      </c>
      <c r="AN41" s="1">
        <v>4214539</v>
      </c>
      <c r="AO41" s="1"/>
      <c r="AP41" s="12" t="s">
        <v>154</v>
      </c>
      <c r="AQ41" s="13">
        <v>-24</v>
      </c>
      <c r="AR41" s="1" t="s">
        <v>53</v>
      </c>
      <c r="AS41" s="1" t="s">
        <v>54</v>
      </c>
    </row>
    <row r="42" spans="1:49" x14ac:dyDescent="0.35">
      <c r="A42" s="11">
        <v>46123</v>
      </c>
      <c r="B42" s="1" t="s">
        <v>185</v>
      </c>
      <c r="C42" s="1" t="s">
        <v>42</v>
      </c>
      <c r="D42" s="1">
        <v>14077305</v>
      </c>
      <c r="E42" s="1" t="s">
        <v>186</v>
      </c>
      <c r="F42" s="1">
        <v>1</v>
      </c>
      <c r="G42" s="1" t="s">
        <v>43</v>
      </c>
      <c r="H42" s="1" t="s">
        <v>44</v>
      </c>
      <c r="I42" s="1" t="s">
        <v>45</v>
      </c>
      <c r="J42" s="1" t="s">
        <v>45</v>
      </c>
      <c r="K42" s="11">
        <v>46118</v>
      </c>
      <c r="L42" s="1" t="s">
        <v>82</v>
      </c>
      <c r="M42" s="1">
        <v>0.41</v>
      </c>
      <c r="N42" s="1" t="s">
        <v>56</v>
      </c>
      <c r="O42" s="1">
        <v>1</v>
      </c>
      <c r="P42" s="1" t="s">
        <v>43</v>
      </c>
      <c r="Q42" s="1">
        <v>1207</v>
      </c>
      <c r="R42" s="1">
        <v>2</v>
      </c>
      <c r="S42" s="1">
        <v>4500898939</v>
      </c>
      <c r="T42" s="1" t="s">
        <v>152</v>
      </c>
      <c r="U42" s="1" t="s">
        <v>134</v>
      </c>
      <c r="V42" s="1" t="s">
        <v>70</v>
      </c>
      <c r="W42" s="1" t="s">
        <v>84</v>
      </c>
      <c r="X42" s="1" t="s">
        <v>49</v>
      </c>
      <c r="Y42" s="1">
        <v>0</v>
      </c>
      <c r="Z42" s="1" t="s">
        <v>50</v>
      </c>
      <c r="AA42" s="1" t="s">
        <v>87</v>
      </c>
      <c r="AB42" s="1" t="s">
        <v>61</v>
      </c>
      <c r="AC42" s="1"/>
      <c r="AD42" s="1" t="s">
        <v>52</v>
      </c>
      <c r="AE42" s="1"/>
      <c r="AF42" s="1">
        <v>46123</v>
      </c>
      <c r="AG42" s="1">
        <v>46134</v>
      </c>
      <c r="AH42" s="1">
        <v>46124</v>
      </c>
      <c r="AI42" s="1">
        <v>0</v>
      </c>
      <c r="AJ42" s="1">
        <v>1.86</v>
      </c>
      <c r="AK42" s="1" t="s">
        <v>46</v>
      </c>
      <c r="AL42" s="1">
        <v>1.86</v>
      </c>
      <c r="AM42" s="1" t="s">
        <v>187</v>
      </c>
      <c r="AN42" s="1">
        <v>4214666</v>
      </c>
      <c r="AO42" s="1"/>
      <c r="AP42" s="12" t="s">
        <v>188</v>
      </c>
      <c r="AQ42" s="13">
        <v>-14</v>
      </c>
      <c r="AR42" s="1" t="s">
        <v>53</v>
      </c>
      <c r="AS42" s="1" t="s">
        <v>54</v>
      </c>
    </row>
    <row r="43" spans="1:49" x14ac:dyDescent="0.35">
      <c r="A43" s="11">
        <v>46124</v>
      </c>
      <c r="B43" s="1" t="s">
        <v>200</v>
      </c>
      <c r="C43" s="1" t="s">
        <v>42</v>
      </c>
      <c r="D43" s="1">
        <v>14013754</v>
      </c>
      <c r="E43" s="1" t="s">
        <v>201</v>
      </c>
      <c r="F43" s="1">
        <v>24</v>
      </c>
      <c r="G43" s="1" t="s">
        <v>43</v>
      </c>
      <c r="H43" s="1" t="s">
        <v>44</v>
      </c>
      <c r="I43" s="1" t="s">
        <v>45</v>
      </c>
      <c r="J43" s="1" t="s">
        <v>45</v>
      </c>
      <c r="K43" s="1"/>
      <c r="L43" s="1"/>
      <c r="M43" s="1"/>
      <c r="N43" s="1"/>
      <c r="O43" s="1"/>
      <c r="P43" s="1"/>
      <c r="Q43" s="1"/>
      <c r="R43" s="1"/>
      <c r="S43" s="1"/>
      <c r="T43" s="1" t="s">
        <v>152</v>
      </c>
      <c r="U43" s="1" t="s">
        <v>109</v>
      </c>
      <c r="V43" s="1" t="s">
        <v>70</v>
      </c>
      <c r="W43" s="1" t="s">
        <v>84</v>
      </c>
      <c r="X43" s="1" t="s">
        <v>49</v>
      </c>
      <c r="Y43" s="1">
        <v>0</v>
      </c>
      <c r="Z43" s="1" t="s">
        <v>50</v>
      </c>
      <c r="AA43" s="1" t="s">
        <v>87</v>
      </c>
      <c r="AB43" s="1" t="s">
        <v>61</v>
      </c>
      <c r="AC43" s="1"/>
      <c r="AD43" s="1" t="s">
        <v>52</v>
      </c>
      <c r="AE43" s="1"/>
      <c r="AF43" s="1">
        <v>46124</v>
      </c>
      <c r="AG43" s="1">
        <v>46124</v>
      </c>
      <c r="AH43" s="1">
        <v>46154</v>
      </c>
      <c r="AI43" s="1">
        <v>29</v>
      </c>
      <c r="AJ43" s="1">
        <v>3.46</v>
      </c>
      <c r="AK43" s="1" t="s">
        <v>46</v>
      </c>
      <c r="AL43" s="1">
        <v>83.04</v>
      </c>
      <c r="AM43" s="1" t="s">
        <v>202</v>
      </c>
      <c r="AN43" s="1">
        <v>4215124</v>
      </c>
      <c r="AO43" s="1"/>
      <c r="AP43" s="12" t="s">
        <v>203</v>
      </c>
      <c r="AQ43" s="13">
        <v>-13</v>
      </c>
      <c r="AR43" s="1" t="s">
        <v>53</v>
      </c>
      <c r="AS43" s="1" t="s">
        <v>54</v>
      </c>
    </row>
    <row r="44" spans="1:49" x14ac:dyDescent="0.35">
      <c r="A44" s="11">
        <v>46133</v>
      </c>
      <c r="B44" s="1" t="s">
        <v>299</v>
      </c>
      <c r="C44" s="1" t="s">
        <v>42</v>
      </c>
      <c r="D44" s="1">
        <v>14092817</v>
      </c>
      <c r="E44" s="1" t="s">
        <v>300</v>
      </c>
      <c r="F44" s="1">
        <v>15</v>
      </c>
      <c r="G44" s="1" t="s">
        <v>43</v>
      </c>
      <c r="H44" s="1" t="s">
        <v>88</v>
      </c>
      <c r="I44" s="1" t="s">
        <v>45</v>
      </c>
      <c r="J44" s="1" t="s">
        <v>45</v>
      </c>
      <c r="K44" s="1"/>
      <c r="L44" s="1"/>
      <c r="M44" s="1"/>
      <c r="N44" s="1"/>
      <c r="O44" s="1"/>
      <c r="P44" s="1"/>
      <c r="Q44" s="1"/>
      <c r="R44" s="1"/>
      <c r="S44" s="1"/>
      <c r="T44" s="1" t="s">
        <v>152</v>
      </c>
      <c r="U44" s="1" t="s">
        <v>301</v>
      </c>
      <c r="V44" s="1" t="s">
        <v>70</v>
      </c>
      <c r="W44" s="1" t="s">
        <v>89</v>
      </c>
      <c r="X44" s="1" t="s">
        <v>59</v>
      </c>
      <c r="Y44" s="1">
        <v>0</v>
      </c>
      <c r="Z44" s="1" t="s">
        <v>50</v>
      </c>
      <c r="AA44" s="1" t="s">
        <v>90</v>
      </c>
      <c r="AB44" s="1" t="s">
        <v>61</v>
      </c>
      <c r="AC44" s="1"/>
      <c r="AD44" s="1" t="s">
        <v>52</v>
      </c>
      <c r="AE44" s="1"/>
      <c r="AF44" s="1">
        <v>46133</v>
      </c>
      <c r="AG44" s="1">
        <v>46133</v>
      </c>
      <c r="AH44" s="1">
        <v>46134</v>
      </c>
      <c r="AI44" s="1">
        <v>0</v>
      </c>
      <c r="AJ44" s="1">
        <v>23.24</v>
      </c>
      <c r="AK44" s="1" t="s">
        <v>46</v>
      </c>
      <c r="AL44" s="1">
        <v>348.6</v>
      </c>
      <c r="AM44" s="1" t="s">
        <v>302</v>
      </c>
      <c r="AN44" s="1">
        <v>2022437</v>
      </c>
      <c r="AO44" s="1"/>
      <c r="AP44" s="12" t="s">
        <v>303</v>
      </c>
      <c r="AQ44" s="13">
        <v>-4</v>
      </c>
      <c r="AR44" s="1" t="s">
        <v>53</v>
      </c>
      <c r="AS44" s="1" t="s">
        <v>54</v>
      </c>
    </row>
    <row r="45" spans="1:49" x14ac:dyDescent="0.35">
      <c r="A45" s="11">
        <v>46133</v>
      </c>
      <c r="B45" s="1" t="s">
        <v>299</v>
      </c>
      <c r="C45" s="1" t="s">
        <v>63</v>
      </c>
      <c r="D45" s="1">
        <v>14091436</v>
      </c>
      <c r="E45" s="1" t="s">
        <v>304</v>
      </c>
      <c r="F45" s="1">
        <v>15</v>
      </c>
      <c r="G45" s="1" t="s">
        <v>43</v>
      </c>
      <c r="H45" s="1" t="s">
        <v>88</v>
      </c>
      <c r="I45" s="1" t="s">
        <v>45</v>
      </c>
      <c r="J45" s="1" t="s">
        <v>45</v>
      </c>
      <c r="K45" s="1"/>
      <c r="L45" s="1"/>
      <c r="M45" s="1"/>
      <c r="N45" s="1"/>
      <c r="O45" s="1"/>
      <c r="P45" s="1"/>
      <c r="Q45" s="1"/>
      <c r="R45" s="1"/>
      <c r="S45" s="1"/>
      <c r="T45" s="1" t="s">
        <v>152</v>
      </c>
      <c r="U45" s="1" t="s">
        <v>301</v>
      </c>
      <c r="V45" s="1" t="s">
        <v>70</v>
      </c>
      <c r="W45" s="1" t="s">
        <v>89</v>
      </c>
      <c r="X45" s="1" t="s">
        <v>59</v>
      </c>
      <c r="Y45" s="1">
        <v>0</v>
      </c>
      <c r="Z45" s="1" t="s">
        <v>50</v>
      </c>
      <c r="AA45" s="1" t="s">
        <v>90</v>
      </c>
      <c r="AB45" s="1" t="s">
        <v>61</v>
      </c>
      <c r="AC45" s="1"/>
      <c r="AD45" s="1" t="s">
        <v>52</v>
      </c>
      <c r="AE45" s="1"/>
      <c r="AF45" s="1">
        <v>46133</v>
      </c>
      <c r="AG45" s="1">
        <v>46133</v>
      </c>
      <c r="AH45" s="1">
        <v>46134</v>
      </c>
      <c r="AI45" s="1">
        <v>0</v>
      </c>
      <c r="AJ45" s="1">
        <v>18.239999999999998</v>
      </c>
      <c r="AK45" s="1" t="s">
        <v>46</v>
      </c>
      <c r="AL45" s="1">
        <v>273.60000000000002</v>
      </c>
      <c r="AM45" s="1" t="s">
        <v>305</v>
      </c>
      <c r="AN45" s="1">
        <v>2022437</v>
      </c>
      <c r="AO45" s="1"/>
      <c r="AP45" s="12" t="s">
        <v>306</v>
      </c>
      <c r="AQ45" s="13">
        <v>-4</v>
      </c>
      <c r="AR45" s="1" t="s">
        <v>53</v>
      </c>
      <c r="AS45" s="1" t="s">
        <v>54</v>
      </c>
    </row>
    <row r="46" spans="1:49" x14ac:dyDescent="0.35">
      <c r="A46" s="11">
        <v>46134</v>
      </c>
      <c r="B46" s="1" t="s">
        <v>307</v>
      </c>
      <c r="C46" s="1" t="s">
        <v>42</v>
      </c>
      <c r="D46" s="1">
        <v>14093053</v>
      </c>
      <c r="E46" s="1" t="s">
        <v>308</v>
      </c>
      <c r="F46" s="1">
        <v>10</v>
      </c>
      <c r="G46" s="1" t="s">
        <v>43</v>
      </c>
      <c r="H46" s="1" t="s">
        <v>88</v>
      </c>
      <c r="I46" s="1" t="s">
        <v>45</v>
      </c>
      <c r="J46" s="1" t="s">
        <v>45</v>
      </c>
      <c r="K46" s="11">
        <v>45904</v>
      </c>
      <c r="L46" s="1" t="s">
        <v>82</v>
      </c>
      <c r="M46" s="1">
        <v>667.5</v>
      </c>
      <c r="N46" s="1" t="s">
        <v>56</v>
      </c>
      <c r="O46" s="1">
        <v>100</v>
      </c>
      <c r="P46" s="1" t="s">
        <v>43</v>
      </c>
      <c r="Q46" s="1">
        <v>1103</v>
      </c>
      <c r="R46" s="1">
        <v>10</v>
      </c>
      <c r="S46" s="1">
        <v>4500862990</v>
      </c>
      <c r="T46" s="1" t="s">
        <v>152</v>
      </c>
      <c r="U46" s="1" t="s">
        <v>301</v>
      </c>
      <c r="V46" s="1" t="s">
        <v>70</v>
      </c>
      <c r="W46" s="1" t="s">
        <v>89</v>
      </c>
      <c r="X46" s="1" t="s">
        <v>59</v>
      </c>
      <c r="Y46" s="1">
        <v>0</v>
      </c>
      <c r="Z46" s="1" t="s">
        <v>50</v>
      </c>
      <c r="AA46" s="1" t="s">
        <v>90</v>
      </c>
      <c r="AB46" s="1" t="s">
        <v>61</v>
      </c>
      <c r="AC46" s="1"/>
      <c r="AD46" s="1" t="s">
        <v>52</v>
      </c>
      <c r="AE46" s="1"/>
      <c r="AF46" s="1">
        <v>46134</v>
      </c>
      <c r="AG46" s="1">
        <v>46134</v>
      </c>
      <c r="AH46" s="1">
        <v>46135</v>
      </c>
      <c r="AI46" s="1">
        <v>0</v>
      </c>
      <c r="AJ46" s="1">
        <v>25.82</v>
      </c>
      <c r="AK46" s="1" t="s">
        <v>46</v>
      </c>
      <c r="AL46" s="1">
        <v>258.2</v>
      </c>
      <c r="AM46" s="1" t="s">
        <v>309</v>
      </c>
      <c r="AN46" s="1">
        <v>2022617</v>
      </c>
      <c r="AO46" s="1"/>
      <c r="AP46" s="12" t="s">
        <v>310</v>
      </c>
      <c r="AQ46" s="13">
        <v>-3</v>
      </c>
      <c r="AR46" s="1" t="s">
        <v>53</v>
      </c>
      <c r="AS46" s="1" t="s">
        <v>54</v>
      </c>
    </row>
    <row r="47" spans="1:49" x14ac:dyDescent="0.35">
      <c r="A47" s="11">
        <v>46134</v>
      </c>
      <c r="B47" s="1" t="s">
        <v>311</v>
      </c>
      <c r="C47" s="1" t="s">
        <v>42</v>
      </c>
      <c r="D47" s="1">
        <v>14077305</v>
      </c>
      <c r="E47" s="1" t="s">
        <v>312</v>
      </c>
      <c r="F47" s="1">
        <v>20</v>
      </c>
      <c r="G47" s="1" t="s">
        <v>43</v>
      </c>
      <c r="H47" s="1" t="s">
        <v>44</v>
      </c>
      <c r="I47" s="1" t="s">
        <v>45</v>
      </c>
      <c r="J47" s="1" t="s">
        <v>45</v>
      </c>
      <c r="K47" s="11">
        <v>46118</v>
      </c>
      <c r="L47" s="1" t="s">
        <v>82</v>
      </c>
      <c r="M47" s="1">
        <v>0.41</v>
      </c>
      <c r="N47" s="1" t="s">
        <v>56</v>
      </c>
      <c r="O47" s="1">
        <v>1</v>
      </c>
      <c r="P47" s="1" t="s">
        <v>43</v>
      </c>
      <c r="Q47" s="1">
        <v>1207</v>
      </c>
      <c r="R47" s="1">
        <v>2</v>
      </c>
      <c r="S47" s="1">
        <v>4500898939</v>
      </c>
      <c r="T47" s="1" t="s">
        <v>152</v>
      </c>
      <c r="U47" s="1" t="s">
        <v>269</v>
      </c>
      <c r="V47" s="1" t="s">
        <v>70</v>
      </c>
      <c r="W47" s="1" t="s">
        <v>84</v>
      </c>
      <c r="X47" s="1" t="s">
        <v>49</v>
      </c>
      <c r="Y47" s="1">
        <v>0</v>
      </c>
      <c r="Z47" s="1" t="s">
        <v>50</v>
      </c>
      <c r="AA47" s="1" t="s">
        <v>87</v>
      </c>
      <c r="AB47" s="1" t="s">
        <v>61</v>
      </c>
      <c r="AC47" s="1"/>
      <c r="AD47" s="1" t="s">
        <v>52</v>
      </c>
      <c r="AE47" s="1"/>
      <c r="AF47" s="1">
        <v>46134</v>
      </c>
      <c r="AG47" s="1">
        <v>46134</v>
      </c>
      <c r="AH47" s="1">
        <v>46135</v>
      </c>
      <c r="AI47" s="1">
        <v>0</v>
      </c>
      <c r="AJ47" s="1">
        <v>1.86</v>
      </c>
      <c r="AK47" s="1" t="s">
        <v>46</v>
      </c>
      <c r="AL47" s="1">
        <v>37.200000000000003</v>
      </c>
      <c r="AM47" s="1" t="s">
        <v>313</v>
      </c>
      <c r="AN47" s="1">
        <v>4214725</v>
      </c>
      <c r="AO47" s="1"/>
      <c r="AP47" s="12" t="s">
        <v>314</v>
      </c>
      <c r="AQ47" s="13">
        <v>-3</v>
      </c>
      <c r="AR47" s="1" t="s">
        <v>53</v>
      </c>
      <c r="AS47" s="1" t="s">
        <v>54</v>
      </c>
    </row>
    <row r="48" spans="1:49" x14ac:dyDescent="0.35">
      <c r="A48" s="35">
        <v>46106</v>
      </c>
      <c r="B48" s="36" t="s">
        <v>119</v>
      </c>
      <c r="C48" s="36" t="s">
        <v>42</v>
      </c>
      <c r="D48" s="36">
        <v>14070752</v>
      </c>
      <c r="E48" s="36" t="s">
        <v>120</v>
      </c>
      <c r="F48" s="36">
        <v>7</v>
      </c>
      <c r="G48" s="36" t="s">
        <v>43</v>
      </c>
      <c r="H48" s="36" t="s">
        <v>44</v>
      </c>
      <c r="I48" s="36" t="s">
        <v>45</v>
      </c>
      <c r="J48" s="36" t="s">
        <v>45</v>
      </c>
      <c r="K48" s="36"/>
      <c r="L48" s="36"/>
      <c r="M48" s="36"/>
      <c r="N48" s="36"/>
      <c r="O48" s="36"/>
      <c r="P48" s="36"/>
      <c r="Q48" s="36"/>
      <c r="R48" s="36"/>
      <c r="S48" s="36"/>
      <c r="T48" s="36" t="s">
        <v>98</v>
      </c>
      <c r="U48" s="36" t="s">
        <v>109</v>
      </c>
      <c r="V48" s="36" t="s">
        <v>70</v>
      </c>
      <c r="W48" s="36" t="s">
        <v>84</v>
      </c>
      <c r="X48" s="36" t="s">
        <v>49</v>
      </c>
      <c r="Y48" s="36">
        <v>0</v>
      </c>
      <c r="Z48" s="36" t="s">
        <v>50</v>
      </c>
      <c r="AA48" s="36" t="s">
        <v>87</v>
      </c>
      <c r="AB48" s="36" t="s">
        <v>61</v>
      </c>
      <c r="AC48" s="36"/>
      <c r="AD48" s="36" t="s">
        <v>52</v>
      </c>
      <c r="AE48" s="36"/>
      <c r="AF48" s="36">
        <v>46106</v>
      </c>
      <c r="AG48" s="36">
        <v>46106</v>
      </c>
      <c r="AH48" s="36">
        <v>46107</v>
      </c>
      <c r="AI48" s="36">
        <v>0</v>
      </c>
      <c r="AJ48" s="36">
        <v>155.47999999999999</v>
      </c>
      <c r="AK48" s="36" t="s">
        <v>46</v>
      </c>
      <c r="AL48" s="36">
        <v>1088.3599999999999</v>
      </c>
      <c r="AM48" s="36" t="s">
        <v>121</v>
      </c>
      <c r="AN48" s="36">
        <v>4211794</v>
      </c>
      <c r="AO48" s="36" t="s">
        <v>446</v>
      </c>
      <c r="AP48" s="37" t="s">
        <v>122</v>
      </c>
      <c r="AQ48" s="38">
        <v>-31</v>
      </c>
      <c r="AR48" s="36" t="s">
        <v>53</v>
      </c>
      <c r="AS48" s="36" t="s">
        <v>54</v>
      </c>
    </row>
    <row r="49" spans="1:49" x14ac:dyDescent="0.35">
      <c r="A49" s="35">
        <v>46106</v>
      </c>
      <c r="B49" s="36" t="s">
        <v>123</v>
      </c>
      <c r="C49" s="36" t="s">
        <v>42</v>
      </c>
      <c r="D49" s="36">
        <v>14070752</v>
      </c>
      <c r="E49" s="36" t="s">
        <v>120</v>
      </c>
      <c r="F49" s="36">
        <v>6</v>
      </c>
      <c r="G49" s="36" t="s">
        <v>43</v>
      </c>
      <c r="H49" s="36" t="s">
        <v>44</v>
      </c>
      <c r="I49" s="36" t="s">
        <v>45</v>
      </c>
      <c r="J49" s="36" t="s">
        <v>45</v>
      </c>
      <c r="K49" s="36"/>
      <c r="L49" s="36"/>
      <c r="M49" s="36"/>
      <c r="N49" s="36"/>
      <c r="O49" s="36"/>
      <c r="P49" s="36"/>
      <c r="Q49" s="36"/>
      <c r="R49" s="36"/>
      <c r="S49" s="36"/>
      <c r="T49" s="36" t="s">
        <v>98</v>
      </c>
      <c r="U49" s="36" t="s">
        <v>109</v>
      </c>
      <c r="V49" s="36" t="s">
        <v>70</v>
      </c>
      <c r="W49" s="36" t="s">
        <v>84</v>
      </c>
      <c r="X49" s="36" t="s">
        <v>49</v>
      </c>
      <c r="Y49" s="36">
        <v>0</v>
      </c>
      <c r="Z49" s="36" t="s">
        <v>50</v>
      </c>
      <c r="AA49" s="36" t="s">
        <v>87</v>
      </c>
      <c r="AB49" s="36" t="s">
        <v>61</v>
      </c>
      <c r="AC49" s="36"/>
      <c r="AD49" s="36" t="s">
        <v>52</v>
      </c>
      <c r="AE49" s="36"/>
      <c r="AF49" s="36">
        <v>46106</v>
      </c>
      <c r="AG49" s="36">
        <v>46106</v>
      </c>
      <c r="AH49" s="36">
        <v>46107</v>
      </c>
      <c r="AI49" s="36">
        <v>0</v>
      </c>
      <c r="AJ49" s="36">
        <v>155.47999999999999</v>
      </c>
      <c r="AK49" s="36" t="s">
        <v>46</v>
      </c>
      <c r="AL49" s="36">
        <v>932.88</v>
      </c>
      <c r="AM49" s="36" t="s">
        <v>124</v>
      </c>
      <c r="AN49" s="36">
        <v>4211794</v>
      </c>
      <c r="AO49" s="36" t="s">
        <v>446</v>
      </c>
      <c r="AP49" s="37" t="s">
        <v>125</v>
      </c>
      <c r="AQ49" s="38">
        <v>-31</v>
      </c>
      <c r="AR49" s="36" t="s">
        <v>53</v>
      </c>
      <c r="AS49" s="36" t="s">
        <v>54</v>
      </c>
    </row>
    <row r="50" spans="1:49" x14ac:dyDescent="0.35">
      <c r="A50" s="39">
        <v>46135</v>
      </c>
      <c r="B50" s="40" t="s">
        <v>351</v>
      </c>
      <c r="C50" s="40" t="s">
        <v>42</v>
      </c>
      <c r="D50" s="40">
        <v>14086338</v>
      </c>
      <c r="E50" s="40" t="s">
        <v>352</v>
      </c>
      <c r="F50" s="40">
        <v>2</v>
      </c>
      <c r="G50" s="40" t="s">
        <v>43</v>
      </c>
      <c r="H50" s="40" t="s">
        <v>44</v>
      </c>
      <c r="I50" s="40" t="s">
        <v>45</v>
      </c>
      <c r="J50" s="40" t="s">
        <v>45</v>
      </c>
      <c r="K50" s="39">
        <v>46118</v>
      </c>
      <c r="L50" s="40" t="s">
        <v>80</v>
      </c>
      <c r="M50" s="40">
        <v>19.41</v>
      </c>
      <c r="N50" s="40" t="s">
        <v>56</v>
      </c>
      <c r="O50" s="40">
        <v>1</v>
      </c>
      <c r="P50" s="40" t="s">
        <v>43</v>
      </c>
      <c r="Q50" s="40">
        <v>1207</v>
      </c>
      <c r="R50" s="40">
        <v>2</v>
      </c>
      <c r="S50" s="40">
        <v>4500898953</v>
      </c>
      <c r="T50" s="40" t="s">
        <v>98</v>
      </c>
      <c r="U50" s="40" t="s">
        <v>144</v>
      </c>
      <c r="V50" s="40" t="s">
        <v>70</v>
      </c>
      <c r="W50" s="40" t="s">
        <v>84</v>
      </c>
      <c r="X50" s="40" t="s">
        <v>49</v>
      </c>
      <c r="Y50" s="40">
        <v>0</v>
      </c>
      <c r="Z50" s="40" t="s">
        <v>50</v>
      </c>
      <c r="AA50" s="40" t="s">
        <v>87</v>
      </c>
      <c r="AB50" s="40" t="s">
        <v>61</v>
      </c>
      <c r="AC50" s="40"/>
      <c r="AD50" s="40" t="s">
        <v>52</v>
      </c>
      <c r="AE50" s="40"/>
      <c r="AF50" s="40">
        <v>46135</v>
      </c>
      <c r="AG50" s="40">
        <v>46135</v>
      </c>
      <c r="AH50" s="40">
        <v>46136</v>
      </c>
      <c r="AI50" s="40">
        <v>0</v>
      </c>
      <c r="AJ50" s="40">
        <v>69.86</v>
      </c>
      <c r="AK50" s="40" t="s">
        <v>46</v>
      </c>
      <c r="AL50" s="40">
        <v>139.72</v>
      </c>
      <c r="AM50" s="40" t="s">
        <v>353</v>
      </c>
      <c r="AN50" s="40">
        <v>4214645</v>
      </c>
      <c r="AO50" s="40"/>
      <c r="AP50" s="41" t="s">
        <v>354</v>
      </c>
      <c r="AQ50" s="42">
        <v>-2</v>
      </c>
      <c r="AR50" s="40" t="s">
        <v>53</v>
      </c>
      <c r="AS50" s="40" t="s">
        <v>54</v>
      </c>
      <c r="AT50" s="63"/>
      <c r="AU50" s="55"/>
      <c r="AV50" s="55"/>
      <c r="AW50" s="55"/>
    </row>
    <row r="51" spans="1:49" x14ac:dyDescent="0.35">
      <c r="A51" s="11">
        <v>46120</v>
      </c>
      <c r="B51" s="1" t="s">
        <v>170</v>
      </c>
      <c r="C51" s="1" t="s">
        <v>42</v>
      </c>
      <c r="D51" s="1">
        <v>14082173</v>
      </c>
      <c r="E51" s="1" t="s">
        <v>171</v>
      </c>
      <c r="F51" s="1">
        <v>1</v>
      </c>
      <c r="G51" s="1" t="s">
        <v>43</v>
      </c>
      <c r="H51" s="1" t="s">
        <v>44</v>
      </c>
      <c r="I51" s="1" t="s">
        <v>45</v>
      </c>
      <c r="J51" s="1" t="s">
        <v>45</v>
      </c>
      <c r="K51" s="1"/>
      <c r="L51" s="1"/>
      <c r="M51" s="1"/>
      <c r="N51" s="1"/>
      <c r="O51" s="1"/>
      <c r="P51" s="1"/>
      <c r="Q51" s="1"/>
      <c r="R51" s="1"/>
      <c r="S51" s="1"/>
      <c r="T51" s="1" t="s">
        <v>98</v>
      </c>
      <c r="U51" s="1" t="s">
        <v>134</v>
      </c>
      <c r="V51" s="1" t="s">
        <v>70</v>
      </c>
      <c r="W51" s="1" t="s">
        <v>84</v>
      </c>
      <c r="X51" s="1" t="s">
        <v>49</v>
      </c>
      <c r="Y51" s="1">
        <v>0</v>
      </c>
      <c r="Z51" s="1" t="s">
        <v>50</v>
      </c>
      <c r="AA51" s="1" t="s">
        <v>87</v>
      </c>
      <c r="AB51" s="1" t="s">
        <v>61</v>
      </c>
      <c r="AC51" s="1"/>
      <c r="AD51" s="1" t="s">
        <v>52</v>
      </c>
      <c r="AE51" s="1"/>
      <c r="AF51" s="1">
        <v>46120</v>
      </c>
      <c r="AG51" s="1">
        <v>46120</v>
      </c>
      <c r="AH51" s="1">
        <v>46121</v>
      </c>
      <c r="AI51" s="1">
        <v>29</v>
      </c>
      <c r="AJ51" s="1">
        <v>13.66</v>
      </c>
      <c r="AK51" s="1" t="s">
        <v>46</v>
      </c>
      <c r="AL51" s="1">
        <v>13.66</v>
      </c>
      <c r="AM51" s="1" t="s">
        <v>172</v>
      </c>
      <c r="AN51" s="1">
        <v>4214531</v>
      </c>
      <c r="AO51" s="1"/>
      <c r="AP51" s="12" t="s">
        <v>173</v>
      </c>
      <c r="AQ51" s="13">
        <v>-17</v>
      </c>
      <c r="AR51" s="1" t="s">
        <v>53</v>
      </c>
      <c r="AS51" s="1" t="s">
        <v>54</v>
      </c>
    </row>
    <row r="52" spans="1:49" x14ac:dyDescent="0.35">
      <c r="A52" s="11">
        <v>46127</v>
      </c>
      <c r="B52" s="1" t="s">
        <v>232</v>
      </c>
      <c r="C52" s="1" t="s">
        <v>81</v>
      </c>
      <c r="D52" s="1">
        <v>14079384</v>
      </c>
      <c r="E52" s="1" t="s">
        <v>233</v>
      </c>
      <c r="F52" s="1">
        <v>12</v>
      </c>
      <c r="G52" s="1" t="s">
        <v>43</v>
      </c>
      <c r="H52" s="1" t="s">
        <v>44</v>
      </c>
      <c r="I52" s="1" t="s">
        <v>45</v>
      </c>
      <c r="J52" s="1" t="s">
        <v>45</v>
      </c>
      <c r="K52" s="11">
        <v>46071</v>
      </c>
      <c r="L52" s="1" t="s">
        <v>82</v>
      </c>
      <c r="M52" s="1">
        <v>6.3</v>
      </c>
      <c r="N52" s="1" t="s">
        <v>56</v>
      </c>
      <c r="O52" s="1">
        <v>1</v>
      </c>
      <c r="P52" s="1" t="s">
        <v>43</v>
      </c>
      <c r="Q52" s="1">
        <v>1207</v>
      </c>
      <c r="R52" s="1">
        <v>2</v>
      </c>
      <c r="S52" s="1">
        <v>4500891475</v>
      </c>
      <c r="T52" s="1" t="s">
        <v>98</v>
      </c>
      <c r="U52" s="1" t="s">
        <v>84</v>
      </c>
      <c r="V52" s="1" t="s">
        <v>47</v>
      </c>
      <c r="W52" s="1" t="s">
        <v>84</v>
      </c>
      <c r="X52" s="1" t="s">
        <v>49</v>
      </c>
      <c r="Y52" s="1">
        <v>0</v>
      </c>
      <c r="Z52" s="1" t="s">
        <v>50</v>
      </c>
      <c r="AA52" s="1" t="s">
        <v>96</v>
      </c>
      <c r="AB52" s="1" t="s">
        <v>83</v>
      </c>
      <c r="AC52" s="1"/>
      <c r="AD52" s="1" t="s">
        <v>52</v>
      </c>
      <c r="AE52" s="1"/>
      <c r="AF52" s="1">
        <v>46135</v>
      </c>
      <c r="AG52" s="1">
        <v>46127</v>
      </c>
      <c r="AH52" s="1">
        <v>46164</v>
      </c>
      <c r="AI52" s="1">
        <v>29</v>
      </c>
      <c r="AJ52" s="1">
        <v>13.32</v>
      </c>
      <c r="AK52" s="1" t="s">
        <v>46</v>
      </c>
      <c r="AL52" s="1">
        <v>159.84</v>
      </c>
      <c r="AM52" s="1"/>
      <c r="AN52" s="1"/>
      <c r="AO52" s="1"/>
      <c r="AP52" s="12" t="s">
        <v>234</v>
      </c>
      <c r="AQ52" s="13">
        <v>-10</v>
      </c>
      <c r="AR52" s="1" t="s">
        <v>53</v>
      </c>
      <c r="AS52" s="1" t="s">
        <v>54</v>
      </c>
    </row>
    <row r="53" spans="1:49" x14ac:dyDescent="0.35">
      <c r="A53" s="11">
        <v>46131</v>
      </c>
      <c r="B53" s="1" t="s">
        <v>253</v>
      </c>
      <c r="C53" s="1" t="s">
        <v>42</v>
      </c>
      <c r="D53" s="1">
        <v>14089502</v>
      </c>
      <c r="E53" s="1" t="s">
        <v>254</v>
      </c>
      <c r="F53" s="1">
        <v>1</v>
      </c>
      <c r="G53" s="1" t="s">
        <v>43</v>
      </c>
      <c r="H53" s="1" t="s">
        <v>44</v>
      </c>
      <c r="I53" s="1" t="s">
        <v>45</v>
      </c>
      <c r="J53" s="1" t="s">
        <v>45</v>
      </c>
      <c r="K53" s="11">
        <v>46071</v>
      </c>
      <c r="L53" s="1" t="s">
        <v>82</v>
      </c>
      <c r="M53" s="1">
        <v>7</v>
      </c>
      <c r="N53" s="1" t="s">
        <v>56</v>
      </c>
      <c r="O53" s="1">
        <v>1</v>
      </c>
      <c r="P53" s="1" t="s">
        <v>43</v>
      </c>
      <c r="Q53" s="1">
        <v>1207</v>
      </c>
      <c r="R53" s="1">
        <v>9</v>
      </c>
      <c r="S53" s="1">
        <v>4500891475</v>
      </c>
      <c r="T53" s="1" t="s">
        <v>98</v>
      </c>
      <c r="U53" s="1" t="s">
        <v>86</v>
      </c>
      <c r="V53" s="1" t="s">
        <v>70</v>
      </c>
      <c r="W53" s="1" t="s">
        <v>84</v>
      </c>
      <c r="X53" s="1" t="s">
        <v>49</v>
      </c>
      <c r="Y53" s="1">
        <v>0</v>
      </c>
      <c r="Z53" s="1" t="s">
        <v>50</v>
      </c>
      <c r="AA53" s="1" t="s">
        <v>85</v>
      </c>
      <c r="AB53" s="1" t="s">
        <v>61</v>
      </c>
      <c r="AC53" s="1"/>
      <c r="AD53" s="1" t="s">
        <v>52</v>
      </c>
      <c r="AE53" s="1"/>
      <c r="AF53" s="1">
        <v>46131</v>
      </c>
      <c r="AG53" s="1">
        <v>46131</v>
      </c>
      <c r="AH53" s="1">
        <v>46132</v>
      </c>
      <c r="AI53" s="1">
        <v>0</v>
      </c>
      <c r="AJ53" s="1">
        <v>20.95</v>
      </c>
      <c r="AK53" s="1" t="s">
        <v>46</v>
      </c>
      <c r="AL53" s="1">
        <v>20.95</v>
      </c>
      <c r="AM53" s="1" t="s">
        <v>255</v>
      </c>
      <c r="AN53" s="1">
        <v>4211058</v>
      </c>
      <c r="AO53" s="1"/>
      <c r="AP53" s="12" t="s">
        <v>256</v>
      </c>
      <c r="AQ53" s="13">
        <v>-6</v>
      </c>
      <c r="AR53" s="1" t="s">
        <v>53</v>
      </c>
      <c r="AS53" s="1" t="s">
        <v>54</v>
      </c>
    </row>
    <row r="54" spans="1:49" x14ac:dyDescent="0.35">
      <c r="A54" s="11">
        <v>46132</v>
      </c>
      <c r="B54" s="1" t="s">
        <v>257</v>
      </c>
      <c r="C54" s="1" t="s">
        <v>42</v>
      </c>
      <c r="D54" s="1">
        <v>14082173</v>
      </c>
      <c r="E54" s="1" t="s">
        <v>171</v>
      </c>
      <c r="F54" s="1">
        <v>3</v>
      </c>
      <c r="G54" s="1" t="s">
        <v>43</v>
      </c>
      <c r="H54" s="1" t="s">
        <v>92</v>
      </c>
      <c r="I54" s="1" t="s">
        <v>45</v>
      </c>
      <c r="J54" s="1" t="s">
        <v>45</v>
      </c>
      <c r="K54" s="1"/>
      <c r="L54" s="1"/>
      <c r="M54" s="1"/>
      <c r="N54" s="1"/>
      <c r="O54" s="1"/>
      <c r="P54" s="1"/>
      <c r="Q54" s="1"/>
      <c r="R54" s="1"/>
      <c r="S54" s="1"/>
      <c r="T54" s="1" t="s">
        <v>98</v>
      </c>
      <c r="U54" s="1" t="s">
        <v>226</v>
      </c>
      <c r="V54" s="1" t="s">
        <v>104</v>
      </c>
      <c r="W54" s="1" t="s">
        <v>93</v>
      </c>
      <c r="X54" s="1" t="s">
        <v>59</v>
      </c>
      <c r="Y54" s="1">
        <v>0</v>
      </c>
      <c r="Z54" s="1" t="s">
        <v>50</v>
      </c>
      <c r="AA54" s="1" t="s">
        <v>94</v>
      </c>
      <c r="AB54" s="1" t="s">
        <v>61</v>
      </c>
      <c r="AC54" s="1"/>
      <c r="AD54" s="1" t="s">
        <v>52</v>
      </c>
      <c r="AE54" s="1"/>
      <c r="AF54" s="1">
        <v>46132</v>
      </c>
      <c r="AG54" s="1">
        <v>46132</v>
      </c>
      <c r="AH54" s="1">
        <v>46133</v>
      </c>
      <c r="AI54" s="1">
        <v>29</v>
      </c>
      <c r="AJ54" s="1">
        <v>13.61</v>
      </c>
      <c r="AK54" s="1" t="s">
        <v>46</v>
      </c>
      <c r="AL54" s="1">
        <v>40.83</v>
      </c>
      <c r="AM54" s="1" t="s">
        <v>258</v>
      </c>
      <c r="AN54" s="1">
        <v>2021885</v>
      </c>
      <c r="AO54" s="1"/>
      <c r="AP54" s="12" t="s">
        <v>259</v>
      </c>
      <c r="AQ54" s="13">
        <v>-5</v>
      </c>
      <c r="AR54" s="1" t="s">
        <v>53</v>
      </c>
      <c r="AS54" s="1" t="s">
        <v>54</v>
      </c>
    </row>
    <row r="55" spans="1:49" x14ac:dyDescent="0.35">
      <c r="A55" s="39">
        <v>46140</v>
      </c>
      <c r="B55" s="40" t="s">
        <v>464</v>
      </c>
      <c r="C55" s="40" t="s">
        <v>81</v>
      </c>
      <c r="D55" s="40">
        <v>14076051</v>
      </c>
      <c r="E55" s="40" t="s">
        <v>465</v>
      </c>
      <c r="F55" s="40">
        <v>12</v>
      </c>
      <c r="G55" s="40" t="s">
        <v>43</v>
      </c>
      <c r="H55" s="40" t="s">
        <v>44</v>
      </c>
      <c r="I55" s="40" t="s">
        <v>45</v>
      </c>
      <c r="J55" s="40" t="s">
        <v>45</v>
      </c>
      <c r="K55" s="39">
        <v>46058</v>
      </c>
      <c r="L55" s="40" t="s">
        <v>80</v>
      </c>
      <c r="M55" s="40">
        <v>1</v>
      </c>
      <c r="N55" s="40" t="s">
        <v>56</v>
      </c>
      <c r="O55" s="40">
        <v>1</v>
      </c>
      <c r="P55" s="40" t="s">
        <v>43</v>
      </c>
      <c r="Q55" s="40">
        <v>1207</v>
      </c>
      <c r="R55" s="40">
        <v>12</v>
      </c>
      <c r="S55" s="40">
        <v>4500889644</v>
      </c>
      <c r="T55" s="40" t="s">
        <v>98</v>
      </c>
      <c r="U55" s="40" t="s">
        <v>84</v>
      </c>
      <c r="V55" s="40" t="s">
        <v>47</v>
      </c>
      <c r="W55" s="40" t="s">
        <v>84</v>
      </c>
      <c r="X55" s="40" t="s">
        <v>49</v>
      </c>
      <c r="Y55" s="40">
        <v>0</v>
      </c>
      <c r="Z55" s="40" t="s">
        <v>50</v>
      </c>
      <c r="AA55" s="40" t="s">
        <v>96</v>
      </c>
      <c r="AB55" s="40" t="s">
        <v>83</v>
      </c>
      <c r="AC55" s="40"/>
      <c r="AD55" s="40" t="s">
        <v>52</v>
      </c>
      <c r="AE55" s="40"/>
      <c r="AF55" s="40">
        <v>46140</v>
      </c>
      <c r="AG55" s="40">
        <v>46140</v>
      </c>
      <c r="AH55" s="40">
        <v>46169</v>
      </c>
      <c r="AI55" s="40">
        <v>29</v>
      </c>
      <c r="AJ55" s="40">
        <v>3.62</v>
      </c>
      <c r="AK55" s="40" t="s">
        <v>46</v>
      </c>
      <c r="AL55" s="40">
        <v>43.44</v>
      </c>
      <c r="AM55" s="40"/>
      <c r="AN55" s="40"/>
      <c r="AO55" s="40"/>
      <c r="AP55" s="41" t="s">
        <v>466</v>
      </c>
      <c r="AQ55" s="42">
        <v>3</v>
      </c>
      <c r="AR55" s="40" t="s">
        <v>62</v>
      </c>
      <c r="AS55" s="40" t="s">
        <v>54</v>
      </c>
      <c r="AT55" s="63"/>
      <c r="AU55" s="55"/>
      <c r="AV55" s="55"/>
      <c r="AW55" s="55"/>
    </row>
    <row r="56" spans="1:49" x14ac:dyDescent="0.35">
      <c r="A56" s="39">
        <v>46122</v>
      </c>
      <c r="B56" s="40" t="s">
        <v>182</v>
      </c>
      <c r="C56" s="40" t="s">
        <v>81</v>
      </c>
      <c r="D56" s="40">
        <v>14079295</v>
      </c>
      <c r="E56" s="40" t="s">
        <v>183</v>
      </c>
      <c r="F56" s="40">
        <v>400</v>
      </c>
      <c r="G56" s="40" t="s">
        <v>43</v>
      </c>
      <c r="H56" s="40" t="s">
        <v>44</v>
      </c>
      <c r="I56" s="40" t="s">
        <v>45</v>
      </c>
      <c r="J56" s="40" t="s">
        <v>45</v>
      </c>
      <c r="K56" s="39">
        <v>46091</v>
      </c>
      <c r="L56" s="40" t="s">
        <v>80</v>
      </c>
      <c r="M56" s="40">
        <v>5.86</v>
      </c>
      <c r="N56" s="40" t="s">
        <v>56</v>
      </c>
      <c r="O56" s="40">
        <v>300</v>
      </c>
      <c r="P56" s="40" t="s">
        <v>43</v>
      </c>
      <c r="Q56" s="40">
        <v>1207</v>
      </c>
      <c r="R56" s="40">
        <v>300</v>
      </c>
      <c r="S56" s="40">
        <v>4500894964</v>
      </c>
      <c r="T56" s="40" t="s">
        <v>108</v>
      </c>
      <c r="U56" s="40" t="s">
        <v>84</v>
      </c>
      <c r="V56" s="40" t="s">
        <v>47</v>
      </c>
      <c r="W56" s="40" t="s">
        <v>84</v>
      </c>
      <c r="X56" s="40" t="s">
        <v>49</v>
      </c>
      <c r="Y56" s="40">
        <v>0</v>
      </c>
      <c r="Z56" s="40" t="s">
        <v>194</v>
      </c>
      <c r="AA56" s="40" t="s">
        <v>96</v>
      </c>
      <c r="AB56" s="40" t="s">
        <v>83</v>
      </c>
      <c r="AC56" s="40"/>
      <c r="AD56" s="40" t="s">
        <v>52</v>
      </c>
      <c r="AE56" s="40"/>
      <c r="AF56" s="40">
        <v>46127</v>
      </c>
      <c r="AG56" s="40">
        <v>46122</v>
      </c>
      <c r="AH56" s="40">
        <v>46156</v>
      </c>
      <c r="AI56" s="40">
        <v>29</v>
      </c>
      <c r="AJ56" s="40">
        <v>7.0000000000000007E-2</v>
      </c>
      <c r="AK56" s="40" t="s">
        <v>46</v>
      </c>
      <c r="AL56" s="40">
        <v>28</v>
      </c>
      <c r="AM56" s="40"/>
      <c r="AN56" s="40"/>
      <c r="AO56" s="40"/>
      <c r="AP56" s="41" t="s">
        <v>184</v>
      </c>
      <c r="AQ56" s="42">
        <v>-15</v>
      </c>
      <c r="AR56" s="40" t="s">
        <v>53</v>
      </c>
      <c r="AS56" s="40" t="s">
        <v>54</v>
      </c>
      <c r="AT56" s="63"/>
      <c r="AU56" s="55"/>
      <c r="AV56" s="55"/>
      <c r="AW56" s="55"/>
    </row>
    <row r="57" spans="1:49" x14ac:dyDescent="0.35">
      <c r="A57" s="11">
        <v>46137</v>
      </c>
      <c r="B57" s="1" t="s">
        <v>419</v>
      </c>
      <c r="C57" s="1" t="s">
        <v>42</v>
      </c>
      <c r="D57" s="1">
        <v>14092511</v>
      </c>
      <c r="E57" s="1" t="s">
        <v>352</v>
      </c>
      <c r="F57" s="1">
        <v>1</v>
      </c>
      <c r="G57" s="1" t="s">
        <v>43</v>
      </c>
      <c r="H57" s="1" t="s">
        <v>44</v>
      </c>
      <c r="I57" s="1" t="s">
        <v>45</v>
      </c>
      <c r="J57" s="1" t="s">
        <v>45</v>
      </c>
      <c r="K57" s="1"/>
      <c r="L57" s="1"/>
      <c r="M57" s="1"/>
      <c r="N57" s="1"/>
      <c r="O57" s="1"/>
      <c r="P57" s="1"/>
      <c r="Q57" s="1"/>
      <c r="R57" s="1"/>
      <c r="S57" s="1"/>
      <c r="T57" s="1" t="s">
        <v>98</v>
      </c>
      <c r="U57" s="1" t="s">
        <v>144</v>
      </c>
      <c r="V57" s="1" t="s">
        <v>70</v>
      </c>
      <c r="W57" s="1" t="s">
        <v>84</v>
      </c>
      <c r="X57" s="1" t="s">
        <v>49</v>
      </c>
      <c r="Y57" s="1">
        <v>0</v>
      </c>
      <c r="Z57" s="1" t="s">
        <v>50</v>
      </c>
      <c r="AA57" s="1" t="s">
        <v>87</v>
      </c>
      <c r="AB57" s="1" t="s">
        <v>61</v>
      </c>
      <c r="AC57" s="1"/>
      <c r="AD57" s="1" t="s">
        <v>52</v>
      </c>
      <c r="AE57" s="1"/>
      <c r="AF57" s="1">
        <v>46137</v>
      </c>
      <c r="AG57" s="1">
        <v>46137</v>
      </c>
      <c r="AH57" s="1">
        <v>46138</v>
      </c>
      <c r="AI57" s="1">
        <v>0</v>
      </c>
      <c r="AJ57" s="1">
        <v>91.93</v>
      </c>
      <c r="AK57" s="1" t="s">
        <v>46</v>
      </c>
      <c r="AL57" s="1">
        <v>91.93</v>
      </c>
      <c r="AM57" s="1" t="s">
        <v>420</v>
      </c>
      <c r="AN57" s="1">
        <v>4214734</v>
      </c>
      <c r="AO57" s="1"/>
      <c r="AP57" s="12" t="s">
        <v>421</v>
      </c>
      <c r="AQ57" s="13">
        <v>0</v>
      </c>
      <c r="AR57" s="1" t="s">
        <v>62</v>
      </c>
      <c r="AS57" s="1" t="s">
        <v>54</v>
      </c>
    </row>
    <row r="58" spans="1:49" x14ac:dyDescent="0.35">
      <c r="A58" s="11">
        <v>46114</v>
      </c>
      <c r="B58" s="1" t="s">
        <v>155</v>
      </c>
      <c r="C58" s="1" t="s">
        <v>63</v>
      </c>
      <c r="D58" s="1">
        <v>14079477</v>
      </c>
      <c r="E58" s="1" t="s">
        <v>156</v>
      </c>
      <c r="F58" s="1">
        <v>10</v>
      </c>
      <c r="G58" s="1" t="s">
        <v>43</v>
      </c>
      <c r="H58" s="1" t="s">
        <v>44</v>
      </c>
      <c r="I58" s="1" t="s">
        <v>45</v>
      </c>
      <c r="J58" s="1" t="s">
        <v>45</v>
      </c>
      <c r="K58" s="11">
        <v>45978</v>
      </c>
      <c r="L58" s="1" t="s">
        <v>80</v>
      </c>
      <c r="M58" s="1">
        <v>574.13</v>
      </c>
      <c r="N58" s="1" t="s">
        <v>56</v>
      </c>
      <c r="O58" s="1">
        <v>100</v>
      </c>
      <c r="P58" s="1" t="s">
        <v>43</v>
      </c>
      <c r="Q58" s="1">
        <v>1208</v>
      </c>
      <c r="R58" s="1">
        <v>8</v>
      </c>
      <c r="S58" s="1">
        <v>4500874512</v>
      </c>
      <c r="T58" s="1" t="s">
        <v>98</v>
      </c>
      <c r="U58" s="1" t="s">
        <v>144</v>
      </c>
      <c r="V58" s="1" t="s">
        <v>70</v>
      </c>
      <c r="W58" s="1" t="s">
        <v>84</v>
      </c>
      <c r="X58" s="1" t="s">
        <v>49</v>
      </c>
      <c r="Y58" s="1">
        <v>0</v>
      </c>
      <c r="Z58" s="1" t="s">
        <v>50</v>
      </c>
      <c r="AA58" s="1" t="s">
        <v>87</v>
      </c>
      <c r="AB58" s="1" t="s">
        <v>61</v>
      </c>
      <c r="AC58" s="1"/>
      <c r="AD58" s="1" t="s">
        <v>52</v>
      </c>
      <c r="AE58" s="1"/>
      <c r="AF58" s="1">
        <v>46114</v>
      </c>
      <c r="AG58" s="1">
        <v>46114</v>
      </c>
      <c r="AH58" s="1">
        <v>46115</v>
      </c>
      <c r="AI58" s="1">
        <v>0</v>
      </c>
      <c r="AJ58" s="1">
        <v>23.33</v>
      </c>
      <c r="AK58" s="1" t="s">
        <v>46</v>
      </c>
      <c r="AL58" s="1">
        <v>233.3</v>
      </c>
      <c r="AM58" s="1" t="s">
        <v>157</v>
      </c>
      <c r="AN58" s="1">
        <v>4214639</v>
      </c>
      <c r="AO58" s="1"/>
      <c r="AP58" s="12" t="s">
        <v>158</v>
      </c>
      <c r="AQ58" s="13">
        <v>-23</v>
      </c>
      <c r="AR58" s="1" t="s">
        <v>53</v>
      </c>
      <c r="AS58" s="1" t="s">
        <v>54</v>
      </c>
    </row>
    <row r="59" spans="1:49" x14ac:dyDescent="0.35">
      <c r="A59" s="11">
        <v>46083</v>
      </c>
      <c r="B59" s="1" t="s">
        <v>99</v>
      </c>
      <c r="C59" s="1" t="s">
        <v>63</v>
      </c>
      <c r="D59" s="1">
        <v>14055145</v>
      </c>
      <c r="E59" s="1" t="s">
        <v>100</v>
      </c>
      <c r="F59" s="1">
        <v>200</v>
      </c>
      <c r="G59" s="1" t="s">
        <v>43</v>
      </c>
      <c r="H59" s="1" t="s">
        <v>75</v>
      </c>
      <c r="I59" s="1" t="s">
        <v>45</v>
      </c>
      <c r="J59" s="1" t="s">
        <v>45</v>
      </c>
      <c r="K59" s="11">
        <v>45877</v>
      </c>
      <c r="L59" s="1" t="s">
        <v>101</v>
      </c>
      <c r="M59" s="1">
        <v>30.69</v>
      </c>
      <c r="N59" s="1" t="s">
        <v>46</v>
      </c>
      <c r="O59" s="1">
        <v>1</v>
      </c>
      <c r="P59" s="1" t="s">
        <v>43</v>
      </c>
      <c r="Q59" s="1">
        <v>1611</v>
      </c>
      <c r="R59" s="1">
        <v>6</v>
      </c>
      <c r="S59" s="1">
        <v>4500857445</v>
      </c>
      <c r="T59" s="1" t="s">
        <v>102</v>
      </c>
      <c r="U59" s="1"/>
      <c r="V59" s="1" t="s">
        <v>47</v>
      </c>
      <c r="W59" s="1" t="s">
        <v>48</v>
      </c>
      <c r="X59" s="1" t="s">
        <v>103</v>
      </c>
      <c r="Y59" s="1">
        <v>0</v>
      </c>
      <c r="Z59" s="1" t="s">
        <v>194</v>
      </c>
      <c r="AA59" s="1"/>
      <c r="AB59" s="1" t="s">
        <v>51</v>
      </c>
      <c r="AC59" s="1"/>
      <c r="AD59" s="1" t="s">
        <v>52</v>
      </c>
      <c r="AE59" s="1"/>
      <c r="AF59" s="1">
        <v>46083</v>
      </c>
      <c r="AG59" s="1">
        <v>46083</v>
      </c>
      <c r="AH59" s="1">
        <v>46083</v>
      </c>
      <c r="AI59" s="1">
        <v>0</v>
      </c>
      <c r="AJ59" s="1">
        <v>20.440000000000001</v>
      </c>
      <c r="AK59" s="1" t="s">
        <v>46</v>
      </c>
      <c r="AL59" s="1">
        <v>4088</v>
      </c>
      <c r="AM59" s="1"/>
      <c r="AN59" s="1"/>
      <c r="AO59" s="1"/>
      <c r="AP59" s="12" t="s">
        <v>118</v>
      </c>
      <c r="AQ59" s="13">
        <v>-54</v>
      </c>
      <c r="AR59" s="1" t="s">
        <v>53</v>
      </c>
      <c r="AS59" s="1" t="s">
        <v>54</v>
      </c>
    </row>
    <row r="60" spans="1:49" x14ac:dyDescent="0.35">
      <c r="A60" s="11">
        <v>46118</v>
      </c>
      <c r="B60" s="1" t="s">
        <v>159</v>
      </c>
      <c r="C60" s="1" t="s">
        <v>64</v>
      </c>
      <c r="D60" s="1">
        <v>14043011</v>
      </c>
      <c r="E60" s="1" t="s">
        <v>160</v>
      </c>
      <c r="F60" s="1">
        <v>100</v>
      </c>
      <c r="G60" s="1" t="s">
        <v>43</v>
      </c>
      <c r="H60" s="1" t="s">
        <v>75</v>
      </c>
      <c r="I60" s="1" t="s">
        <v>45</v>
      </c>
      <c r="J60" s="1" t="s">
        <v>45</v>
      </c>
      <c r="K60" s="1" t="s">
        <v>508</v>
      </c>
      <c r="L60" s="1" t="s">
        <v>509</v>
      </c>
      <c r="M60" s="1">
        <v>2</v>
      </c>
      <c r="N60" s="1" t="s">
        <v>56</v>
      </c>
      <c r="O60" s="1">
        <v>1</v>
      </c>
      <c r="P60" s="1" t="s">
        <v>43</v>
      </c>
      <c r="Q60" s="1">
        <v>1601</v>
      </c>
      <c r="R60" s="1">
        <v>100</v>
      </c>
      <c r="S60" s="1">
        <v>4500828527</v>
      </c>
      <c r="T60" s="1" t="s">
        <v>102</v>
      </c>
      <c r="U60" s="1" t="s">
        <v>161</v>
      </c>
      <c r="V60" s="1" t="s">
        <v>162</v>
      </c>
      <c r="W60" s="1" t="s">
        <v>97</v>
      </c>
      <c r="X60" s="1" t="s">
        <v>103</v>
      </c>
      <c r="Y60" s="1">
        <v>0</v>
      </c>
      <c r="Z60" s="1" t="s">
        <v>194</v>
      </c>
      <c r="AA60" s="1" t="s">
        <v>78</v>
      </c>
      <c r="AB60" s="1" t="s">
        <v>51</v>
      </c>
      <c r="AC60" s="1"/>
      <c r="AD60" s="1" t="s">
        <v>52</v>
      </c>
      <c r="AE60" s="1"/>
      <c r="AF60" s="1">
        <v>46118</v>
      </c>
      <c r="AG60" s="1">
        <v>46118</v>
      </c>
      <c r="AH60" s="1">
        <v>46118</v>
      </c>
      <c r="AI60" s="1">
        <v>0</v>
      </c>
      <c r="AJ60" s="1">
        <v>7.43</v>
      </c>
      <c r="AK60" s="1" t="s">
        <v>46</v>
      </c>
      <c r="AL60" s="1">
        <v>743</v>
      </c>
      <c r="AM60" s="1"/>
      <c r="AN60" s="1"/>
      <c r="AO60" s="1"/>
      <c r="AP60" s="12" t="s">
        <v>163</v>
      </c>
      <c r="AQ60" s="13">
        <v>-19</v>
      </c>
      <c r="AR60" s="1" t="s">
        <v>53</v>
      </c>
      <c r="AS60" s="1" t="s">
        <v>54</v>
      </c>
    </row>
    <row r="61" spans="1:49" x14ac:dyDescent="0.35">
      <c r="A61" s="11">
        <v>46118</v>
      </c>
      <c r="B61" s="1" t="s">
        <v>159</v>
      </c>
      <c r="C61" s="1" t="s">
        <v>105</v>
      </c>
      <c r="D61" s="1">
        <v>14055145</v>
      </c>
      <c r="E61" s="1" t="s">
        <v>100</v>
      </c>
      <c r="F61" s="1">
        <v>200</v>
      </c>
      <c r="G61" s="1" t="s">
        <v>43</v>
      </c>
      <c r="H61" s="1" t="s">
        <v>75</v>
      </c>
      <c r="I61" s="1" t="s">
        <v>45</v>
      </c>
      <c r="J61" s="1" t="s">
        <v>45</v>
      </c>
      <c r="K61" s="11">
        <v>45877</v>
      </c>
      <c r="L61" s="1" t="s">
        <v>101</v>
      </c>
      <c r="M61" s="1">
        <v>30.69</v>
      </c>
      <c r="N61" s="1" t="s">
        <v>46</v>
      </c>
      <c r="O61" s="1">
        <v>1</v>
      </c>
      <c r="P61" s="1" t="s">
        <v>43</v>
      </c>
      <c r="Q61" s="1">
        <v>1611</v>
      </c>
      <c r="R61" s="1">
        <v>6</v>
      </c>
      <c r="S61" s="1">
        <v>4500857445</v>
      </c>
      <c r="T61" s="1" t="s">
        <v>102</v>
      </c>
      <c r="U61" s="1" t="s">
        <v>161</v>
      </c>
      <c r="V61" s="1" t="s">
        <v>162</v>
      </c>
      <c r="W61" s="1" t="s">
        <v>97</v>
      </c>
      <c r="X61" s="1" t="s">
        <v>103</v>
      </c>
      <c r="Y61" s="1">
        <v>0</v>
      </c>
      <c r="Z61" s="1" t="s">
        <v>194</v>
      </c>
      <c r="AA61" s="1"/>
      <c r="AB61" s="1" t="s">
        <v>51</v>
      </c>
      <c r="AC61" s="1"/>
      <c r="AD61" s="1" t="s">
        <v>52</v>
      </c>
      <c r="AE61" s="1"/>
      <c r="AF61" s="1">
        <v>46118</v>
      </c>
      <c r="AG61" s="1">
        <v>46118</v>
      </c>
      <c r="AH61" s="1">
        <v>46118</v>
      </c>
      <c r="AI61" s="1">
        <v>0</v>
      </c>
      <c r="AJ61" s="1">
        <v>20.440000000000001</v>
      </c>
      <c r="AK61" s="1" t="s">
        <v>46</v>
      </c>
      <c r="AL61" s="1">
        <v>4088</v>
      </c>
      <c r="AM61" s="1"/>
      <c r="AN61" s="1"/>
      <c r="AO61" s="1"/>
      <c r="AP61" s="12" t="s">
        <v>164</v>
      </c>
      <c r="AQ61" s="13">
        <v>-19</v>
      </c>
      <c r="AR61" s="1" t="s">
        <v>53</v>
      </c>
      <c r="AS61" s="1" t="s">
        <v>54</v>
      </c>
    </row>
    <row r="62" spans="1:49" x14ac:dyDescent="0.35">
      <c r="A62" s="11">
        <v>46139</v>
      </c>
      <c r="B62" s="1" t="s">
        <v>467</v>
      </c>
      <c r="C62" s="1" t="s">
        <v>105</v>
      </c>
      <c r="D62" s="1">
        <v>14055145</v>
      </c>
      <c r="E62" s="1" t="s">
        <v>100</v>
      </c>
      <c r="F62" s="1">
        <v>48</v>
      </c>
      <c r="G62" s="1" t="s">
        <v>43</v>
      </c>
      <c r="H62" s="1" t="s">
        <v>55</v>
      </c>
      <c r="I62" s="1" t="s">
        <v>45</v>
      </c>
      <c r="J62" s="1" t="s">
        <v>45</v>
      </c>
      <c r="K62" s="11">
        <v>45877</v>
      </c>
      <c r="L62" s="1" t="s">
        <v>101</v>
      </c>
      <c r="M62" s="1">
        <v>30.69</v>
      </c>
      <c r="N62" s="1" t="s">
        <v>46</v>
      </c>
      <c r="O62" s="1">
        <v>1</v>
      </c>
      <c r="P62" s="1" t="s">
        <v>43</v>
      </c>
      <c r="Q62" s="1">
        <v>1611</v>
      </c>
      <c r="R62" s="1">
        <v>6</v>
      </c>
      <c r="S62" s="1">
        <v>4500857445</v>
      </c>
      <c r="T62" s="1" t="s">
        <v>102</v>
      </c>
      <c r="U62" s="1" t="s">
        <v>468</v>
      </c>
      <c r="V62" s="1" t="s">
        <v>57</v>
      </c>
      <c r="W62" s="1" t="s">
        <v>97</v>
      </c>
      <c r="X62" s="1" t="s">
        <v>103</v>
      </c>
      <c r="Y62" s="1">
        <v>0</v>
      </c>
      <c r="Z62" s="1" t="s">
        <v>50</v>
      </c>
      <c r="AA62" s="1" t="s">
        <v>60</v>
      </c>
      <c r="AB62" s="1" t="s">
        <v>51</v>
      </c>
      <c r="AC62" s="1"/>
      <c r="AD62" s="1" t="s">
        <v>52</v>
      </c>
      <c r="AE62" s="1"/>
      <c r="AF62" s="1">
        <v>46139</v>
      </c>
      <c r="AG62" s="1">
        <v>46139</v>
      </c>
      <c r="AH62" s="1">
        <v>46139</v>
      </c>
      <c r="AI62" s="1">
        <v>0</v>
      </c>
      <c r="AJ62" s="1">
        <v>20.29</v>
      </c>
      <c r="AK62" s="1" t="s">
        <v>46</v>
      </c>
      <c r="AL62" s="1">
        <v>973.92</v>
      </c>
      <c r="AM62" s="1"/>
      <c r="AN62" s="1"/>
      <c r="AO62" s="1"/>
      <c r="AP62" s="12" t="s">
        <v>469</v>
      </c>
      <c r="AQ62" s="13">
        <v>2</v>
      </c>
      <c r="AR62" s="1" t="s">
        <v>62</v>
      </c>
      <c r="AS62" s="1" t="s">
        <v>54</v>
      </c>
    </row>
    <row r="63" spans="1:49" ht="15" customHeight="1" x14ac:dyDescent="0.35">
      <c r="A63" s="39">
        <v>46128</v>
      </c>
      <c r="B63" s="40" t="s">
        <v>242</v>
      </c>
      <c r="C63" s="40" t="s">
        <v>42</v>
      </c>
      <c r="D63" s="40">
        <v>14905383</v>
      </c>
      <c r="E63" s="40" t="s">
        <v>243</v>
      </c>
      <c r="F63" s="40">
        <v>2</v>
      </c>
      <c r="G63" s="40" t="s">
        <v>43</v>
      </c>
      <c r="H63" s="40" t="s">
        <v>65</v>
      </c>
      <c r="I63" s="40" t="s">
        <v>45</v>
      </c>
      <c r="J63" s="40" t="s">
        <v>45</v>
      </c>
      <c r="K63" s="40" t="s">
        <v>507</v>
      </c>
      <c r="L63" s="40" t="s">
        <v>248</v>
      </c>
      <c r="M63" s="40">
        <v>775</v>
      </c>
      <c r="N63" s="40" t="s">
        <v>46</v>
      </c>
      <c r="O63" s="40">
        <v>1</v>
      </c>
      <c r="P63" s="40" t="s">
        <v>43</v>
      </c>
      <c r="Q63" s="40">
        <v>1207</v>
      </c>
      <c r="R63" s="40">
        <v>1</v>
      </c>
      <c r="S63" s="40">
        <v>4500797923</v>
      </c>
      <c r="T63" s="40" t="s">
        <v>244</v>
      </c>
      <c r="U63" s="40" t="s">
        <v>204</v>
      </c>
      <c r="V63" s="40" t="s">
        <v>133</v>
      </c>
      <c r="W63" s="40" t="s">
        <v>66</v>
      </c>
      <c r="X63" s="40" t="s">
        <v>59</v>
      </c>
      <c r="Y63" s="40">
        <v>0</v>
      </c>
      <c r="Z63" s="40" t="s">
        <v>50</v>
      </c>
      <c r="AA63" s="40" t="s">
        <v>67</v>
      </c>
      <c r="AB63" s="40" t="s">
        <v>61</v>
      </c>
      <c r="AC63" s="40"/>
      <c r="AD63" s="40" t="s">
        <v>52</v>
      </c>
      <c r="AE63" s="40"/>
      <c r="AF63" s="40">
        <v>46128</v>
      </c>
      <c r="AG63" s="40">
        <v>46128</v>
      </c>
      <c r="AH63" s="40">
        <v>46129</v>
      </c>
      <c r="AI63" s="40">
        <v>0</v>
      </c>
      <c r="AJ63" s="40">
        <v>815.06</v>
      </c>
      <c r="AK63" s="40" t="s">
        <v>46</v>
      </c>
      <c r="AL63" s="40">
        <v>1630.12</v>
      </c>
      <c r="AM63" s="40" t="s">
        <v>245</v>
      </c>
      <c r="AN63" s="40">
        <v>4214561</v>
      </c>
      <c r="AO63" s="40"/>
      <c r="AP63" s="41" t="s">
        <v>246</v>
      </c>
      <c r="AQ63" s="42">
        <v>-9</v>
      </c>
      <c r="AR63" s="40" t="s">
        <v>53</v>
      </c>
      <c r="AS63" s="40" t="s">
        <v>54</v>
      </c>
      <c r="AT63" s="28">
        <v>4500903724</v>
      </c>
    </row>
    <row r="64" spans="1:49" x14ac:dyDescent="0.35">
      <c r="A64" s="39">
        <v>46128</v>
      </c>
      <c r="B64" s="40" t="s">
        <v>242</v>
      </c>
      <c r="C64" s="40" t="s">
        <v>63</v>
      </c>
      <c r="D64" s="40">
        <v>14090929</v>
      </c>
      <c r="E64" s="40" t="s">
        <v>247</v>
      </c>
      <c r="F64" s="40">
        <v>4</v>
      </c>
      <c r="G64" s="40" t="s">
        <v>43</v>
      </c>
      <c r="H64" s="40" t="s">
        <v>65</v>
      </c>
      <c r="I64" s="40" t="s">
        <v>45</v>
      </c>
      <c r="J64" s="40" t="s">
        <v>45</v>
      </c>
      <c r="K64" s="39">
        <v>45944</v>
      </c>
      <c r="L64" s="40" t="s">
        <v>248</v>
      </c>
      <c r="M64" s="40">
        <v>21.89</v>
      </c>
      <c r="N64" s="40" t="s">
        <v>46</v>
      </c>
      <c r="O64" s="40">
        <v>1</v>
      </c>
      <c r="P64" s="40" t="s">
        <v>43</v>
      </c>
      <c r="Q64" s="40">
        <v>1601</v>
      </c>
      <c r="R64" s="40">
        <v>70</v>
      </c>
      <c r="S64" s="40">
        <v>4500869024</v>
      </c>
      <c r="T64" s="40" t="s">
        <v>244</v>
      </c>
      <c r="U64" s="40" t="s">
        <v>204</v>
      </c>
      <c r="V64" s="40" t="s">
        <v>133</v>
      </c>
      <c r="W64" s="40" t="s">
        <v>66</v>
      </c>
      <c r="X64" s="40" t="s">
        <v>59</v>
      </c>
      <c r="Y64" s="40">
        <v>0</v>
      </c>
      <c r="Z64" s="40" t="s">
        <v>50</v>
      </c>
      <c r="AA64" s="40" t="s">
        <v>67</v>
      </c>
      <c r="AB64" s="40" t="s">
        <v>61</v>
      </c>
      <c r="AC64" s="40"/>
      <c r="AD64" s="40" t="s">
        <v>52</v>
      </c>
      <c r="AE64" s="40"/>
      <c r="AF64" s="40">
        <v>46128</v>
      </c>
      <c r="AG64" s="40">
        <v>46128</v>
      </c>
      <c r="AH64" s="40">
        <v>46129</v>
      </c>
      <c r="AI64" s="40">
        <v>0</v>
      </c>
      <c r="AJ64" s="40">
        <v>15</v>
      </c>
      <c r="AK64" s="40" t="s">
        <v>46</v>
      </c>
      <c r="AL64" s="40">
        <v>60</v>
      </c>
      <c r="AM64" s="40" t="s">
        <v>249</v>
      </c>
      <c r="AN64" s="40">
        <v>4214561</v>
      </c>
      <c r="AO64" s="40"/>
      <c r="AP64" s="41" t="s">
        <v>250</v>
      </c>
      <c r="AQ64" s="42">
        <v>-9</v>
      </c>
      <c r="AR64" s="40" t="s">
        <v>53</v>
      </c>
      <c r="AS64" s="40" t="s">
        <v>54</v>
      </c>
      <c r="AT64" s="28">
        <v>4500903724</v>
      </c>
    </row>
    <row r="65" spans="1:46" x14ac:dyDescent="0.35">
      <c r="A65" s="11">
        <v>46024</v>
      </c>
      <c r="B65" s="1" t="s">
        <v>189</v>
      </c>
      <c r="C65" s="1" t="s">
        <v>91</v>
      </c>
      <c r="D65" s="1">
        <v>14099959</v>
      </c>
      <c r="E65" s="1" t="s">
        <v>190</v>
      </c>
      <c r="F65" s="1">
        <v>1</v>
      </c>
      <c r="G65" s="1" t="s">
        <v>43</v>
      </c>
      <c r="H65" s="1" t="s">
        <v>75</v>
      </c>
      <c r="I65" s="1" t="s">
        <v>45</v>
      </c>
      <c r="J65" s="1" t="s">
        <v>45</v>
      </c>
      <c r="K65" s="1"/>
      <c r="L65" s="1"/>
      <c r="M65" s="1"/>
      <c r="N65" s="1"/>
      <c r="O65" s="1"/>
      <c r="P65" s="1"/>
      <c r="Q65" s="1"/>
      <c r="R65" s="1"/>
      <c r="S65" s="1"/>
      <c r="T65" s="1" t="s">
        <v>107</v>
      </c>
      <c r="U65" s="1" t="s">
        <v>76</v>
      </c>
      <c r="V65" s="1" t="s">
        <v>57</v>
      </c>
      <c r="W65" s="1" t="s">
        <v>77</v>
      </c>
      <c r="X65" s="1" t="s">
        <v>59</v>
      </c>
      <c r="Y65" s="1">
        <v>0</v>
      </c>
      <c r="Z65" s="1" t="s">
        <v>131</v>
      </c>
      <c r="AA65" s="1" t="s">
        <v>78</v>
      </c>
      <c r="AB65" s="1" t="s">
        <v>61</v>
      </c>
      <c r="AC65" s="1" t="s">
        <v>191</v>
      </c>
      <c r="AD65" s="1" t="s">
        <v>42</v>
      </c>
      <c r="AE65" s="1">
        <v>46028</v>
      </c>
      <c r="AF65" s="1">
        <v>46024</v>
      </c>
      <c r="AG65" s="1">
        <v>46024</v>
      </c>
      <c r="AH65" s="1">
        <v>46025</v>
      </c>
      <c r="AI65" s="1">
        <v>29</v>
      </c>
      <c r="AJ65" s="1">
        <v>32.950000000000003</v>
      </c>
      <c r="AK65" s="1" t="s">
        <v>46</v>
      </c>
      <c r="AL65" s="1">
        <v>32.950000000000003</v>
      </c>
      <c r="AM65" s="1" t="s">
        <v>192</v>
      </c>
      <c r="AN65" s="1">
        <v>2001584</v>
      </c>
      <c r="AO65" s="1"/>
      <c r="AP65" s="12" t="s">
        <v>193</v>
      </c>
      <c r="AQ65" s="13">
        <v>-113</v>
      </c>
      <c r="AR65" s="1" t="s">
        <v>53</v>
      </c>
      <c r="AS65" s="1" t="s">
        <v>54</v>
      </c>
    </row>
    <row r="66" spans="1:46" x14ac:dyDescent="0.35">
      <c r="A66" s="11">
        <v>46099</v>
      </c>
      <c r="B66" s="1" t="s">
        <v>113</v>
      </c>
      <c r="C66" s="1" t="s">
        <v>63</v>
      </c>
      <c r="D66" s="1">
        <v>14101609</v>
      </c>
      <c r="E66" s="1" t="s">
        <v>114</v>
      </c>
      <c r="F66" s="1">
        <v>7</v>
      </c>
      <c r="G66" s="1" t="s">
        <v>43</v>
      </c>
      <c r="H66" s="1" t="s">
        <v>44</v>
      </c>
      <c r="I66" s="1" t="s">
        <v>45</v>
      </c>
      <c r="J66" s="1" t="s">
        <v>45</v>
      </c>
      <c r="K66" s="1"/>
      <c r="L66" s="1"/>
      <c r="M66" s="1"/>
      <c r="N66" s="1"/>
      <c r="O66" s="1"/>
      <c r="P66" s="1"/>
      <c r="Q66" s="1"/>
      <c r="R66" s="1"/>
      <c r="S66" s="1"/>
      <c r="T66" s="1" t="s">
        <v>107</v>
      </c>
      <c r="U66" s="1" t="s">
        <v>69</v>
      </c>
      <c r="V66" s="1" t="s">
        <v>70</v>
      </c>
      <c r="W66" s="1" t="s">
        <v>84</v>
      </c>
      <c r="X66" s="1" t="s">
        <v>49</v>
      </c>
      <c r="Y66" s="1">
        <v>0</v>
      </c>
      <c r="Z66" s="1" t="s">
        <v>50</v>
      </c>
      <c r="AA66" s="1" t="s">
        <v>96</v>
      </c>
      <c r="AB66" s="1" t="s">
        <v>61</v>
      </c>
      <c r="AC66" s="1"/>
      <c r="AD66" s="1" t="s">
        <v>52</v>
      </c>
      <c r="AE66" s="1"/>
      <c r="AF66" s="1">
        <v>46099</v>
      </c>
      <c r="AG66" s="1">
        <v>46099</v>
      </c>
      <c r="AH66" s="1">
        <v>46100</v>
      </c>
      <c r="AI66" s="1">
        <v>0</v>
      </c>
      <c r="AJ66" s="1">
        <v>33.07</v>
      </c>
      <c r="AK66" s="1" t="s">
        <v>46</v>
      </c>
      <c r="AL66" s="1">
        <v>231.49</v>
      </c>
      <c r="AM66" s="1" t="s">
        <v>115</v>
      </c>
      <c r="AN66" s="1">
        <v>4213917</v>
      </c>
      <c r="AO66" s="1"/>
      <c r="AP66" s="12" t="s">
        <v>116</v>
      </c>
      <c r="AQ66" s="13">
        <v>-38</v>
      </c>
      <c r="AR66" s="1" t="s">
        <v>53</v>
      </c>
      <c r="AS66" s="1" t="s">
        <v>54</v>
      </c>
    </row>
    <row r="67" spans="1:46" x14ac:dyDescent="0.35">
      <c r="A67" s="39">
        <v>46140</v>
      </c>
      <c r="B67" s="40" t="s">
        <v>482</v>
      </c>
      <c r="C67" s="40" t="s">
        <v>81</v>
      </c>
      <c r="D67" s="40">
        <v>14011500</v>
      </c>
      <c r="E67" s="40" t="s">
        <v>483</v>
      </c>
      <c r="F67" s="40">
        <v>5</v>
      </c>
      <c r="G67" s="40" t="s">
        <v>43</v>
      </c>
      <c r="H67" s="40" t="s">
        <v>65</v>
      </c>
      <c r="I67" s="40" t="s">
        <v>45</v>
      </c>
      <c r="J67" s="40" t="s">
        <v>45</v>
      </c>
      <c r="K67" s="40" t="s">
        <v>486</v>
      </c>
      <c r="L67" s="40" t="s">
        <v>240</v>
      </c>
      <c r="M67" s="40">
        <v>39.020000000000003</v>
      </c>
      <c r="N67" s="40" t="s">
        <v>56</v>
      </c>
      <c r="O67" s="40">
        <v>1</v>
      </c>
      <c r="P67" s="40" t="s">
        <v>43</v>
      </c>
      <c r="Q67" s="40">
        <v>1207</v>
      </c>
      <c r="R67" s="40">
        <v>4</v>
      </c>
      <c r="S67" s="40">
        <v>4500785571</v>
      </c>
      <c r="T67" s="40" t="s">
        <v>136</v>
      </c>
      <c r="U67" s="40" t="s">
        <v>66</v>
      </c>
      <c r="V67" s="40" t="s">
        <v>47</v>
      </c>
      <c r="W67" s="40" t="s">
        <v>66</v>
      </c>
      <c r="X67" s="40" t="s">
        <v>59</v>
      </c>
      <c r="Y67" s="40">
        <v>0</v>
      </c>
      <c r="Z67" s="40" t="s">
        <v>50</v>
      </c>
      <c r="AA67" s="40" t="s">
        <v>67</v>
      </c>
      <c r="AB67" s="40" t="s">
        <v>83</v>
      </c>
      <c r="AC67" s="40"/>
      <c r="AD67" s="40" t="s">
        <v>52</v>
      </c>
      <c r="AE67" s="40"/>
      <c r="AF67" s="40">
        <v>46140</v>
      </c>
      <c r="AG67" s="40">
        <v>46140</v>
      </c>
      <c r="AH67" s="40">
        <v>46169</v>
      </c>
      <c r="AI67" s="40">
        <v>29</v>
      </c>
      <c r="AJ67" s="40">
        <v>39.53</v>
      </c>
      <c r="AK67" s="40" t="s">
        <v>46</v>
      </c>
      <c r="AL67" s="40">
        <v>197.65</v>
      </c>
      <c r="AM67" s="40"/>
      <c r="AN67" s="40"/>
      <c r="AO67" s="40"/>
      <c r="AP67" s="41" t="s">
        <v>484</v>
      </c>
      <c r="AQ67" s="42">
        <v>3</v>
      </c>
      <c r="AR67" s="40" t="s">
        <v>62</v>
      </c>
      <c r="AS67" s="40" t="s">
        <v>54</v>
      </c>
      <c r="AT67" s="28">
        <v>4500903748</v>
      </c>
    </row>
    <row r="68" spans="1:46" x14ac:dyDescent="0.35">
      <c r="A68" s="39">
        <v>46139</v>
      </c>
      <c r="B68" s="40" t="s">
        <v>470</v>
      </c>
      <c r="C68" s="40" t="s">
        <v>63</v>
      </c>
      <c r="D68" s="40">
        <v>14015107</v>
      </c>
      <c r="E68" s="40" t="s">
        <v>471</v>
      </c>
      <c r="F68" s="40">
        <v>2</v>
      </c>
      <c r="G68" s="40" t="s">
        <v>43</v>
      </c>
      <c r="H68" s="40" t="s">
        <v>75</v>
      </c>
      <c r="I68" s="40" t="s">
        <v>45</v>
      </c>
      <c r="J68" s="40" t="s">
        <v>45</v>
      </c>
      <c r="K68" s="39">
        <v>46069</v>
      </c>
      <c r="L68" s="40" t="s">
        <v>240</v>
      </c>
      <c r="M68" s="40">
        <v>2.41</v>
      </c>
      <c r="N68" s="40" t="s">
        <v>56</v>
      </c>
      <c r="O68" s="40">
        <v>1</v>
      </c>
      <c r="P68" s="40" t="s">
        <v>43</v>
      </c>
      <c r="Q68" s="40">
        <v>1601</v>
      </c>
      <c r="R68" s="40">
        <v>2</v>
      </c>
      <c r="S68" s="40">
        <v>4500891021</v>
      </c>
      <c r="T68" s="40" t="s">
        <v>107</v>
      </c>
      <c r="U68" s="40" t="s">
        <v>76</v>
      </c>
      <c r="V68" s="40" t="s">
        <v>57</v>
      </c>
      <c r="W68" s="40" t="s">
        <v>77</v>
      </c>
      <c r="X68" s="40" t="s">
        <v>59</v>
      </c>
      <c r="Y68" s="40">
        <v>0</v>
      </c>
      <c r="Z68" s="40" t="s">
        <v>50</v>
      </c>
      <c r="AA68" s="40" t="s">
        <v>78</v>
      </c>
      <c r="AB68" s="40" t="s">
        <v>61</v>
      </c>
      <c r="AC68" s="40"/>
      <c r="AD68" s="40" t="s">
        <v>52</v>
      </c>
      <c r="AE68" s="40"/>
      <c r="AF68" s="40">
        <v>46139</v>
      </c>
      <c r="AG68" s="40">
        <v>46139</v>
      </c>
      <c r="AH68" s="40">
        <v>46139</v>
      </c>
      <c r="AI68" s="40">
        <v>0</v>
      </c>
      <c r="AJ68" s="40">
        <v>8.57</v>
      </c>
      <c r="AK68" s="40" t="s">
        <v>46</v>
      </c>
      <c r="AL68" s="40">
        <v>17.14</v>
      </c>
      <c r="AM68" s="40" t="s">
        <v>472</v>
      </c>
      <c r="AN68" s="40">
        <v>6200000131</v>
      </c>
      <c r="AO68" s="40"/>
      <c r="AP68" s="41" t="s">
        <v>473</v>
      </c>
      <c r="AQ68" s="42">
        <v>2</v>
      </c>
      <c r="AR68" s="40" t="s">
        <v>62</v>
      </c>
      <c r="AS68" s="40" t="s">
        <v>54</v>
      </c>
      <c r="AT68" s="28">
        <v>4500903748</v>
      </c>
    </row>
    <row r="69" spans="1:46" x14ac:dyDescent="0.35">
      <c r="A69" s="39">
        <v>46139</v>
      </c>
      <c r="B69" s="40" t="s">
        <v>470</v>
      </c>
      <c r="C69" s="40" t="s">
        <v>42</v>
      </c>
      <c r="D69" s="40">
        <v>14069035</v>
      </c>
      <c r="E69" s="40" t="s">
        <v>422</v>
      </c>
      <c r="F69" s="40">
        <v>2</v>
      </c>
      <c r="G69" s="40" t="s">
        <v>43</v>
      </c>
      <c r="H69" s="40" t="s">
        <v>75</v>
      </c>
      <c r="I69" s="40" t="s">
        <v>45</v>
      </c>
      <c r="J69" s="40" t="s">
        <v>45</v>
      </c>
      <c r="K69" s="39">
        <v>46139</v>
      </c>
      <c r="L69" s="40" t="s">
        <v>240</v>
      </c>
      <c r="M69" s="40">
        <v>18.98</v>
      </c>
      <c r="N69" s="40" t="s">
        <v>56</v>
      </c>
      <c r="O69" s="40">
        <v>1</v>
      </c>
      <c r="P69" s="40" t="s">
        <v>43</v>
      </c>
      <c r="Q69" s="40">
        <v>1601</v>
      </c>
      <c r="R69" s="40">
        <v>3</v>
      </c>
      <c r="S69" s="40">
        <v>4500903467</v>
      </c>
      <c r="T69" s="40" t="s">
        <v>261</v>
      </c>
      <c r="U69" s="40" t="s">
        <v>76</v>
      </c>
      <c r="V69" s="40" t="s">
        <v>57</v>
      </c>
      <c r="W69" s="40" t="s">
        <v>77</v>
      </c>
      <c r="X69" s="40" t="s">
        <v>59</v>
      </c>
      <c r="Y69" s="40">
        <v>0</v>
      </c>
      <c r="Z69" s="40" t="s">
        <v>50</v>
      </c>
      <c r="AA69" s="40" t="s">
        <v>78</v>
      </c>
      <c r="AB69" s="40" t="s">
        <v>61</v>
      </c>
      <c r="AC69" s="40"/>
      <c r="AD69" s="40" t="s">
        <v>52</v>
      </c>
      <c r="AE69" s="40"/>
      <c r="AF69" s="40">
        <v>46139</v>
      </c>
      <c r="AG69" s="40">
        <v>46139</v>
      </c>
      <c r="AH69" s="40">
        <v>46140</v>
      </c>
      <c r="AI69" s="40">
        <v>0</v>
      </c>
      <c r="AJ69" s="40">
        <v>69.260000000000005</v>
      </c>
      <c r="AK69" s="40" t="s">
        <v>46</v>
      </c>
      <c r="AL69" s="40">
        <v>138.52000000000001</v>
      </c>
      <c r="AM69" s="40" t="s">
        <v>477</v>
      </c>
      <c r="AN69" s="40">
        <v>6200000131</v>
      </c>
      <c r="AO69" s="40"/>
      <c r="AP69" s="41" t="s">
        <v>478</v>
      </c>
      <c r="AQ69" s="42">
        <v>2</v>
      </c>
      <c r="AR69" s="40" t="s">
        <v>62</v>
      </c>
      <c r="AS69" s="40" t="s">
        <v>54</v>
      </c>
      <c r="AT69" s="28">
        <v>4500903748</v>
      </c>
    </row>
    <row r="70" spans="1:46" x14ac:dyDescent="0.35">
      <c r="A70" s="39">
        <v>46139</v>
      </c>
      <c r="B70" s="40" t="s">
        <v>470</v>
      </c>
      <c r="C70" s="40" t="s">
        <v>64</v>
      </c>
      <c r="D70" s="40">
        <v>14093388</v>
      </c>
      <c r="E70" s="40" t="s">
        <v>479</v>
      </c>
      <c r="F70" s="40">
        <v>4</v>
      </c>
      <c r="G70" s="40" t="s">
        <v>43</v>
      </c>
      <c r="H70" s="40" t="s">
        <v>75</v>
      </c>
      <c r="I70" s="40" t="s">
        <v>45</v>
      </c>
      <c r="J70" s="40" t="s">
        <v>45</v>
      </c>
      <c r="K70" s="39">
        <v>45965</v>
      </c>
      <c r="L70" s="40" t="s">
        <v>240</v>
      </c>
      <c r="M70" s="40">
        <v>2</v>
      </c>
      <c r="N70" s="40" t="s">
        <v>56</v>
      </c>
      <c r="O70" s="40">
        <v>1</v>
      </c>
      <c r="P70" s="40" t="s">
        <v>43</v>
      </c>
      <c r="Q70" s="40">
        <v>1601</v>
      </c>
      <c r="R70" s="40">
        <v>12</v>
      </c>
      <c r="S70" s="40">
        <v>4500872224</v>
      </c>
      <c r="T70" s="40" t="s">
        <v>270</v>
      </c>
      <c r="U70" s="40" t="s">
        <v>76</v>
      </c>
      <c r="V70" s="40" t="s">
        <v>57</v>
      </c>
      <c r="W70" s="40" t="s">
        <v>77</v>
      </c>
      <c r="X70" s="40" t="s">
        <v>59</v>
      </c>
      <c r="Y70" s="40">
        <v>0</v>
      </c>
      <c r="Z70" s="40" t="s">
        <v>50</v>
      </c>
      <c r="AA70" s="40" t="s">
        <v>78</v>
      </c>
      <c r="AB70" s="40" t="s">
        <v>61</v>
      </c>
      <c r="AC70" s="40"/>
      <c r="AD70" s="40" t="s">
        <v>52</v>
      </c>
      <c r="AE70" s="40"/>
      <c r="AF70" s="40">
        <v>46139</v>
      </c>
      <c r="AG70" s="40">
        <v>46139</v>
      </c>
      <c r="AH70" s="40">
        <v>46140</v>
      </c>
      <c r="AI70" s="40">
        <v>0</v>
      </c>
      <c r="AJ70" s="40">
        <v>8.81</v>
      </c>
      <c r="AK70" s="40" t="s">
        <v>46</v>
      </c>
      <c r="AL70" s="40">
        <v>35.24</v>
      </c>
      <c r="AM70" s="40" t="s">
        <v>480</v>
      </c>
      <c r="AN70" s="40">
        <v>6200000131</v>
      </c>
      <c r="AO70" s="40"/>
      <c r="AP70" s="41" t="s">
        <v>481</v>
      </c>
      <c r="AQ70" s="42">
        <v>2</v>
      </c>
      <c r="AR70" s="40" t="s">
        <v>62</v>
      </c>
      <c r="AS70" s="40" t="s">
        <v>54</v>
      </c>
      <c r="AT70" s="28">
        <v>4500903748</v>
      </c>
    </row>
    <row r="71" spans="1:46" x14ac:dyDescent="0.35">
      <c r="A71" s="11">
        <v>45904</v>
      </c>
      <c r="B71" s="1" t="s">
        <v>356</v>
      </c>
      <c r="C71" s="1" t="s">
        <v>64</v>
      </c>
      <c r="D71" s="1">
        <v>14076908</v>
      </c>
      <c r="E71" s="1" t="s">
        <v>357</v>
      </c>
      <c r="F71" s="1">
        <v>50</v>
      </c>
      <c r="G71" s="1" t="s">
        <v>43</v>
      </c>
      <c r="H71" s="1" t="s">
        <v>92</v>
      </c>
      <c r="I71" s="1" t="s">
        <v>45</v>
      </c>
      <c r="J71" s="1" t="s">
        <v>45</v>
      </c>
      <c r="K71" s="1" t="s">
        <v>506</v>
      </c>
      <c r="L71" s="1" t="s">
        <v>241</v>
      </c>
      <c r="M71" s="1">
        <v>38.9</v>
      </c>
      <c r="N71" s="1" t="s">
        <v>46</v>
      </c>
      <c r="O71" s="1">
        <v>1</v>
      </c>
      <c r="P71" s="1" t="s">
        <v>43</v>
      </c>
      <c r="Q71" s="1">
        <v>1103</v>
      </c>
      <c r="R71" s="1">
        <v>12</v>
      </c>
      <c r="S71" s="1">
        <v>4500837149</v>
      </c>
      <c r="T71" s="1" t="s">
        <v>68</v>
      </c>
      <c r="U71" s="1" t="s">
        <v>355</v>
      </c>
      <c r="V71" s="1" t="s">
        <v>104</v>
      </c>
      <c r="W71" s="1" t="s">
        <v>93</v>
      </c>
      <c r="X71" s="1" t="s">
        <v>59</v>
      </c>
      <c r="Y71" s="1">
        <v>0</v>
      </c>
      <c r="Z71" s="1" t="s">
        <v>131</v>
      </c>
      <c r="AA71" s="1" t="s">
        <v>94</v>
      </c>
      <c r="AB71" s="1" t="s">
        <v>61</v>
      </c>
      <c r="AC71" s="1" t="s">
        <v>358</v>
      </c>
      <c r="AD71" s="1" t="s">
        <v>42</v>
      </c>
      <c r="AE71" s="1">
        <v>45910</v>
      </c>
      <c r="AF71" s="1">
        <v>45904</v>
      </c>
      <c r="AG71" s="1">
        <v>45910</v>
      </c>
      <c r="AH71" s="1">
        <v>45934</v>
      </c>
      <c r="AI71" s="1">
        <v>29</v>
      </c>
      <c r="AJ71" s="1">
        <v>32.72</v>
      </c>
      <c r="AK71" s="1" t="s">
        <v>46</v>
      </c>
      <c r="AL71" s="1">
        <v>1636</v>
      </c>
      <c r="AM71" s="1" t="s">
        <v>359</v>
      </c>
      <c r="AN71" s="1">
        <v>4204477</v>
      </c>
      <c r="AO71" s="1"/>
      <c r="AP71" s="12" t="s">
        <v>360</v>
      </c>
      <c r="AQ71" s="13">
        <v>-233</v>
      </c>
      <c r="AR71" s="1" t="s">
        <v>53</v>
      </c>
      <c r="AS71" s="1" t="s">
        <v>54</v>
      </c>
    </row>
    <row r="72" spans="1:46" x14ac:dyDescent="0.35">
      <c r="A72" s="39">
        <v>46059</v>
      </c>
      <c r="B72" s="40" t="s">
        <v>363</v>
      </c>
      <c r="C72" s="40" t="s">
        <v>79</v>
      </c>
      <c r="D72" s="40">
        <v>14092263</v>
      </c>
      <c r="E72" s="40" t="s">
        <v>364</v>
      </c>
      <c r="F72" s="40">
        <v>24</v>
      </c>
      <c r="G72" s="40" t="s">
        <v>43</v>
      </c>
      <c r="H72" s="40" t="s">
        <v>44</v>
      </c>
      <c r="I72" s="40" t="s">
        <v>45</v>
      </c>
      <c r="J72" s="40" t="s">
        <v>45</v>
      </c>
      <c r="K72" s="40"/>
      <c r="L72" s="40" t="s">
        <v>485</v>
      </c>
      <c r="M72" s="40">
        <v>5.2</v>
      </c>
      <c r="N72" s="40" t="s">
        <v>46</v>
      </c>
      <c r="O72" s="40"/>
      <c r="P72" s="40"/>
      <c r="Q72" s="40"/>
      <c r="R72" s="40"/>
      <c r="S72" s="40"/>
      <c r="T72" s="40" t="s">
        <v>68</v>
      </c>
      <c r="U72" s="40" t="s">
        <v>69</v>
      </c>
      <c r="V72" s="40" t="s">
        <v>57</v>
      </c>
      <c r="W72" s="40" t="s">
        <v>84</v>
      </c>
      <c r="X72" s="40" t="s">
        <v>49</v>
      </c>
      <c r="Y72" s="40">
        <v>0</v>
      </c>
      <c r="Z72" s="40" t="s">
        <v>131</v>
      </c>
      <c r="AA72" s="40" t="s">
        <v>85</v>
      </c>
      <c r="AB72" s="40" t="s">
        <v>61</v>
      </c>
      <c r="AC72" s="40" t="s">
        <v>362</v>
      </c>
      <c r="AD72" s="40" t="s">
        <v>64</v>
      </c>
      <c r="AE72" s="40">
        <v>46062</v>
      </c>
      <c r="AF72" s="40">
        <v>46059</v>
      </c>
      <c r="AG72" s="40">
        <v>46059</v>
      </c>
      <c r="AH72" s="40">
        <v>46060</v>
      </c>
      <c r="AI72" s="40">
        <v>0</v>
      </c>
      <c r="AJ72" s="40">
        <v>7.4</v>
      </c>
      <c r="AK72" s="40" t="s">
        <v>46</v>
      </c>
      <c r="AL72" s="40">
        <v>177.6</v>
      </c>
      <c r="AM72" s="40" t="s">
        <v>365</v>
      </c>
      <c r="AN72" s="40">
        <v>4210745</v>
      </c>
      <c r="AO72" s="40"/>
      <c r="AP72" s="41" t="s">
        <v>366</v>
      </c>
      <c r="AQ72" s="42">
        <v>-78</v>
      </c>
      <c r="AR72" s="40" t="s">
        <v>53</v>
      </c>
      <c r="AS72" s="40" t="s">
        <v>54</v>
      </c>
      <c r="AT72" s="28">
        <v>4500903640</v>
      </c>
    </row>
    <row r="73" spans="1:46" x14ac:dyDescent="0.35">
      <c r="A73" s="39">
        <v>46122</v>
      </c>
      <c r="B73" s="40" t="s">
        <v>195</v>
      </c>
      <c r="C73" s="40" t="s">
        <v>42</v>
      </c>
      <c r="D73" s="40">
        <v>14101338</v>
      </c>
      <c r="E73" s="40" t="s">
        <v>196</v>
      </c>
      <c r="F73" s="40">
        <v>1</v>
      </c>
      <c r="G73" s="40" t="s">
        <v>43</v>
      </c>
      <c r="H73" s="40" t="s">
        <v>92</v>
      </c>
      <c r="I73" s="40" t="s">
        <v>45</v>
      </c>
      <c r="J73" s="40" t="s">
        <v>45</v>
      </c>
      <c r="K73" s="39">
        <v>46029</v>
      </c>
      <c r="L73" s="40" t="s">
        <v>485</v>
      </c>
      <c r="M73" s="40">
        <v>18.399999999999999</v>
      </c>
      <c r="N73" s="40" t="s">
        <v>46</v>
      </c>
      <c r="O73" s="40">
        <v>1</v>
      </c>
      <c r="P73" s="40" t="s">
        <v>43</v>
      </c>
      <c r="Q73" s="40">
        <v>1208</v>
      </c>
      <c r="R73" s="40">
        <v>3</v>
      </c>
      <c r="S73" s="40">
        <v>4500884687</v>
      </c>
      <c r="T73" s="40" t="s">
        <v>68</v>
      </c>
      <c r="U73" s="40" t="s">
        <v>69</v>
      </c>
      <c r="V73" s="40" t="s">
        <v>70</v>
      </c>
      <c r="W73" s="40" t="s">
        <v>93</v>
      </c>
      <c r="X73" s="40" t="s">
        <v>59</v>
      </c>
      <c r="Y73" s="40">
        <v>0</v>
      </c>
      <c r="Z73" s="40" t="s">
        <v>50</v>
      </c>
      <c r="AA73" s="40" t="s">
        <v>94</v>
      </c>
      <c r="AB73" s="40" t="s">
        <v>61</v>
      </c>
      <c r="AC73" s="40"/>
      <c r="AD73" s="40" t="s">
        <v>52</v>
      </c>
      <c r="AE73" s="40"/>
      <c r="AF73" s="40">
        <v>46122</v>
      </c>
      <c r="AG73" s="40">
        <v>46122</v>
      </c>
      <c r="AH73" s="40">
        <v>46123</v>
      </c>
      <c r="AI73" s="40">
        <v>0</v>
      </c>
      <c r="AJ73" s="40">
        <v>111.33</v>
      </c>
      <c r="AK73" s="40" t="s">
        <v>46</v>
      </c>
      <c r="AL73" s="40">
        <v>111.33</v>
      </c>
      <c r="AM73" s="40" t="s">
        <v>198</v>
      </c>
      <c r="AN73" s="40">
        <v>4214966</v>
      </c>
      <c r="AO73" s="40"/>
      <c r="AP73" s="41" t="s">
        <v>199</v>
      </c>
      <c r="AQ73" s="42">
        <v>-15</v>
      </c>
      <c r="AR73" s="40" t="s">
        <v>53</v>
      </c>
      <c r="AS73" s="40" t="s">
        <v>54</v>
      </c>
      <c r="AT73" s="28">
        <v>4500903640</v>
      </c>
    </row>
    <row r="74" spans="1:46" x14ac:dyDescent="0.35">
      <c r="A74" s="39">
        <v>46138</v>
      </c>
      <c r="B74" s="40" t="s">
        <v>423</v>
      </c>
      <c r="C74" s="40" t="s">
        <v>81</v>
      </c>
      <c r="D74" s="40">
        <v>14010011</v>
      </c>
      <c r="E74" s="40" t="s">
        <v>424</v>
      </c>
      <c r="F74" s="40">
        <v>20</v>
      </c>
      <c r="G74" s="40" t="s">
        <v>43</v>
      </c>
      <c r="H74" s="40" t="s">
        <v>44</v>
      </c>
      <c r="I74" s="40">
        <v>6.6</v>
      </c>
      <c r="J74" s="40">
        <v>107912</v>
      </c>
      <c r="K74" s="39">
        <v>45982</v>
      </c>
      <c r="L74" s="40" t="s">
        <v>485</v>
      </c>
      <c r="M74" s="40">
        <v>6.4</v>
      </c>
      <c r="N74" s="40" t="s">
        <v>46</v>
      </c>
      <c r="O74" s="40">
        <v>1</v>
      </c>
      <c r="P74" s="40" t="s">
        <v>43</v>
      </c>
      <c r="Q74" s="40">
        <v>1207</v>
      </c>
      <c r="R74" s="40">
        <v>20</v>
      </c>
      <c r="S74" s="40">
        <v>4500875560</v>
      </c>
      <c r="T74" s="40" t="s">
        <v>68</v>
      </c>
      <c r="U74" s="40" t="s">
        <v>84</v>
      </c>
      <c r="V74" s="40" t="s">
        <v>47</v>
      </c>
      <c r="W74" s="40" t="s">
        <v>84</v>
      </c>
      <c r="X74" s="40" t="s">
        <v>49</v>
      </c>
      <c r="Y74" s="40">
        <v>0</v>
      </c>
      <c r="Z74" s="40" t="s">
        <v>50</v>
      </c>
      <c r="AA74" s="40" t="s">
        <v>96</v>
      </c>
      <c r="AB74" s="40" t="s">
        <v>83</v>
      </c>
      <c r="AC74" s="40"/>
      <c r="AD74" s="40" t="s">
        <v>52</v>
      </c>
      <c r="AE74" s="40"/>
      <c r="AF74" s="40">
        <v>46139</v>
      </c>
      <c r="AG74" s="40">
        <v>46138</v>
      </c>
      <c r="AH74" s="40">
        <v>46168</v>
      </c>
      <c r="AI74" s="40">
        <v>29</v>
      </c>
      <c r="AJ74" s="40">
        <v>7.52</v>
      </c>
      <c r="AK74" s="40" t="s">
        <v>46</v>
      </c>
      <c r="AL74" s="40">
        <v>150.4</v>
      </c>
      <c r="AM74" s="40"/>
      <c r="AN74" s="40"/>
      <c r="AO74" s="40"/>
      <c r="AP74" s="41" t="s">
        <v>425</v>
      </c>
      <c r="AQ74" s="42">
        <v>1</v>
      </c>
      <c r="AR74" s="40" t="s">
        <v>62</v>
      </c>
      <c r="AS74" s="40" t="s">
        <v>54</v>
      </c>
      <c r="AT74" s="28">
        <v>4500903640</v>
      </c>
    </row>
    <row r="75" spans="1:46" x14ac:dyDescent="0.35">
      <c r="A75" s="11">
        <v>46115</v>
      </c>
      <c r="B75" s="1" t="s">
        <v>165</v>
      </c>
      <c r="C75" s="1" t="s">
        <v>81</v>
      </c>
      <c r="D75" s="1">
        <v>14017759</v>
      </c>
      <c r="E75" s="1" t="s">
        <v>166</v>
      </c>
      <c r="F75" s="1">
        <v>900</v>
      </c>
      <c r="G75" s="1" t="s">
        <v>43</v>
      </c>
      <c r="H75" s="1" t="s">
        <v>44</v>
      </c>
      <c r="I75" s="1" t="s">
        <v>45</v>
      </c>
      <c r="J75" s="1" t="s">
        <v>45</v>
      </c>
      <c r="K75" s="11">
        <v>45957</v>
      </c>
      <c r="L75" s="1" t="s">
        <v>167</v>
      </c>
      <c r="M75" s="1">
        <v>70</v>
      </c>
      <c r="N75" s="1" t="s">
        <v>46</v>
      </c>
      <c r="O75" s="1">
        <v>100</v>
      </c>
      <c r="P75" s="1" t="s">
        <v>43</v>
      </c>
      <c r="Q75" s="1">
        <v>1207</v>
      </c>
      <c r="R75" s="1">
        <v>900</v>
      </c>
      <c r="S75" s="1">
        <v>4500870816</v>
      </c>
      <c r="T75" s="1" t="s">
        <v>108</v>
      </c>
      <c r="U75" s="1" t="s">
        <v>84</v>
      </c>
      <c r="V75" s="1" t="s">
        <v>47</v>
      </c>
      <c r="W75" s="1" t="s">
        <v>84</v>
      </c>
      <c r="X75" s="1" t="s">
        <v>49</v>
      </c>
      <c r="Y75" s="1">
        <v>0</v>
      </c>
      <c r="Z75" s="1" t="s">
        <v>194</v>
      </c>
      <c r="AA75" s="1" t="s">
        <v>96</v>
      </c>
      <c r="AB75" s="1" t="s">
        <v>83</v>
      </c>
      <c r="AC75" s="1"/>
      <c r="AD75" s="1" t="s">
        <v>52</v>
      </c>
      <c r="AE75" s="1"/>
      <c r="AF75" s="1">
        <v>46132</v>
      </c>
      <c r="AG75" s="1">
        <v>46115</v>
      </c>
      <c r="AH75" s="1">
        <v>46161</v>
      </c>
      <c r="AI75" s="1">
        <v>29</v>
      </c>
      <c r="AJ75" s="1">
        <v>0.61</v>
      </c>
      <c r="AK75" s="1" t="s">
        <v>46</v>
      </c>
      <c r="AL75" s="1">
        <v>549</v>
      </c>
      <c r="AM75" s="1"/>
      <c r="AN75" s="1"/>
      <c r="AO75" s="1"/>
      <c r="AP75" s="12" t="s">
        <v>168</v>
      </c>
      <c r="AQ75" s="13">
        <v>-22</v>
      </c>
      <c r="AR75" s="1" t="s">
        <v>53</v>
      </c>
      <c r="AS75" s="1" t="s">
        <v>54</v>
      </c>
    </row>
    <row r="76" spans="1:46" x14ac:dyDescent="0.35">
      <c r="A76" s="11">
        <v>46137</v>
      </c>
      <c r="B76" s="1" t="s">
        <v>416</v>
      </c>
      <c r="C76" s="1" t="s">
        <v>42</v>
      </c>
      <c r="D76" s="1">
        <v>14079477</v>
      </c>
      <c r="E76" s="1" t="s">
        <v>156</v>
      </c>
      <c r="F76" s="1">
        <v>2</v>
      </c>
      <c r="G76" s="1" t="s">
        <v>43</v>
      </c>
      <c r="H76" s="1" t="s">
        <v>92</v>
      </c>
      <c r="I76" s="1" t="s">
        <v>45</v>
      </c>
      <c r="J76" s="1" t="s">
        <v>45</v>
      </c>
      <c r="K76" s="11">
        <v>45978</v>
      </c>
      <c r="L76" s="1" t="s">
        <v>80</v>
      </c>
      <c r="M76" s="1">
        <v>574.13</v>
      </c>
      <c r="N76" s="1" t="s">
        <v>56</v>
      </c>
      <c r="O76" s="1">
        <v>100</v>
      </c>
      <c r="P76" s="1" t="s">
        <v>43</v>
      </c>
      <c r="Q76" s="1">
        <v>1208</v>
      </c>
      <c r="R76" s="1">
        <v>8</v>
      </c>
      <c r="S76" s="1">
        <v>4500874512</v>
      </c>
      <c r="T76" s="1" t="s">
        <v>98</v>
      </c>
      <c r="U76" s="1" t="s">
        <v>69</v>
      </c>
      <c r="V76" s="1" t="s">
        <v>70</v>
      </c>
      <c r="W76" s="1" t="s">
        <v>93</v>
      </c>
      <c r="X76" s="1" t="s">
        <v>59</v>
      </c>
      <c r="Y76" s="1">
        <v>0</v>
      </c>
      <c r="Z76" s="1" t="s">
        <v>50</v>
      </c>
      <c r="AA76" s="1" t="s">
        <v>94</v>
      </c>
      <c r="AB76" s="1" t="s">
        <v>61</v>
      </c>
      <c r="AC76" s="1"/>
      <c r="AD76" s="1" t="s">
        <v>52</v>
      </c>
      <c r="AE76" s="1"/>
      <c r="AF76" s="1">
        <v>46137</v>
      </c>
      <c r="AG76" s="1">
        <v>46137</v>
      </c>
      <c r="AH76" s="1">
        <v>46138</v>
      </c>
      <c r="AI76" s="1">
        <v>0</v>
      </c>
      <c r="AJ76" s="1">
        <v>17.79</v>
      </c>
      <c r="AK76" s="1" t="s">
        <v>46</v>
      </c>
      <c r="AL76" s="1">
        <v>35.58</v>
      </c>
      <c r="AM76" s="1" t="s">
        <v>417</v>
      </c>
      <c r="AN76" s="1">
        <v>4216025</v>
      </c>
      <c r="AO76" s="1"/>
      <c r="AP76" s="12" t="s">
        <v>418</v>
      </c>
      <c r="AQ76" s="13">
        <v>0</v>
      </c>
      <c r="AR76" s="1" t="s">
        <v>62</v>
      </c>
      <c r="AS76" s="1" t="s">
        <v>54</v>
      </c>
    </row>
    <row r="77" spans="1:46" x14ac:dyDescent="0.35">
      <c r="A77" s="11">
        <v>46125</v>
      </c>
      <c r="B77" s="1" t="s">
        <v>205</v>
      </c>
      <c r="C77" s="1" t="s">
        <v>81</v>
      </c>
      <c r="D77" s="1">
        <v>14077711</v>
      </c>
      <c r="E77" s="1" t="s">
        <v>129</v>
      </c>
      <c r="F77" s="1">
        <v>300</v>
      </c>
      <c r="G77" s="1" t="s">
        <v>43</v>
      </c>
      <c r="H77" s="1" t="s">
        <v>44</v>
      </c>
      <c r="I77" s="1" t="s">
        <v>45</v>
      </c>
      <c r="J77" s="1" t="s">
        <v>45</v>
      </c>
      <c r="K77" s="11">
        <v>46084</v>
      </c>
      <c r="L77" s="1" t="s">
        <v>82</v>
      </c>
      <c r="M77" s="1">
        <v>0.73</v>
      </c>
      <c r="N77" s="1" t="s">
        <v>56</v>
      </c>
      <c r="O77" s="1">
        <v>100</v>
      </c>
      <c r="P77" s="1" t="s">
        <v>43</v>
      </c>
      <c r="Q77" s="1">
        <v>1207</v>
      </c>
      <c r="R77" s="1">
        <v>500</v>
      </c>
      <c r="S77" s="1">
        <v>4500893861</v>
      </c>
      <c r="T77" s="1" t="s">
        <v>108</v>
      </c>
      <c r="U77" s="1" t="s">
        <v>84</v>
      </c>
      <c r="V77" s="1" t="s">
        <v>47</v>
      </c>
      <c r="W77" s="1" t="s">
        <v>84</v>
      </c>
      <c r="X77" s="1" t="s">
        <v>49</v>
      </c>
      <c r="Y77" s="1">
        <v>0</v>
      </c>
      <c r="Z77" s="1" t="s">
        <v>194</v>
      </c>
      <c r="AA77" s="1" t="s">
        <v>96</v>
      </c>
      <c r="AB77" s="1" t="s">
        <v>83</v>
      </c>
      <c r="AC77" s="1"/>
      <c r="AD77" s="1" t="s">
        <v>52</v>
      </c>
      <c r="AE77" s="1"/>
      <c r="AF77" s="1">
        <v>46128</v>
      </c>
      <c r="AG77" s="1">
        <v>46125</v>
      </c>
      <c r="AH77" s="1">
        <v>46157</v>
      </c>
      <c r="AI77" s="1">
        <v>29</v>
      </c>
      <c r="AJ77" s="1">
        <v>0.03</v>
      </c>
      <c r="AK77" s="1" t="s">
        <v>46</v>
      </c>
      <c r="AL77" s="1">
        <v>9</v>
      </c>
      <c r="AM77" s="1"/>
      <c r="AN77" s="1"/>
      <c r="AO77" s="1"/>
      <c r="AP77" s="12" t="s">
        <v>206</v>
      </c>
      <c r="AQ77" s="13">
        <v>-12</v>
      </c>
      <c r="AR77" s="1" t="s">
        <v>53</v>
      </c>
      <c r="AS77" s="1" t="s">
        <v>54</v>
      </c>
    </row>
    <row r="78" spans="1:46" x14ac:dyDescent="0.35">
      <c r="A78" s="39">
        <v>46139</v>
      </c>
      <c r="B78" s="40" t="s">
        <v>474</v>
      </c>
      <c r="C78" s="40" t="s">
        <v>42</v>
      </c>
      <c r="D78" s="40">
        <v>14075085</v>
      </c>
      <c r="E78" s="40" t="s">
        <v>475</v>
      </c>
      <c r="F78" s="40">
        <v>100</v>
      </c>
      <c r="G78" s="40" t="s">
        <v>43</v>
      </c>
      <c r="H78" s="40" t="s">
        <v>55</v>
      </c>
      <c r="I78" s="40" t="s">
        <v>45</v>
      </c>
      <c r="J78" s="40" t="s">
        <v>45</v>
      </c>
      <c r="K78" s="39">
        <v>46133</v>
      </c>
      <c r="L78" s="40" t="s">
        <v>240</v>
      </c>
      <c r="M78" s="40">
        <v>2.35</v>
      </c>
      <c r="N78" s="40" t="s">
        <v>56</v>
      </c>
      <c r="O78" s="40">
        <v>1</v>
      </c>
      <c r="P78" s="40" t="s">
        <v>43</v>
      </c>
      <c r="Q78" s="40">
        <v>1606</v>
      </c>
      <c r="R78" s="40">
        <v>40</v>
      </c>
      <c r="S78" s="40">
        <v>4500902481</v>
      </c>
      <c r="T78" s="40" t="s">
        <v>261</v>
      </c>
      <c r="U78" s="40" t="s">
        <v>468</v>
      </c>
      <c r="V78" s="40" t="s">
        <v>57</v>
      </c>
      <c r="W78" s="40" t="s">
        <v>97</v>
      </c>
      <c r="X78" s="40" t="s">
        <v>293</v>
      </c>
      <c r="Y78" s="40">
        <v>0</v>
      </c>
      <c r="Z78" s="40" t="s">
        <v>50</v>
      </c>
      <c r="AA78" s="40" t="s">
        <v>60</v>
      </c>
      <c r="AB78" s="40" t="s">
        <v>51</v>
      </c>
      <c r="AC78" s="40"/>
      <c r="AD78" s="40" t="s">
        <v>52</v>
      </c>
      <c r="AE78" s="40"/>
      <c r="AF78" s="40">
        <v>46139</v>
      </c>
      <c r="AG78" s="40">
        <v>46139</v>
      </c>
      <c r="AH78" s="40">
        <v>46139</v>
      </c>
      <c r="AI78" s="40">
        <v>0</v>
      </c>
      <c r="AJ78" s="40">
        <v>8.17</v>
      </c>
      <c r="AK78" s="40" t="s">
        <v>46</v>
      </c>
      <c r="AL78" s="40">
        <v>817</v>
      </c>
      <c r="AM78" s="40"/>
      <c r="AN78" s="40"/>
      <c r="AO78" s="40"/>
      <c r="AP78" s="41" t="s">
        <v>476</v>
      </c>
      <c r="AQ78" s="42">
        <v>2</v>
      </c>
      <c r="AR78" s="40" t="s">
        <v>62</v>
      </c>
      <c r="AS78" s="40" t="s">
        <v>54</v>
      </c>
      <c r="AT78" s="28">
        <v>4500903748</v>
      </c>
    </row>
    <row r="79" spans="1:46" ht="16" customHeight="1" x14ac:dyDescent="0.35">
      <c r="A79" s="24"/>
      <c r="B79" s="21"/>
      <c r="C79" s="21"/>
      <c r="D79" s="21"/>
      <c r="E79" s="21"/>
      <c r="F79" s="21"/>
      <c r="G79" s="21"/>
      <c r="H79" s="21"/>
      <c r="I79" s="21"/>
      <c r="J79" s="21"/>
      <c r="K79" s="24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6"/>
      <c r="AQ79" s="27"/>
      <c r="AR79" s="21"/>
      <c r="AS79" s="21"/>
    </row>
    <row r="80" spans="1:46" x14ac:dyDescent="0.35">
      <c r="A80" s="24"/>
      <c r="B80" s="21"/>
      <c r="C80" s="21"/>
      <c r="D80" s="21"/>
      <c r="E80" s="21"/>
      <c r="F80" s="21"/>
      <c r="G80" s="21"/>
      <c r="H80" s="21"/>
      <c r="I80" s="21"/>
      <c r="J80" s="21"/>
      <c r="K80" s="24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6"/>
      <c r="AQ80" s="27"/>
      <c r="AR80" s="21"/>
      <c r="AS80" s="21"/>
    </row>
    <row r="81" spans="1:49" x14ac:dyDescent="0.35">
      <c r="A81" s="24"/>
      <c r="B81" s="21"/>
      <c r="C81" s="21"/>
      <c r="D81" s="21"/>
      <c r="E81" s="21"/>
      <c r="F81" s="21"/>
      <c r="G81" s="21"/>
      <c r="H81" s="21"/>
      <c r="I81" s="21"/>
      <c r="J81" s="21"/>
      <c r="K81" s="24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6"/>
      <c r="AQ81" s="27"/>
      <c r="AR81" s="21"/>
      <c r="AS81" s="21"/>
    </row>
    <row r="82" spans="1:49" x14ac:dyDescent="0.35">
      <c r="A82" s="24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6"/>
      <c r="AQ82" s="27"/>
      <c r="AR82" s="21"/>
      <c r="AS82" s="21"/>
    </row>
    <row r="83" spans="1:49" x14ac:dyDescent="0.35">
      <c r="A83" s="24"/>
      <c r="B83" s="21"/>
      <c r="C83" s="21"/>
      <c r="D83" s="21"/>
      <c r="E83" s="21"/>
      <c r="F83" s="21"/>
      <c r="G83" s="21"/>
      <c r="H83" s="21"/>
      <c r="I83" s="21"/>
      <c r="J83" s="21"/>
      <c r="K83" s="24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6"/>
      <c r="AQ83" s="27"/>
      <c r="AR83" s="21"/>
      <c r="AS83" s="21"/>
    </row>
    <row r="84" spans="1:49" x14ac:dyDescent="0.35">
      <c r="A84" s="24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6"/>
      <c r="AQ84" s="27"/>
      <c r="AR84" s="21"/>
      <c r="AS84" s="21"/>
    </row>
    <row r="85" spans="1:49" x14ac:dyDescent="0.35">
      <c r="A85" s="24"/>
      <c r="B85" s="21"/>
      <c r="C85" s="21"/>
      <c r="D85" s="21"/>
      <c r="E85" s="21"/>
      <c r="F85" s="21"/>
      <c r="G85" s="21"/>
      <c r="H85" s="21"/>
      <c r="I85" s="21"/>
      <c r="J85" s="21"/>
      <c r="K85" s="24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6"/>
      <c r="AQ85" s="27"/>
      <c r="AR85" s="21"/>
      <c r="AS85" s="21"/>
    </row>
    <row r="86" spans="1:49" x14ac:dyDescent="0.35">
      <c r="A86" s="24"/>
      <c r="B86" s="21"/>
      <c r="C86" s="21"/>
      <c r="D86" s="21"/>
      <c r="E86" s="21"/>
      <c r="F86" s="21"/>
      <c r="G86" s="21"/>
      <c r="H86" s="21"/>
      <c r="I86" s="21"/>
      <c r="J86" s="21"/>
      <c r="K86" s="24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6"/>
      <c r="AQ86" s="27"/>
      <c r="AR86" s="21"/>
      <c r="AS86" s="21"/>
    </row>
    <row r="87" spans="1:49" x14ac:dyDescent="0.35">
      <c r="A87" s="24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6"/>
      <c r="AQ87" s="27"/>
      <c r="AR87" s="21"/>
      <c r="AS87" s="21"/>
    </row>
    <row r="88" spans="1:49" x14ac:dyDescent="0.35">
      <c r="A88" s="24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6"/>
      <c r="AQ88" s="27"/>
      <c r="AR88" s="21"/>
      <c r="AS88" s="21"/>
    </row>
    <row r="89" spans="1:49" x14ac:dyDescent="0.35">
      <c r="A89" s="24"/>
      <c r="B89" s="21"/>
      <c r="C89" s="21"/>
      <c r="D89" s="21"/>
      <c r="E89" s="21"/>
      <c r="F89" s="21"/>
      <c r="G89" s="21"/>
      <c r="H89" s="21"/>
      <c r="I89" s="21"/>
      <c r="J89" s="21"/>
      <c r="K89" s="24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6"/>
      <c r="AQ89" s="27"/>
      <c r="AR89" s="21"/>
      <c r="AS89" s="21"/>
    </row>
    <row r="90" spans="1:49" s="23" customFormat="1" x14ac:dyDescent="0.3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4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6"/>
      <c r="AQ90" s="27"/>
      <c r="AR90" s="21"/>
      <c r="AS90" s="21"/>
      <c r="AT90" s="64"/>
      <c r="AU90" s="22"/>
      <c r="AV90" s="22"/>
      <c r="AW90" s="22"/>
    </row>
    <row r="91" spans="1:49" x14ac:dyDescent="0.35">
      <c r="A91" s="24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6"/>
      <c r="AQ91" s="27"/>
      <c r="AR91" s="21"/>
      <c r="AS91" s="21"/>
    </row>
    <row r="92" spans="1:49" s="23" customFormat="1" x14ac:dyDescent="0.35">
      <c r="A92" s="24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6"/>
      <c r="AQ92" s="27"/>
      <c r="AR92" s="21"/>
      <c r="AS92" s="21"/>
      <c r="AT92" s="28"/>
      <c r="AU92" s="22"/>
      <c r="AV92" s="22"/>
      <c r="AW92" s="22"/>
    </row>
    <row r="93" spans="1:49" s="23" customFormat="1" x14ac:dyDescent="0.35">
      <c r="A93" s="24"/>
      <c r="B93" s="21"/>
      <c r="C93" s="21"/>
      <c r="D93" s="21"/>
      <c r="E93" s="21"/>
      <c r="F93" s="21"/>
      <c r="G93" s="21"/>
      <c r="H93" s="21"/>
      <c r="I93" s="21"/>
      <c r="J93" s="21"/>
      <c r="K93" s="24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6"/>
      <c r="AQ93" s="27"/>
      <c r="AR93" s="21"/>
      <c r="AS93" s="21"/>
      <c r="AT93" s="64"/>
      <c r="AU93" s="22"/>
      <c r="AV93" s="22"/>
      <c r="AW93" s="22"/>
    </row>
    <row r="94" spans="1:49" x14ac:dyDescent="0.35">
      <c r="A94" s="24"/>
      <c r="B94" s="21"/>
      <c r="C94" s="21"/>
      <c r="D94" s="21"/>
      <c r="E94" s="21"/>
      <c r="F94" s="21"/>
      <c r="G94" s="21"/>
      <c r="H94" s="21"/>
      <c r="I94" s="21"/>
      <c r="J94" s="21"/>
      <c r="K94" s="24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6"/>
      <c r="AQ94" s="27"/>
      <c r="AR94" s="21"/>
      <c r="AS94" s="21"/>
    </row>
    <row r="95" spans="1:49" x14ac:dyDescent="0.35">
      <c r="A95" s="24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6"/>
      <c r="AQ95" s="27"/>
      <c r="AR95" s="21"/>
      <c r="AS95" s="21"/>
    </row>
    <row r="96" spans="1:49" x14ac:dyDescent="0.35">
      <c r="A96" s="24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6"/>
      <c r="AQ96" s="27"/>
      <c r="AR96" s="21"/>
      <c r="AS96" s="21"/>
      <c r="AT96" s="64"/>
    </row>
    <row r="97" spans="1:49" x14ac:dyDescent="0.35">
      <c r="A97" s="24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6"/>
      <c r="AQ97" s="27"/>
      <c r="AR97" s="21"/>
      <c r="AS97" s="21"/>
    </row>
    <row r="98" spans="1:49" x14ac:dyDescent="0.35">
      <c r="A98" s="24"/>
      <c r="B98" s="21"/>
      <c r="C98" s="21"/>
      <c r="D98" s="21"/>
      <c r="E98" s="21"/>
      <c r="F98" s="21"/>
      <c r="G98" s="21"/>
      <c r="H98" s="21"/>
      <c r="I98" s="21"/>
      <c r="J98" s="21"/>
      <c r="K98" s="24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6"/>
      <c r="AQ98" s="27"/>
      <c r="AR98" s="21"/>
      <c r="AS98" s="21"/>
    </row>
    <row r="99" spans="1:49" x14ac:dyDescent="0.35">
      <c r="A99" s="24"/>
      <c r="B99" s="21"/>
      <c r="C99" s="21"/>
      <c r="D99" s="21"/>
      <c r="E99" s="21"/>
      <c r="F99" s="21"/>
      <c r="G99" s="21"/>
      <c r="H99" s="21"/>
      <c r="I99" s="21"/>
      <c r="J99" s="21"/>
      <c r="K99" s="24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6"/>
      <c r="AQ99" s="27"/>
      <c r="AR99" s="21"/>
      <c r="AS99" s="21"/>
    </row>
    <row r="100" spans="1:49" s="23" customFormat="1" x14ac:dyDescent="0.35">
      <c r="A100" s="24"/>
      <c r="B100" s="21"/>
      <c r="C100" s="21"/>
      <c r="D100" s="21"/>
      <c r="E100" s="21"/>
      <c r="F100" s="21"/>
      <c r="G100" s="21"/>
      <c r="H100" s="21"/>
      <c r="I100" s="21"/>
      <c r="J100" s="21"/>
      <c r="K100" s="24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6"/>
      <c r="AQ100" s="27"/>
      <c r="AR100" s="21"/>
      <c r="AS100" s="21"/>
      <c r="AT100" s="28"/>
      <c r="AU100" s="22"/>
      <c r="AV100" s="22"/>
      <c r="AW100" s="22"/>
    </row>
    <row r="101" spans="1:49" x14ac:dyDescent="0.35">
      <c r="A101" s="24"/>
      <c r="B101" s="21"/>
      <c r="C101" s="21"/>
      <c r="D101" s="21"/>
      <c r="E101" s="21"/>
      <c r="F101" s="21"/>
      <c r="G101" s="21"/>
      <c r="H101" s="21"/>
      <c r="I101" s="21"/>
      <c r="J101" s="21"/>
      <c r="K101" s="24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6"/>
      <c r="AQ101" s="27"/>
      <c r="AR101" s="21"/>
      <c r="AS101" s="21"/>
    </row>
    <row r="102" spans="1:49" x14ac:dyDescent="0.35">
      <c r="A102" s="24"/>
      <c r="B102" s="21"/>
      <c r="C102" s="21"/>
      <c r="D102" s="21"/>
      <c r="E102" s="21"/>
      <c r="F102" s="21"/>
      <c r="G102" s="21"/>
      <c r="H102" s="21"/>
      <c r="I102" s="21"/>
      <c r="J102" s="21"/>
      <c r="K102" s="24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6"/>
      <c r="AQ102" s="27"/>
      <c r="AR102" s="21"/>
      <c r="AS102" s="21"/>
    </row>
    <row r="103" spans="1:49" x14ac:dyDescent="0.35">
      <c r="A103" s="24"/>
      <c r="B103" s="21"/>
      <c r="C103" s="21"/>
      <c r="D103" s="21"/>
      <c r="E103" s="21"/>
      <c r="F103" s="21"/>
      <c r="G103" s="21"/>
      <c r="H103" s="21"/>
      <c r="I103" s="21"/>
      <c r="J103" s="21"/>
      <c r="K103" s="24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6"/>
      <c r="AQ103" s="27"/>
      <c r="AR103" s="21"/>
      <c r="AS103" s="21"/>
    </row>
    <row r="104" spans="1:49" x14ac:dyDescent="0.35">
      <c r="A104" s="24"/>
      <c r="B104" s="21"/>
      <c r="C104" s="21"/>
      <c r="D104" s="21"/>
      <c r="E104" s="21"/>
      <c r="F104" s="21"/>
      <c r="G104" s="21"/>
      <c r="H104" s="21"/>
      <c r="I104" s="21"/>
      <c r="J104" s="21"/>
      <c r="K104" s="24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6"/>
      <c r="AQ104" s="27"/>
      <c r="AR104" s="21"/>
      <c r="AS104" s="21"/>
    </row>
    <row r="105" spans="1:49" x14ac:dyDescent="0.35">
      <c r="A105" s="24"/>
      <c r="B105" s="21"/>
      <c r="C105" s="21"/>
      <c r="D105" s="21"/>
      <c r="E105" s="21"/>
      <c r="F105" s="21"/>
      <c r="G105" s="21"/>
      <c r="H105" s="21"/>
      <c r="I105" s="21"/>
      <c r="J105" s="21"/>
      <c r="K105" s="24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6"/>
      <c r="AQ105" s="27"/>
      <c r="AR105" s="21"/>
      <c r="AS105" s="21"/>
    </row>
    <row r="106" spans="1:49" x14ac:dyDescent="0.35">
      <c r="A106" s="24"/>
      <c r="B106" s="21"/>
      <c r="C106" s="21"/>
      <c r="D106" s="21"/>
      <c r="E106" s="21"/>
      <c r="F106" s="21"/>
      <c r="G106" s="21"/>
      <c r="H106" s="21"/>
      <c r="I106" s="21"/>
      <c r="J106" s="21"/>
      <c r="K106" s="24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6"/>
      <c r="AQ106" s="27"/>
      <c r="AR106" s="21"/>
      <c r="AS106" s="21"/>
    </row>
    <row r="107" spans="1:49" s="23" customFormat="1" x14ac:dyDescent="0.35">
      <c r="A107" s="24"/>
      <c r="B107" s="21"/>
      <c r="C107" s="21"/>
      <c r="D107" s="21"/>
      <c r="E107" s="21"/>
      <c r="F107" s="21"/>
      <c r="G107" s="21"/>
      <c r="H107" s="21"/>
      <c r="I107" s="21"/>
      <c r="J107" s="21"/>
      <c r="K107" s="24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6"/>
      <c r="AQ107" s="27"/>
      <c r="AR107" s="21"/>
      <c r="AS107" s="21"/>
      <c r="AT107" s="64"/>
      <c r="AU107" s="22"/>
      <c r="AV107" s="22"/>
      <c r="AW107" s="22"/>
    </row>
    <row r="108" spans="1:49" s="23" customFormat="1" x14ac:dyDescent="0.35">
      <c r="A108" s="24"/>
      <c r="B108" s="21"/>
      <c r="C108" s="21"/>
      <c r="D108" s="21"/>
      <c r="E108" s="21"/>
      <c r="F108" s="21"/>
      <c r="G108" s="21"/>
      <c r="H108" s="21"/>
      <c r="I108" s="21"/>
      <c r="J108" s="21"/>
      <c r="K108" s="24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6"/>
      <c r="AQ108" s="27"/>
      <c r="AR108" s="21"/>
      <c r="AS108" s="21"/>
      <c r="AT108" s="28"/>
      <c r="AU108" s="22"/>
      <c r="AV108" s="22"/>
      <c r="AW108" s="22"/>
    </row>
    <row r="109" spans="1:49" x14ac:dyDescent="0.35">
      <c r="A109" s="24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6"/>
      <c r="AQ109" s="27"/>
      <c r="AR109" s="21"/>
      <c r="AS109" s="21"/>
    </row>
    <row r="110" spans="1:49" x14ac:dyDescent="0.35">
      <c r="A110" s="24"/>
      <c r="B110" s="21"/>
      <c r="C110" s="21"/>
      <c r="D110" s="21"/>
      <c r="E110" s="21"/>
      <c r="F110" s="21"/>
      <c r="G110" s="21"/>
      <c r="H110" s="21"/>
      <c r="I110" s="21"/>
      <c r="J110" s="21"/>
      <c r="K110" s="24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6"/>
      <c r="AQ110" s="27"/>
      <c r="AR110" s="21"/>
      <c r="AS110" s="21"/>
    </row>
    <row r="111" spans="1:49" x14ac:dyDescent="0.35">
      <c r="A111" s="24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6"/>
      <c r="AQ111" s="27"/>
      <c r="AR111" s="21"/>
      <c r="AS111" s="21"/>
    </row>
    <row r="112" spans="1:49" x14ac:dyDescent="0.35">
      <c r="A112" s="24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6"/>
      <c r="AQ112" s="27"/>
      <c r="AR112" s="21"/>
      <c r="AS112" s="21"/>
    </row>
    <row r="113" spans="1:46" x14ac:dyDescent="0.35">
      <c r="A113" s="24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6"/>
      <c r="AQ113" s="27"/>
      <c r="AR113" s="21"/>
      <c r="AS113" s="21"/>
    </row>
    <row r="114" spans="1:46" x14ac:dyDescent="0.35">
      <c r="A114" s="24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6"/>
      <c r="AQ114" s="27"/>
      <c r="AR114" s="21"/>
      <c r="AS114" s="21"/>
    </row>
    <row r="115" spans="1:46" x14ac:dyDescent="0.35">
      <c r="A115" s="24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6"/>
      <c r="AQ115" s="27"/>
      <c r="AR115" s="21"/>
      <c r="AS115" s="21"/>
    </row>
    <row r="116" spans="1:46" x14ac:dyDescent="0.35">
      <c r="A116" s="24"/>
      <c r="B116" s="21"/>
      <c r="C116" s="21"/>
      <c r="D116" s="21"/>
      <c r="E116" s="21"/>
      <c r="F116" s="21"/>
      <c r="G116" s="21"/>
      <c r="H116" s="21"/>
      <c r="I116" s="21"/>
      <c r="J116" s="21"/>
      <c r="K116" s="24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6"/>
      <c r="AQ116" s="27"/>
      <c r="AR116" s="21"/>
      <c r="AS116" s="21"/>
    </row>
    <row r="117" spans="1:46" x14ac:dyDescent="0.35">
      <c r="A117" s="24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6"/>
      <c r="AQ117" s="27"/>
      <c r="AR117" s="21"/>
      <c r="AS117" s="21"/>
      <c r="AT117" s="64"/>
    </row>
    <row r="118" spans="1:46" x14ac:dyDescent="0.35">
      <c r="A118" s="24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6"/>
      <c r="AQ118" s="27"/>
      <c r="AR118" s="21"/>
      <c r="AS118" s="21"/>
    </row>
    <row r="119" spans="1:46" x14ac:dyDescent="0.35">
      <c r="A119" s="24"/>
      <c r="B119" s="21"/>
      <c r="C119" s="21"/>
      <c r="D119" s="21"/>
      <c r="E119" s="21"/>
      <c r="F119" s="21"/>
      <c r="G119" s="21"/>
      <c r="H119" s="21"/>
      <c r="I119" s="21"/>
      <c r="J119" s="21"/>
      <c r="K119" s="24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6"/>
      <c r="AQ119" s="27"/>
      <c r="AR119" s="21"/>
      <c r="AS119" s="21"/>
    </row>
    <row r="120" spans="1:46" x14ac:dyDescent="0.35">
      <c r="A120" s="24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6"/>
      <c r="AQ120" s="27"/>
      <c r="AR120" s="21"/>
      <c r="AS120" s="21"/>
    </row>
    <row r="121" spans="1:46" x14ac:dyDescent="0.35">
      <c r="A121" s="24"/>
      <c r="B121" s="21"/>
      <c r="C121" s="21"/>
      <c r="D121" s="21"/>
      <c r="E121" s="21"/>
      <c r="F121" s="21"/>
      <c r="G121" s="21"/>
      <c r="H121" s="21"/>
      <c r="I121" s="21"/>
      <c r="J121" s="21"/>
      <c r="K121" s="24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6"/>
      <c r="AQ121" s="27"/>
      <c r="AR121" s="21"/>
      <c r="AS121" s="21"/>
    </row>
    <row r="122" spans="1:46" x14ac:dyDescent="0.35">
      <c r="A122" s="24"/>
      <c r="B122" s="21"/>
      <c r="C122" s="21"/>
      <c r="D122" s="21"/>
      <c r="E122" s="21"/>
      <c r="F122" s="21"/>
      <c r="G122" s="21"/>
      <c r="H122" s="21"/>
      <c r="I122" s="21"/>
      <c r="J122" s="21"/>
      <c r="K122" s="24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6"/>
      <c r="AQ122" s="27"/>
      <c r="AR122" s="21"/>
      <c r="AS122" s="21"/>
    </row>
    <row r="123" spans="1:46" x14ac:dyDescent="0.35">
      <c r="A123" s="24"/>
      <c r="B123" s="21"/>
      <c r="C123" s="21"/>
      <c r="D123" s="21"/>
      <c r="E123" s="21"/>
      <c r="F123" s="21"/>
      <c r="G123" s="21"/>
      <c r="H123" s="21"/>
      <c r="I123" s="21"/>
      <c r="J123" s="21"/>
      <c r="K123" s="24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6"/>
      <c r="AQ123" s="27"/>
      <c r="AR123" s="21"/>
      <c r="AS123" s="21"/>
    </row>
    <row r="124" spans="1:46" ht="15.5" customHeight="1" x14ac:dyDescent="0.35">
      <c r="A124" s="24"/>
      <c r="B124" s="21"/>
      <c r="C124" s="21"/>
      <c r="D124" s="21"/>
      <c r="E124" s="21"/>
      <c r="F124" s="21"/>
      <c r="G124" s="21"/>
      <c r="H124" s="21"/>
      <c r="I124" s="21"/>
      <c r="J124" s="21"/>
      <c r="K124" s="24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6"/>
      <c r="AQ124" s="27"/>
      <c r="AR124" s="21"/>
      <c r="AS124" s="21"/>
    </row>
    <row r="125" spans="1:46" x14ac:dyDescent="0.35">
      <c r="A125" s="24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6"/>
      <c r="AQ125" s="27"/>
      <c r="AR125" s="21"/>
      <c r="AS125" s="21"/>
      <c r="AT125" s="64"/>
    </row>
    <row r="126" spans="1:46" x14ac:dyDescent="0.35">
      <c r="A126" s="24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6"/>
      <c r="AQ126" s="27"/>
      <c r="AR126" s="21"/>
      <c r="AS126" s="21"/>
    </row>
    <row r="127" spans="1:46" x14ac:dyDescent="0.35">
      <c r="A127" s="24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6"/>
      <c r="AQ127" s="27"/>
      <c r="AR127" s="21"/>
      <c r="AS127" s="21"/>
    </row>
    <row r="128" spans="1:46" x14ac:dyDescent="0.35">
      <c r="A128" s="24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6"/>
      <c r="AQ128" s="27"/>
      <c r="AR128" s="21"/>
      <c r="AS128" s="21"/>
    </row>
    <row r="129" spans="1:45" ht="18.5" customHeight="1" x14ac:dyDescent="0.35">
      <c r="A129" s="24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6"/>
      <c r="AQ129" s="27"/>
      <c r="AR129" s="21"/>
      <c r="AS129" s="21"/>
    </row>
    <row r="130" spans="1:45" x14ac:dyDescent="0.35">
      <c r="A130" s="24"/>
      <c r="B130" s="21"/>
      <c r="C130" s="21"/>
      <c r="D130" s="21"/>
      <c r="E130" s="21"/>
      <c r="F130" s="21"/>
      <c r="G130" s="21"/>
      <c r="H130" s="21"/>
      <c r="I130" s="21"/>
      <c r="J130" s="21"/>
      <c r="K130" s="24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6"/>
      <c r="AQ130" s="27"/>
      <c r="AR130" s="21"/>
      <c r="AS130" s="21"/>
    </row>
    <row r="131" spans="1:45" x14ac:dyDescent="0.35">
      <c r="A131" s="24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6"/>
      <c r="AQ131" s="27"/>
      <c r="AR131" s="21"/>
      <c r="AS131" s="21"/>
    </row>
    <row r="132" spans="1:45" x14ac:dyDescent="0.35">
      <c r="A132" s="24"/>
      <c r="B132" s="21"/>
      <c r="C132" s="21"/>
      <c r="D132" s="21"/>
      <c r="E132" s="21"/>
      <c r="F132" s="21"/>
      <c r="G132" s="21"/>
      <c r="H132" s="21"/>
      <c r="I132" s="21"/>
      <c r="J132" s="21"/>
      <c r="K132" s="24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6"/>
      <c r="AQ132" s="27"/>
      <c r="AR132" s="21"/>
      <c r="AS132" s="21"/>
    </row>
    <row r="133" spans="1:45" x14ac:dyDescent="0.35">
      <c r="A133" s="24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6"/>
      <c r="AQ133" s="27"/>
      <c r="AR133" s="21"/>
      <c r="AS133" s="21"/>
    </row>
    <row r="134" spans="1:45" x14ac:dyDescent="0.35">
      <c r="A134" s="24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6"/>
      <c r="AQ134" s="27"/>
      <c r="AR134" s="21"/>
      <c r="AS134" s="21"/>
    </row>
    <row r="135" spans="1:45" x14ac:dyDescent="0.35">
      <c r="A135" s="24"/>
      <c r="B135" s="21"/>
      <c r="C135" s="21"/>
      <c r="D135" s="21"/>
      <c r="E135" s="21"/>
      <c r="F135" s="21"/>
      <c r="G135" s="21"/>
      <c r="H135" s="21"/>
      <c r="I135" s="21"/>
      <c r="J135" s="21"/>
      <c r="K135" s="24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6"/>
      <c r="AQ135" s="27"/>
      <c r="AR135" s="21"/>
      <c r="AS135" s="21"/>
    </row>
    <row r="136" spans="1:45" x14ac:dyDescent="0.35">
      <c r="A136" s="24"/>
      <c r="B136" s="21"/>
      <c r="C136" s="21"/>
      <c r="D136" s="21"/>
      <c r="E136" s="21"/>
      <c r="F136" s="21"/>
      <c r="G136" s="21"/>
      <c r="H136" s="21"/>
      <c r="I136" s="21"/>
      <c r="J136" s="21"/>
      <c r="K136" s="24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6"/>
      <c r="AQ136" s="27"/>
      <c r="AR136" s="21"/>
      <c r="AS136" s="21"/>
    </row>
    <row r="137" spans="1:45" ht="15" customHeight="1" x14ac:dyDescent="0.35">
      <c r="A137" s="24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6"/>
      <c r="AQ137" s="27"/>
      <c r="AR137" s="21"/>
      <c r="AS137" s="21"/>
    </row>
    <row r="138" spans="1:45" x14ac:dyDescent="0.35">
      <c r="A138" s="24"/>
      <c r="B138" s="21"/>
      <c r="C138" s="21"/>
      <c r="D138" s="21"/>
      <c r="E138" s="21"/>
      <c r="F138" s="21"/>
      <c r="G138" s="21"/>
      <c r="H138" s="21"/>
      <c r="I138" s="21"/>
      <c r="J138" s="21"/>
      <c r="K138" s="24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6"/>
      <c r="AQ138" s="27"/>
      <c r="AR138" s="21"/>
      <c r="AS138" s="21"/>
    </row>
    <row r="139" spans="1:45" x14ac:dyDescent="0.35">
      <c r="A139" s="24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6"/>
      <c r="AQ139" s="27"/>
      <c r="AR139" s="21"/>
      <c r="AS139" s="21"/>
    </row>
    <row r="140" spans="1:45" ht="32.5" customHeight="1" x14ac:dyDescent="0.35">
      <c r="A140" s="24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6"/>
      <c r="AQ140" s="27"/>
      <c r="AR140" s="21"/>
      <c r="AS140" s="21"/>
    </row>
    <row r="141" spans="1:45" x14ac:dyDescent="0.35">
      <c r="A141" s="24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6"/>
      <c r="AQ141" s="27"/>
      <c r="AR141" s="21"/>
      <c r="AS141" s="21"/>
    </row>
    <row r="142" spans="1:45" x14ac:dyDescent="0.35">
      <c r="A142" s="24"/>
      <c r="B142" s="21"/>
      <c r="C142" s="21"/>
      <c r="D142" s="21"/>
      <c r="E142" s="21"/>
      <c r="F142" s="21"/>
      <c r="G142" s="21"/>
      <c r="H142" s="21"/>
      <c r="I142" s="21"/>
      <c r="J142" s="21"/>
      <c r="K142" s="24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6"/>
      <c r="AQ142" s="27"/>
      <c r="AR142" s="21"/>
      <c r="AS142" s="21"/>
    </row>
    <row r="143" spans="1:45" x14ac:dyDescent="0.35">
      <c r="A143" s="24"/>
      <c r="B143" s="21"/>
      <c r="C143" s="21"/>
      <c r="D143" s="21"/>
      <c r="E143" s="21"/>
      <c r="F143" s="21"/>
      <c r="G143" s="21"/>
      <c r="H143" s="21"/>
      <c r="I143" s="21"/>
      <c r="J143" s="21"/>
      <c r="K143" s="24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6"/>
      <c r="AQ143" s="27"/>
      <c r="AR143" s="21"/>
      <c r="AS143" s="21"/>
    </row>
    <row r="144" spans="1:45" x14ac:dyDescent="0.35">
      <c r="A144" s="24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6"/>
      <c r="AQ144" s="27"/>
      <c r="AR144" s="21"/>
      <c r="AS144" s="21"/>
    </row>
    <row r="145" spans="1:45" x14ac:dyDescent="0.35">
      <c r="A145" s="24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6"/>
      <c r="AQ145" s="27"/>
      <c r="AR145" s="21"/>
      <c r="AS145" s="21"/>
    </row>
    <row r="146" spans="1:45" x14ac:dyDescent="0.35">
      <c r="A146" s="24"/>
      <c r="B146" s="21"/>
      <c r="C146" s="21"/>
      <c r="D146" s="21"/>
      <c r="E146" s="21"/>
      <c r="F146" s="21"/>
      <c r="G146" s="21"/>
      <c r="H146" s="21"/>
      <c r="I146" s="21"/>
      <c r="J146" s="21"/>
      <c r="K146" s="24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6"/>
      <c r="AQ146" s="27"/>
      <c r="AR146" s="21"/>
      <c r="AS146" s="21"/>
    </row>
    <row r="147" spans="1:45" x14ac:dyDescent="0.35">
      <c r="A147" s="24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6"/>
      <c r="AQ147" s="27"/>
      <c r="AR147" s="21"/>
      <c r="AS147" s="21"/>
    </row>
    <row r="148" spans="1:45" x14ac:dyDescent="0.35">
      <c r="A148" s="24"/>
      <c r="B148" s="21"/>
      <c r="C148" s="21"/>
      <c r="D148" s="21"/>
      <c r="E148" s="21"/>
      <c r="F148" s="21"/>
      <c r="G148" s="21"/>
      <c r="H148" s="21"/>
      <c r="I148" s="21"/>
      <c r="J148" s="21"/>
      <c r="K148" s="24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6"/>
      <c r="AQ148" s="27"/>
      <c r="AR148" s="21"/>
      <c r="AS148" s="21"/>
    </row>
    <row r="149" spans="1:45" x14ac:dyDescent="0.35">
      <c r="A149" s="24"/>
      <c r="B149" s="21"/>
      <c r="C149" s="21"/>
      <c r="D149" s="21"/>
      <c r="E149" s="21"/>
      <c r="F149" s="21"/>
      <c r="G149" s="21"/>
      <c r="H149" s="21"/>
      <c r="I149" s="21"/>
      <c r="J149" s="21"/>
      <c r="K149" s="24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6"/>
      <c r="AQ149" s="27"/>
      <c r="AR149" s="21"/>
      <c r="AS149" s="21"/>
    </row>
    <row r="150" spans="1:45" x14ac:dyDescent="0.35">
      <c r="A150" s="24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6"/>
      <c r="AQ150" s="27"/>
      <c r="AR150" s="21"/>
      <c r="AS150" s="21"/>
    </row>
    <row r="151" spans="1:45" x14ac:dyDescent="0.35">
      <c r="A151" s="24"/>
      <c r="B151" s="21"/>
      <c r="C151" s="21"/>
      <c r="D151" s="21"/>
      <c r="E151" s="21"/>
      <c r="F151" s="21"/>
      <c r="G151" s="21"/>
      <c r="H151" s="21"/>
      <c r="I151" s="21"/>
      <c r="J151" s="21"/>
      <c r="K151" s="24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6"/>
      <c r="AQ151" s="27"/>
      <c r="AR151" s="21"/>
      <c r="AS151" s="21"/>
    </row>
    <row r="152" spans="1:45" x14ac:dyDescent="0.35">
      <c r="A152" s="24"/>
      <c r="B152" s="21"/>
      <c r="C152" s="21"/>
      <c r="D152" s="21"/>
      <c r="E152" s="21"/>
      <c r="F152" s="21"/>
      <c r="G152" s="21"/>
      <c r="H152" s="21"/>
      <c r="I152" s="21"/>
      <c r="J152" s="21"/>
      <c r="K152" s="24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6"/>
      <c r="AQ152" s="27"/>
      <c r="AR152" s="21"/>
      <c r="AS152" s="21"/>
    </row>
    <row r="153" spans="1:45" x14ac:dyDescent="0.35">
      <c r="A153" s="24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6"/>
      <c r="AQ153" s="27"/>
      <c r="AR153" s="21"/>
      <c r="AS153" s="21"/>
    </row>
    <row r="154" spans="1:45" x14ac:dyDescent="0.35">
      <c r="A154" s="24"/>
      <c r="B154" s="21"/>
      <c r="C154" s="21"/>
      <c r="D154" s="21"/>
      <c r="E154" s="21"/>
      <c r="F154" s="21"/>
      <c r="G154" s="21"/>
      <c r="H154" s="21"/>
      <c r="I154" s="21"/>
      <c r="J154" s="21"/>
      <c r="K154" s="24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6"/>
      <c r="AQ154" s="27"/>
      <c r="AR154" s="21"/>
      <c r="AS154" s="21"/>
    </row>
    <row r="155" spans="1:45" x14ac:dyDescent="0.35">
      <c r="A155" s="24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6"/>
      <c r="AQ155" s="27"/>
      <c r="AR155" s="21"/>
      <c r="AS155" s="21"/>
    </row>
    <row r="156" spans="1:45" x14ac:dyDescent="0.35">
      <c r="A156" s="24"/>
      <c r="B156" s="21"/>
      <c r="C156" s="21"/>
      <c r="D156" s="21"/>
      <c r="E156" s="21"/>
      <c r="F156" s="21"/>
      <c r="G156" s="21"/>
      <c r="H156" s="21"/>
      <c r="I156" s="21"/>
      <c r="J156" s="21"/>
      <c r="K156" s="24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6"/>
      <c r="AQ156" s="27"/>
      <c r="AR156" s="21"/>
      <c r="AS156" s="21"/>
    </row>
    <row r="157" spans="1:45" x14ac:dyDescent="0.35">
      <c r="A157" s="24"/>
      <c r="B157" s="21"/>
      <c r="C157" s="21"/>
      <c r="D157" s="21"/>
      <c r="E157" s="21"/>
      <c r="F157" s="21"/>
      <c r="G157" s="21"/>
      <c r="H157" s="21"/>
      <c r="I157" s="21"/>
      <c r="J157" s="21"/>
      <c r="K157" s="24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6"/>
      <c r="AQ157" s="27"/>
      <c r="AR157" s="21"/>
      <c r="AS157" s="21"/>
    </row>
    <row r="158" spans="1:45" x14ac:dyDescent="0.35">
      <c r="A158" s="24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6"/>
      <c r="AQ158" s="27"/>
      <c r="AR158" s="21"/>
      <c r="AS158" s="21"/>
    </row>
    <row r="159" spans="1:45" x14ac:dyDescent="0.35">
      <c r="A159" s="24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6"/>
      <c r="AQ159" s="27"/>
      <c r="AR159" s="21"/>
      <c r="AS159" s="21"/>
    </row>
    <row r="160" spans="1:45" x14ac:dyDescent="0.35">
      <c r="A160" s="24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6"/>
      <c r="AQ160" s="27"/>
      <c r="AR160" s="21"/>
      <c r="AS160" s="21"/>
    </row>
    <row r="161" spans="1:45" x14ac:dyDescent="0.35">
      <c r="A161" s="24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6"/>
      <c r="AQ161" s="27"/>
      <c r="AR161" s="21"/>
      <c r="AS161" s="21"/>
    </row>
    <row r="162" spans="1:45" x14ac:dyDescent="0.35">
      <c r="A162" s="24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6"/>
      <c r="AQ162" s="27"/>
      <c r="AR162" s="21"/>
      <c r="AS162" s="21"/>
    </row>
    <row r="163" spans="1:45" x14ac:dyDescent="0.35">
      <c r="A163" s="31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21"/>
      <c r="AP163" s="26"/>
      <c r="AQ163" s="27"/>
      <c r="AR163" s="21"/>
      <c r="AS163" s="21"/>
    </row>
    <row r="164" spans="1:45" x14ac:dyDescent="0.35">
      <c r="A164" s="24"/>
      <c r="B164" s="21"/>
      <c r="C164" s="21"/>
      <c r="D164" s="21"/>
      <c r="E164" s="21"/>
      <c r="F164" s="21"/>
      <c r="G164" s="21"/>
      <c r="H164" s="21"/>
      <c r="I164" s="21"/>
      <c r="J164" s="21"/>
      <c r="K164" s="24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6"/>
      <c r="AQ164" s="27"/>
      <c r="AR164" s="21"/>
      <c r="AS164" s="21"/>
    </row>
    <row r="165" spans="1:45" x14ac:dyDescent="0.35">
      <c r="A165" s="24"/>
      <c r="B165" s="21"/>
      <c r="C165" s="21"/>
      <c r="D165" s="21"/>
      <c r="E165" s="21"/>
      <c r="F165" s="21"/>
      <c r="G165" s="21"/>
      <c r="H165" s="21"/>
      <c r="I165" s="21"/>
      <c r="J165" s="21"/>
      <c r="K165" s="24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6"/>
      <c r="AQ165" s="27"/>
      <c r="AR165" s="21"/>
      <c r="AS165" s="21"/>
    </row>
    <row r="166" spans="1:45" x14ac:dyDescent="0.35">
      <c r="A166" s="24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6"/>
      <c r="AQ166" s="27"/>
      <c r="AR166" s="21"/>
      <c r="AS166" s="21"/>
    </row>
    <row r="167" spans="1:45" x14ac:dyDescent="0.35">
      <c r="A167" s="24"/>
      <c r="B167" s="21"/>
      <c r="C167" s="21"/>
      <c r="D167" s="21"/>
      <c r="E167" s="21"/>
      <c r="F167" s="21"/>
      <c r="G167" s="21"/>
      <c r="H167" s="21"/>
      <c r="I167" s="21"/>
      <c r="J167" s="21"/>
      <c r="K167" s="24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6"/>
      <c r="AQ167" s="27"/>
      <c r="AR167" s="21"/>
      <c r="AS167" s="21"/>
    </row>
    <row r="168" spans="1:45" x14ac:dyDescent="0.35">
      <c r="A168" s="24"/>
      <c r="B168" s="21"/>
      <c r="C168" s="21"/>
      <c r="D168" s="21"/>
      <c r="E168" s="21"/>
      <c r="F168" s="21"/>
      <c r="G168" s="21"/>
      <c r="H168" s="21"/>
      <c r="I168" s="21"/>
      <c r="J168" s="21"/>
      <c r="K168" s="24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6"/>
      <c r="AQ168" s="27"/>
      <c r="AR168" s="21"/>
      <c r="AS168" s="21"/>
    </row>
    <row r="169" spans="1:45" x14ac:dyDescent="0.35">
      <c r="A169" s="24"/>
      <c r="B169" s="21"/>
      <c r="C169" s="21"/>
      <c r="D169" s="21"/>
      <c r="E169" s="21"/>
      <c r="F169" s="21"/>
      <c r="G169" s="21"/>
      <c r="H169" s="21"/>
      <c r="I169" s="21"/>
      <c r="J169" s="21"/>
      <c r="K169" s="24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6"/>
      <c r="AQ169" s="27"/>
      <c r="AR169" s="21"/>
      <c r="AS169" s="21"/>
    </row>
    <row r="170" spans="1:45" x14ac:dyDescent="0.35">
      <c r="A170" s="24"/>
      <c r="B170" s="21"/>
      <c r="C170" s="21"/>
      <c r="D170" s="21"/>
      <c r="E170" s="21"/>
      <c r="F170" s="21"/>
      <c r="G170" s="21"/>
      <c r="H170" s="21"/>
      <c r="I170" s="21"/>
      <c r="J170" s="21"/>
      <c r="K170" s="24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6"/>
      <c r="AQ170" s="27"/>
      <c r="AR170" s="21"/>
      <c r="AS170" s="21"/>
    </row>
    <row r="171" spans="1:45" x14ac:dyDescent="0.35">
      <c r="A171" s="24"/>
      <c r="B171" s="21"/>
      <c r="C171" s="21"/>
      <c r="D171" s="21"/>
      <c r="E171" s="21"/>
      <c r="F171" s="21"/>
      <c r="G171" s="21"/>
      <c r="H171" s="21"/>
      <c r="I171" s="21"/>
      <c r="J171" s="21"/>
      <c r="K171" s="24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6"/>
      <c r="AQ171" s="27"/>
      <c r="AR171" s="21"/>
      <c r="AS171" s="21"/>
    </row>
    <row r="172" spans="1:45" x14ac:dyDescent="0.35">
      <c r="A172" s="24"/>
      <c r="B172" s="21"/>
      <c r="C172" s="21"/>
      <c r="D172" s="21"/>
      <c r="E172" s="21"/>
      <c r="F172" s="21"/>
      <c r="G172" s="21"/>
      <c r="H172" s="21"/>
      <c r="I172" s="21"/>
      <c r="J172" s="21"/>
      <c r="K172" s="24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6"/>
      <c r="AQ172" s="27"/>
      <c r="AR172" s="21"/>
      <c r="AS172" s="21"/>
    </row>
    <row r="173" spans="1:45" x14ac:dyDescent="0.35">
      <c r="A173" s="24"/>
      <c r="B173" s="21"/>
      <c r="C173" s="21"/>
      <c r="D173" s="21"/>
      <c r="E173" s="21"/>
      <c r="F173" s="21"/>
      <c r="G173" s="21"/>
      <c r="H173" s="21"/>
      <c r="I173" s="21"/>
      <c r="J173" s="21"/>
      <c r="K173" s="24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6"/>
      <c r="AQ173" s="27"/>
      <c r="AR173" s="21"/>
      <c r="AS173" s="21"/>
    </row>
    <row r="174" spans="1:45" x14ac:dyDescent="0.35">
      <c r="A174" s="24"/>
      <c r="B174" s="21"/>
      <c r="C174" s="21"/>
      <c r="D174" s="21"/>
      <c r="E174" s="21"/>
      <c r="F174" s="21"/>
      <c r="G174" s="21"/>
      <c r="H174" s="21"/>
      <c r="I174" s="21"/>
      <c r="J174" s="21"/>
      <c r="K174" s="24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6"/>
      <c r="AQ174" s="27"/>
      <c r="AR174" s="21"/>
      <c r="AS174" s="21"/>
    </row>
    <row r="175" spans="1:45" x14ac:dyDescent="0.35">
      <c r="A175" s="24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6"/>
      <c r="AQ175" s="27"/>
      <c r="AR175" s="21"/>
      <c r="AS175" s="21"/>
    </row>
    <row r="176" spans="1:45" x14ac:dyDescent="0.35">
      <c r="A176" s="24"/>
      <c r="B176" s="21"/>
      <c r="C176" s="21"/>
      <c r="D176" s="21"/>
      <c r="E176" s="21"/>
      <c r="F176" s="21"/>
      <c r="G176" s="21"/>
      <c r="H176" s="21"/>
      <c r="I176" s="21"/>
      <c r="J176" s="21"/>
      <c r="K176" s="24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6"/>
      <c r="AQ176" s="27"/>
      <c r="AR176" s="21"/>
      <c r="AS176" s="21"/>
    </row>
    <row r="177" spans="1:45" x14ac:dyDescent="0.35">
      <c r="A177" s="24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6"/>
      <c r="AQ177" s="27"/>
      <c r="AR177" s="21"/>
      <c r="AS177" s="21"/>
    </row>
    <row r="178" spans="1:45" x14ac:dyDescent="0.35">
      <c r="A178" s="24"/>
      <c r="B178" s="21"/>
      <c r="C178" s="21"/>
      <c r="D178" s="21"/>
      <c r="E178" s="21"/>
      <c r="F178" s="21"/>
      <c r="G178" s="21"/>
      <c r="H178" s="21"/>
      <c r="I178" s="21"/>
      <c r="J178" s="21"/>
      <c r="K178" s="24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6"/>
      <c r="AQ178" s="27"/>
      <c r="AR178" s="21"/>
      <c r="AS178" s="21"/>
    </row>
    <row r="179" spans="1:45" x14ac:dyDescent="0.35">
      <c r="A179" s="24"/>
      <c r="B179" s="21"/>
      <c r="C179" s="21"/>
      <c r="D179" s="21"/>
      <c r="E179" s="21"/>
      <c r="F179" s="21"/>
      <c r="G179" s="21"/>
      <c r="H179" s="21"/>
      <c r="I179" s="21"/>
      <c r="J179" s="21"/>
      <c r="K179" s="24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6"/>
      <c r="AQ179" s="27"/>
      <c r="AR179" s="21"/>
      <c r="AS179" s="21"/>
    </row>
    <row r="180" spans="1:45" x14ac:dyDescent="0.35">
      <c r="A180" s="24"/>
      <c r="B180" s="21"/>
      <c r="C180" s="21"/>
      <c r="D180" s="21"/>
      <c r="E180" s="21"/>
      <c r="F180" s="21"/>
      <c r="G180" s="21"/>
      <c r="H180" s="21"/>
      <c r="I180" s="21"/>
      <c r="J180" s="21"/>
      <c r="K180" s="24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6"/>
      <c r="AQ180" s="27"/>
      <c r="AR180" s="21"/>
      <c r="AS180" s="21"/>
    </row>
    <row r="181" spans="1:45" x14ac:dyDescent="0.35">
      <c r="A181" s="24"/>
      <c r="B181" s="21"/>
      <c r="C181" s="21"/>
      <c r="D181" s="21"/>
      <c r="E181" s="21"/>
      <c r="F181" s="21"/>
      <c r="G181" s="21"/>
      <c r="H181" s="21"/>
      <c r="I181" s="21"/>
      <c r="J181" s="21"/>
      <c r="K181" s="24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6"/>
      <c r="AQ181" s="27"/>
      <c r="AR181" s="21"/>
      <c r="AS181" s="21"/>
    </row>
    <row r="182" spans="1:45" x14ac:dyDescent="0.35">
      <c r="A182" s="24"/>
      <c r="B182" s="21"/>
      <c r="C182" s="21"/>
      <c r="D182" s="21"/>
      <c r="E182" s="21"/>
      <c r="F182" s="21"/>
      <c r="G182" s="21"/>
      <c r="H182" s="21"/>
      <c r="I182" s="21"/>
      <c r="J182" s="21"/>
      <c r="K182" s="24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6"/>
      <c r="AQ182" s="27"/>
      <c r="AR182" s="21"/>
      <c r="AS182" s="21"/>
    </row>
    <row r="183" spans="1:45" x14ac:dyDescent="0.35">
      <c r="A183" s="24"/>
      <c r="B183" s="21"/>
      <c r="C183" s="21"/>
      <c r="D183" s="21"/>
      <c r="E183" s="21"/>
      <c r="F183" s="21"/>
      <c r="G183" s="21"/>
      <c r="H183" s="21"/>
      <c r="I183" s="21"/>
      <c r="J183" s="21"/>
      <c r="K183" s="24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6"/>
      <c r="AQ183" s="27"/>
      <c r="AR183" s="21"/>
      <c r="AS183" s="21"/>
    </row>
    <row r="184" spans="1:45" x14ac:dyDescent="0.35">
      <c r="A184" s="24"/>
      <c r="B184" s="21"/>
      <c r="C184" s="21"/>
      <c r="D184" s="21"/>
      <c r="E184" s="21"/>
      <c r="F184" s="21"/>
      <c r="G184" s="21"/>
      <c r="H184" s="21"/>
      <c r="I184" s="21"/>
      <c r="J184" s="21"/>
      <c r="K184" s="24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6"/>
      <c r="AQ184" s="27"/>
      <c r="AR184" s="21"/>
      <c r="AS184" s="21"/>
    </row>
    <row r="185" spans="1:45" x14ac:dyDescent="0.35">
      <c r="A185" s="24"/>
      <c r="B185" s="21"/>
      <c r="C185" s="21"/>
      <c r="D185" s="21"/>
      <c r="E185" s="21"/>
      <c r="F185" s="21"/>
      <c r="G185" s="21"/>
      <c r="H185" s="21"/>
      <c r="I185" s="21"/>
      <c r="J185" s="21"/>
      <c r="K185" s="24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6"/>
      <c r="AQ185" s="27"/>
      <c r="AR185" s="21"/>
      <c r="AS185" s="21"/>
    </row>
    <row r="186" spans="1:45" x14ac:dyDescent="0.35">
      <c r="A186" s="24"/>
      <c r="B186" s="21"/>
      <c r="C186" s="21"/>
      <c r="D186" s="21"/>
      <c r="E186" s="21"/>
      <c r="F186" s="21"/>
      <c r="G186" s="21"/>
      <c r="H186" s="21"/>
      <c r="I186" s="21"/>
      <c r="J186" s="21"/>
      <c r="K186" s="24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6"/>
      <c r="AQ186" s="27"/>
      <c r="AR186" s="21"/>
      <c r="AS186" s="21"/>
    </row>
    <row r="187" spans="1:45" x14ac:dyDescent="0.35">
      <c r="A187" s="24"/>
      <c r="B187" s="21"/>
      <c r="C187" s="21"/>
      <c r="D187" s="21"/>
      <c r="E187" s="21"/>
      <c r="F187" s="21"/>
      <c r="G187" s="21"/>
      <c r="H187" s="21"/>
      <c r="I187" s="21"/>
      <c r="J187" s="21"/>
      <c r="K187" s="24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6"/>
      <c r="AQ187" s="27"/>
      <c r="AR187" s="21"/>
      <c r="AS187" s="21"/>
    </row>
    <row r="188" spans="1:45" x14ac:dyDescent="0.35">
      <c r="A188" s="24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6"/>
      <c r="AQ188" s="27"/>
      <c r="AR188" s="21"/>
      <c r="AS188" s="21"/>
    </row>
    <row r="189" spans="1:45" x14ac:dyDescent="0.35">
      <c r="A189" s="24"/>
      <c r="B189" s="21"/>
      <c r="C189" s="21"/>
      <c r="D189" s="21"/>
      <c r="E189" s="21"/>
      <c r="F189" s="21"/>
      <c r="G189" s="21"/>
      <c r="H189" s="21"/>
      <c r="I189" s="21"/>
      <c r="J189" s="21"/>
      <c r="K189" s="24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6"/>
      <c r="AQ189" s="27"/>
      <c r="AR189" s="21"/>
      <c r="AS189" s="21"/>
    </row>
    <row r="190" spans="1:45" x14ac:dyDescent="0.35">
      <c r="A190" s="24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6"/>
      <c r="AQ190" s="27"/>
      <c r="AR190" s="21"/>
      <c r="AS190" s="21"/>
    </row>
    <row r="191" spans="1:45" x14ac:dyDescent="0.35">
      <c r="A191" s="24"/>
      <c r="B191" s="21"/>
      <c r="C191" s="21"/>
      <c r="D191" s="21"/>
      <c r="E191" s="21"/>
      <c r="F191" s="21"/>
      <c r="G191" s="21"/>
      <c r="H191" s="21"/>
      <c r="I191" s="21"/>
      <c r="J191" s="21"/>
      <c r="K191" s="24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6"/>
      <c r="AQ191" s="27"/>
      <c r="AR191" s="21"/>
      <c r="AS191" s="21"/>
    </row>
    <row r="192" spans="1:45" x14ac:dyDescent="0.35">
      <c r="A192" s="24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6"/>
      <c r="AQ192" s="27"/>
      <c r="AR192" s="21"/>
      <c r="AS192" s="21"/>
    </row>
    <row r="193" spans="1:45" x14ac:dyDescent="0.35">
      <c r="A193" s="24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6"/>
      <c r="AQ193" s="27"/>
      <c r="AR193" s="21"/>
      <c r="AS193" s="21"/>
    </row>
    <row r="194" spans="1:45" x14ac:dyDescent="0.35">
      <c r="A194" s="24"/>
      <c r="B194" s="21"/>
      <c r="C194" s="21"/>
      <c r="D194" s="21"/>
      <c r="E194" s="21"/>
      <c r="F194" s="21"/>
      <c r="G194" s="21"/>
      <c r="H194" s="21"/>
      <c r="I194" s="21"/>
      <c r="J194" s="21"/>
      <c r="K194" s="24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6"/>
      <c r="AQ194" s="27"/>
      <c r="AR194" s="21"/>
      <c r="AS194" s="21"/>
    </row>
    <row r="195" spans="1:45" x14ac:dyDescent="0.35">
      <c r="A195" s="24"/>
      <c r="B195" s="21"/>
      <c r="C195" s="21"/>
      <c r="D195" s="21"/>
      <c r="E195" s="21"/>
      <c r="F195" s="21"/>
      <c r="G195" s="21"/>
      <c r="H195" s="21"/>
      <c r="I195" s="21"/>
      <c r="J195" s="21"/>
      <c r="K195" s="24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6"/>
      <c r="AQ195" s="27"/>
      <c r="AR195" s="21"/>
      <c r="AS195" s="21"/>
    </row>
    <row r="196" spans="1:45" x14ac:dyDescent="0.35">
      <c r="A196" s="24"/>
      <c r="B196" s="21"/>
      <c r="C196" s="21"/>
      <c r="D196" s="21"/>
      <c r="E196" s="21"/>
      <c r="F196" s="21"/>
      <c r="G196" s="21"/>
      <c r="H196" s="21"/>
      <c r="I196" s="21"/>
      <c r="J196" s="21"/>
      <c r="K196" s="24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6"/>
      <c r="AQ196" s="27"/>
      <c r="AR196" s="21"/>
      <c r="AS196" s="21"/>
    </row>
    <row r="197" spans="1:45" x14ac:dyDescent="0.35">
      <c r="A197" s="24"/>
      <c r="B197" s="21"/>
      <c r="C197" s="21"/>
      <c r="D197" s="21"/>
      <c r="E197" s="21"/>
      <c r="F197" s="21"/>
      <c r="G197" s="21"/>
      <c r="H197" s="21"/>
      <c r="I197" s="21"/>
      <c r="J197" s="21"/>
      <c r="K197" s="24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6"/>
      <c r="AQ197" s="27"/>
      <c r="AR197" s="21"/>
      <c r="AS197" s="21"/>
    </row>
    <row r="198" spans="1:45" x14ac:dyDescent="0.35">
      <c r="A198" s="24"/>
      <c r="B198" s="21"/>
      <c r="C198" s="21"/>
      <c r="D198" s="21"/>
      <c r="E198" s="21"/>
      <c r="F198" s="21"/>
      <c r="G198" s="21"/>
      <c r="H198" s="21"/>
      <c r="I198" s="21"/>
      <c r="J198" s="21"/>
      <c r="K198" s="24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6"/>
      <c r="AQ198" s="27"/>
      <c r="AR198" s="21"/>
      <c r="AS198" s="21"/>
    </row>
    <row r="199" spans="1:45" x14ac:dyDescent="0.35">
      <c r="A199" s="24"/>
      <c r="B199" s="21"/>
      <c r="C199" s="21"/>
      <c r="D199" s="21"/>
      <c r="E199" s="21"/>
      <c r="F199" s="21"/>
      <c r="G199" s="21"/>
      <c r="H199" s="21"/>
      <c r="I199" s="21"/>
      <c r="J199" s="21"/>
      <c r="K199" s="24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6"/>
      <c r="AQ199" s="27"/>
      <c r="AR199" s="21"/>
      <c r="AS199" s="21"/>
    </row>
    <row r="200" spans="1:45" x14ac:dyDescent="0.35">
      <c r="A200" s="24"/>
      <c r="B200" s="21"/>
      <c r="C200" s="21"/>
      <c r="D200" s="21"/>
      <c r="E200" s="21"/>
      <c r="F200" s="21"/>
      <c r="G200" s="21"/>
      <c r="H200" s="21"/>
      <c r="I200" s="21"/>
      <c r="J200" s="21"/>
      <c r="K200" s="24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6"/>
      <c r="AQ200" s="27"/>
      <c r="AR200" s="21"/>
      <c r="AS200" s="21"/>
    </row>
    <row r="201" spans="1:45" x14ac:dyDescent="0.35">
      <c r="A201" s="24"/>
      <c r="B201" s="21"/>
      <c r="C201" s="21"/>
      <c r="D201" s="21"/>
      <c r="E201" s="21"/>
      <c r="F201" s="21"/>
      <c r="G201" s="21"/>
      <c r="H201" s="21"/>
      <c r="I201" s="21"/>
      <c r="J201" s="21"/>
      <c r="K201" s="24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6"/>
      <c r="AQ201" s="27"/>
      <c r="AR201" s="21"/>
      <c r="AS201" s="21"/>
    </row>
    <row r="202" spans="1:45" x14ac:dyDescent="0.35">
      <c r="A202" s="24"/>
      <c r="B202" s="21"/>
      <c r="C202" s="21"/>
      <c r="D202" s="21"/>
      <c r="E202" s="21"/>
      <c r="F202" s="21"/>
      <c r="G202" s="21"/>
      <c r="H202" s="21"/>
      <c r="I202" s="21"/>
      <c r="J202" s="21"/>
      <c r="K202" s="24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6"/>
      <c r="AQ202" s="27"/>
      <c r="AR202" s="21"/>
      <c r="AS202" s="21"/>
    </row>
    <row r="203" spans="1:45" x14ac:dyDescent="0.35">
      <c r="A203" s="24"/>
      <c r="B203" s="21"/>
      <c r="C203" s="21"/>
      <c r="D203" s="21"/>
      <c r="E203" s="21"/>
      <c r="F203" s="21"/>
      <c r="G203" s="21"/>
      <c r="H203" s="21"/>
      <c r="I203" s="21"/>
      <c r="J203" s="21"/>
      <c r="K203" s="24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6"/>
      <c r="AQ203" s="27"/>
      <c r="AR203" s="21"/>
      <c r="AS203" s="21"/>
    </row>
    <row r="204" spans="1:45" x14ac:dyDescent="0.35">
      <c r="A204" s="24"/>
      <c r="B204" s="21"/>
      <c r="C204" s="21"/>
      <c r="D204" s="21"/>
      <c r="E204" s="21"/>
      <c r="F204" s="21"/>
      <c r="G204" s="21"/>
      <c r="H204" s="21"/>
      <c r="I204" s="21"/>
      <c r="J204" s="21"/>
      <c r="K204" s="24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6"/>
      <c r="AQ204" s="27"/>
      <c r="AR204" s="21"/>
      <c r="AS204" s="21"/>
    </row>
    <row r="205" spans="1:45" x14ac:dyDescent="0.35">
      <c r="A205" s="24"/>
      <c r="B205" s="21"/>
      <c r="C205" s="21"/>
      <c r="D205" s="21"/>
      <c r="E205" s="21"/>
      <c r="F205" s="21"/>
      <c r="G205" s="21"/>
      <c r="H205" s="21"/>
      <c r="I205" s="21"/>
      <c r="J205" s="21"/>
      <c r="K205" s="24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6"/>
      <c r="AQ205" s="27"/>
      <c r="AR205" s="21"/>
      <c r="AS205" s="21"/>
    </row>
    <row r="206" spans="1:45" x14ac:dyDescent="0.35">
      <c r="A206" s="24"/>
      <c r="B206" s="21"/>
      <c r="C206" s="21"/>
      <c r="D206" s="21"/>
      <c r="E206" s="21"/>
      <c r="F206" s="21"/>
      <c r="G206" s="21"/>
      <c r="H206" s="21"/>
      <c r="I206" s="21"/>
      <c r="J206" s="21"/>
      <c r="K206" s="24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6"/>
      <c r="AQ206" s="27"/>
      <c r="AR206" s="21"/>
      <c r="AS206" s="21"/>
    </row>
    <row r="207" spans="1:45" x14ac:dyDescent="0.35">
      <c r="A207" s="24"/>
      <c r="B207" s="21"/>
      <c r="C207" s="21"/>
      <c r="D207" s="21"/>
      <c r="E207" s="21"/>
      <c r="F207" s="21"/>
      <c r="G207" s="21"/>
      <c r="H207" s="21"/>
      <c r="I207" s="21"/>
      <c r="J207" s="21"/>
      <c r="K207" s="24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6"/>
      <c r="AQ207" s="27"/>
      <c r="AR207" s="21"/>
      <c r="AS207" s="21"/>
    </row>
    <row r="208" spans="1:45" x14ac:dyDescent="0.35">
      <c r="A208" s="24"/>
      <c r="B208" s="21"/>
      <c r="C208" s="21"/>
      <c r="D208" s="21"/>
      <c r="E208" s="21"/>
      <c r="F208" s="21"/>
      <c r="G208" s="21"/>
      <c r="H208" s="21"/>
      <c r="I208" s="21"/>
      <c r="J208" s="21"/>
      <c r="K208" s="24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6"/>
      <c r="AQ208" s="27"/>
      <c r="AR208" s="21"/>
      <c r="AS208" s="21"/>
    </row>
    <row r="209" spans="1:45" x14ac:dyDescent="0.35">
      <c r="A209" s="24"/>
      <c r="B209" s="21"/>
      <c r="C209" s="21"/>
      <c r="D209" s="21"/>
      <c r="E209" s="21"/>
      <c r="F209" s="21"/>
      <c r="G209" s="21"/>
      <c r="H209" s="21"/>
      <c r="I209" s="21"/>
      <c r="J209" s="21"/>
      <c r="K209" s="24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6"/>
      <c r="AQ209" s="27"/>
      <c r="AR209" s="21"/>
      <c r="AS209" s="21"/>
    </row>
    <row r="210" spans="1:45" x14ac:dyDescent="0.35">
      <c r="A210" s="24"/>
      <c r="B210" s="21"/>
      <c r="C210" s="21"/>
      <c r="D210" s="21"/>
      <c r="E210" s="21"/>
      <c r="F210" s="21"/>
      <c r="G210" s="21"/>
      <c r="H210" s="21"/>
      <c r="I210" s="21"/>
      <c r="J210" s="21"/>
      <c r="K210" s="24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6"/>
      <c r="AQ210" s="27"/>
      <c r="AR210" s="21"/>
      <c r="AS210" s="21"/>
    </row>
    <row r="211" spans="1:45" x14ac:dyDescent="0.35">
      <c r="A211" s="24"/>
      <c r="B211" s="21"/>
      <c r="C211" s="21"/>
      <c r="D211" s="21"/>
      <c r="E211" s="21"/>
      <c r="F211" s="21"/>
      <c r="G211" s="21"/>
      <c r="H211" s="21"/>
      <c r="I211" s="21"/>
      <c r="J211" s="21"/>
      <c r="K211" s="24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6"/>
      <c r="AQ211" s="27"/>
      <c r="AR211" s="21"/>
      <c r="AS211" s="21"/>
    </row>
    <row r="212" spans="1:45" x14ac:dyDescent="0.35">
      <c r="A212" s="24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6"/>
      <c r="AQ212" s="27"/>
      <c r="AR212" s="21"/>
      <c r="AS212" s="21"/>
    </row>
    <row r="213" spans="1:45" x14ac:dyDescent="0.35">
      <c r="A213" s="24"/>
      <c r="B213" s="21"/>
      <c r="C213" s="21"/>
      <c r="D213" s="21"/>
      <c r="E213" s="21"/>
      <c r="F213" s="21"/>
      <c r="G213" s="21"/>
      <c r="H213" s="21"/>
      <c r="I213" s="21"/>
      <c r="J213" s="21"/>
      <c r="K213" s="24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6"/>
      <c r="AQ213" s="27"/>
      <c r="AR213" s="21"/>
      <c r="AS213" s="21"/>
    </row>
    <row r="214" spans="1:45" x14ac:dyDescent="0.35">
      <c r="A214" s="24"/>
      <c r="B214" s="21"/>
      <c r="C214" s="21"/>
      <c r="D214" s="21"/>
      <c r="E214" s="21"/>
      <c r="F214" s="21"/>
      <c r="G214" s="21"/>
      <c r="H214" s="21"/>
      <c r="I214" s="21"/>
      <c r="J214" s="21"/>
      <c r="K214" s="24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6"/>
      <c r="AQ214" s="27"/>
      <c r="AR214" s="21"/>
      <c r="AS214" s="21"/>
    </row>
    <row r="215" spans="1:45" x14ac:dyDescent="0.35">
      <c r="A215" s="24"/>
      <c r="B215" s="21"/>
      <c r="C215" s="21"/>
      <c r="D215" s="21"/>
      <c r="E215" s="21"/>
      <c r="F215" s="21"/>
      <c r="G215" s="21"/>
      <c r="H215" s="21"/>
      <c r="I215" s="21"/>
      <c r="J215" s="21"/>
      <c r="K215" s="24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6"/>
      <c r="AQ215" s="27"/>
      <c r="AR215" s="21"/>
      <c r="AS215" s="21"/>
    </row>
    <row r="216" spans="1:45" x14ac:dyDescent="0.35">
      <c r="A216" s="24"/>
      <c r="B216" s="21"/>
      <c r="C216" s="21"/>
      <c r="D216" s="21"/>
      <c r="E216" s="21"/>
      <c r="F216" s="21"/>
      <c r="G216" s="21"/>
      <c r="H216" s="21"/>
      <c r="I216" s="21"/>
      <c r="J216" s="21"/>
      <c r="K216" s="24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6"/>
      <c r="AQ216" s="27"/>
      <c r="AR216" s="21"/>
      <c r="AS216" s="21"/>
    </row>
    <row r="217" spans="1:45" x14ac:dyDescent="0.35">
      <c r="A217" s="24"/>
      <c r="B217" s="21"/>
      <c r="C217" s="21"/>
      <c r="D217" s="21"/>
      <c r="E217" s="21"/>
      <c r="F217" s="21"/>
      <c r="G217" s="21"/>
      <c r="H217" s="21"/>
      <c r="I217" s="21"/>
      <c r="J217" s="21"/>
      <c r="K217" s="24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6"/>
      <c r="AQ217" s="27"/>
      <c r="AR217" s="21"/>
      <c r="AS217" s="21"/>
    </row>
    <row r="218" spans="1:45" x14ac:dyDescent="0.35">
      <c r="A218" s="24"/>
      <c r="B218" s="21"/>
      <c r="C218" s="21"/>
      <c r="D218" s="21"/>
      <c r="E218" s="21"/>
      <c r="F218" s="21"/>
      <c r="G218" s="21"/>
      <c r="H218" s="21"/>
      <c r="I218" s="21"/>
      <c r="J218" s="21"/>
      <c r="K218" s="24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6"/>
      <c r="AQ218" s="27"/>
      <c r="AR218" s="21"/>
      <c r="AS218" s="21"/>
    </row>
    <row r="219" spans="1:45" x14ac:dyDescent="0.35">
      <c r="A219" s="24"/>
      <c r="B219" s="21"/>
      <c r="C219" s="21"/>
      <c r="D219" s="21"/>
      <c r="E219" s="21"/>
      <c r="F219" s="21"/>
      <c r="G219" s="21"/>
      <c r="H219" s="21"/>
      <c r="I219" s="21"/>
      <c r="J219" s="21"/>
      <c r="K219" s="24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6"/>
      <c r="AQ219" s="27"/>
      <c r="AR219" s="21"/>
      <c r="AS219" s="21"/>
    </row>
    <row r="220" spans="1:45" x14ac:dyDescent="0.35">
      <c r="A220" s="24"/>
      <c r="B220" s="21"/>
      <c r="C220" s="21"/>
      <c r="D220" s="21"/>
      <c r="E220" s="21"/>
      <c r="F220" s="21"/>
      <c r="G220" s="21"/>
      <c r="H220" s="21"/>
      <c r="I220" s="21"/>
      <c r="J220" s="21"/>
      <c r="K220" s="24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6"/>
      <c r="AQ220" s="27"/>
      <c r="AR220" s="21"/>
      <c r="AS220" s="21"/>
    </row>
    <row r="221" spans="1:45" x14ac:dyDescent="0.35">
      <c r="A221" s="24"/>
      <c r="B221" s="21"/>
      <c r="C221" s="21"/>
      <c r="D221" s="21"/>
      <c r="E221" s="21"/>
      <c r="F221" s="21"/>
      <c r="G221" s="21"/>
      <c r="H221" s="21"/>
      <c r="I221" s="21"/>
      <c r="J221" s="21"/>
      <c r="K221" s="24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6"/>
      <c r="AQ221" s="27"/>
      <c r="AR221" s="21"/>
      <c r="AS221" s="21"/>
    </row>
    <row r="222" spans="1:45" x14ac:dyDescent="0.35">
      <c r="A222" s="24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6"/>
      <c r="AQ222" s="27"/>
      <c r="AR222" s="21"/>
      <c r="AS222" s="21"/>
    </row>
    <row r="223" spans="1:45" x14ac:dyDescent="0.35">
      <c r="A223" s="24"/>
      <c r="B223" s="21"/>
      <c r="C223" s="21"/>
      <c r="D223" s="21"/>
      <c r="E223" s="21"/>
      <c r="F223" s="21"/>
      <c r="G223" s="21"/>
      <c r="H223" s="21"/>
      <c r="I223" s="21"/>
      <c r="J223" s="21"/>
      <c r="K223" s="24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6"/>
      <c r="AQ223" s="27"/>
      <c r="AR223" s="21"/>
      <c r="AS223" s="21"/>
    </row>
    <row r="224" spans="1:45" x14ac:dyDescent="0.35">
      <c r="A224" s="24"/>
      <c r="B224" s="21"/>
      <c r="C224" s="21"/>
      <c r="D224" s="21"/>
      <c r="E224" s="21"/>
      <c r="F224" s="21"/>
      <c r="G224" s="21"/>
      <c r="H224" s="21"/>
      <c r="I224" s="21"/>
      <c r="J224" s="21"/>
      <c r="K224" s="24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6"/>
      <c r="AQ224" s="27"/>
      <c r="AR224" s="21"/>
      <c r="AS224" s="21"/>
    </row>
    <row r="225" spans="1:45" x14ac:dyDescent="0.35">
      <c r="A225" s="24"/>
      <c r="B225" s="21"/>
      <c r="C225" s="21"/>
      <c r="D225" s="21"/>
      <c r="E225" s="21"/>
      <c r="F225" s="21"/>
      <c r="G225" s="21"/>
      <c r="H225" s="21"/>
      <c r="I225" s="21"/>
      <c r="J225" s="21"/>
      <c r="K225" s="24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6"/>
      <c r="AQ225" s="27"/>
      <c r="AR225" s="21"/>
      <c r="AS225" s="21"/>
    </row>
    <row r="226" spans="1:45" x14ac:dyDescent="0.35">
      <c r="A226" s="24"/>
      <c r="B226" s="21"/>
      <c r="C226" s="21"/>
      <c r="D226" s="21"/>
      <c r="E226" s="21"/>
      <c r="F226" s="21"/>
      <c r="G226" s="21"/>
      <c r="H226" s="21"/>
      <c r="I226" s="21"/>
      <c r="J226" s="21"/>
      <c r="K226" s="24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6"/>
      <c r="AQ226" s="27"/>
      <c r="AR226" s="21"/>
      <c r="AS226" s="21"/>
    </row>
    <row r="227" spans="1:45" x14ac:dyDescent="0.35">
      <c r="A227" s="24"/>
      <c r="B227" s="21"/>
      <c r="C227" s="21"/>
      <c r="D227" s="21"/>
      <c r="E227" s="21"/>
      <c r="F227" s="21"/>
      <c r="G227" s="21"/>
      <c r="H227" s="21"/>
      <c r="I227" s="21"/>
      <c r="J227" s="21"/>
      <c r="K227" s="24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6"/>
      <c r="AQ227" s="27"/>
      <c r="AR227" s="21"/>
      <c r="AS227" s="21"/>
    </row>
    <row r="228" spans="1:45" x14ac:dyDescent="0.35">
      <c r="A228" s="24"/>
      <c r="B228" s="21"/>
      <c r="C228" s="21"/>
      <c r="D228" s="21"/>
      <c r="E228" s="21"/>
      <c r="F228" s="21"/>
      <c r="G228" s="21"/>
      <c r="H228" s="21"/>
      <c r="I228" s="21"/>
      <c r="J228" s="21"/>
      <c r="K228" s="24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6"/>
      <c r="AQ228" s="27"/>
      <c r="AR228" s="21"/>
      <c r="AS228" s="21"/>
    </row>
    <row r="229" spans="1:45" x14ac:dyDescent="0.35">
      <c r="A229" s="24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6"/>
      <c r="AQ229" s="27"/>
      <c r="AR229" s="21"/>
      <c r="AS229" s="21"/>
    </row>
    <row r="230" spans="1:45" x14ac:dyDescent="0.35">
      <c r="A230" s="24"/>
      <c r="B230" s="21"/>
      <c r="C230" s="21"/>
      <c r="D230" s="21"/>
      <c r="E230" s="21"/>
      <c r="F230" s="21"/>
      <c r="G230" s="21"/>
      <c r="H230" s="21"/>
      <c r="I230" s="21"/>
      <c r="J230" s="21"/>
      <c r="K230" s="24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6"/>
      <c r="AQ230" s="27"/>
      <c r="AR230" s="21"/>
      <c r="AS230" s="21"/>
    </row>
    <row r="231" spans="1:45" x14ac:dyDescent="0.35">
      <c r="A231" s="24"/>
      <c r="B231" s="21"/>
      <c r="C231" s="21"/>
      <c r="D231" s="21"/>
      <c r="E231" s="21"/>
      <c r="F231" s="21"/>
      <c r="G231" s="21"/>
      <c r="H231" s="21"/>
      <c r="I231" s="21"/>
      <c r="J231" s="21"/>
      <c r="K231" s="24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6"/>
      <c r="AQ231" s="27"/>
      <c r="AR231" s="21"/>
      <c r="AS231" s="21"/>
    </row>
    <row r="232" spans="1:45" x14ac:dyDescent="0.35">
      <c r="A232" s="24"/>
      <c r="B232" s="21"/>
      <c r="C232" s="21"/>
      <c r="D232" s="21"/>
      <c r="E232" s="21"/>
      <c r="F232" s="21"/>
      <c r="G232" s="21"/>
      <c r="H232" s="21"/>
      <c r="I232" s="21"/>
      <c r="J232" s="21"/>
      <c r="K232" s="24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6"/>
      <c r="AQ232" s="27"/>
      <c r="AR232" s="21"/>
      <c r="AS232" s="21"/>
    </row>
    <row r="233" spans="1:45" x14ac:dyDescent="0.35">
      <c r="A233" s="24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6"/>
      <c r="AQ233" s="27"/>
      <c r="AR233" s="21"/>
      <c r="AS233" s="21"/>
    </row>
    <row r="234" spans="1:45" x14ac:dyDescent="0.35">
      <c r="A234" s="24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6"/>
      <c r="AQ234" s="27"/>
      <c r="AR234" s="21"/>
      <c r="AS234" s="21"/>
    </row>
    <row r="235" spans="1:45" x14ac:dyDescent="0.35">
      <c r="A235" s="24"/>
      <c r="B235" s="21"/>
      <c r="C235" s="21"/>
      <c r="D235" s="21"/>
      <c r="E235" s="21"/>
      <c r="F235" s="21"/>
      <c r="G235" s="21"/>
      <c r="H235" s="21"/>
      <c r="I235" s="21"/>
      <c r="J235" s="21"/>
      <c r="K235" s="24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6"/>
      <c r="AQ235" s="27"/>
      <c r="AR235" s="21"/>
      <c r="AS235" s="21"/>
    </row>
    <row r="236" spans="1:45" x14ac:dyDescent="0.35">
      <c r="A236" s="24"/>
      <c r="B236" s="21"/>
      <c r="C236" s="21"/>
      <c r="D236" s="21"/>
      <c r="E236" s="21"/>
      <c r="F236" s="21"/>
      <c r="G236" s="21"/>
      <c r="H236" s="21"/>
      <c r="I236" s="21"/>
      <c r="J236" s="21"/>
      <c r="K236" s="24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6"/>
      <c r="AQ236" s="27"/>
      <c r="AR236" s="21"/>
      <c r="AS236" s="21"/>
    </row>
    <row r="237" spans="1:45" x14ac:dyDescent="0.35">
      <c r="A237" s="24"/>
      <c r="B237" s="21"/>
      <c r="C237" s="21"/>
      <c r="D237" s="21"/>
      <c r="E237" s="21"/>
      <c r="F237" s="21"/>
      <c r="G237" s="21"/>
      <c r="H237" s="21"/>
      <c r="I237" s="21"/>
      <c r="J237" s="21"/>
      <c r="K237" s="24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6"/>
      <c r="AQ237" s="27"/>
      <c r="AR237" s="21"/>
      <c r="AS237" s="21"/>
    </row>
    <row r="238" spans="1:45" x14ac:dyDescent="0.35">
      <c r="A238" s="24"/>
      <c r="B238" s="21"/>
      <c r="C238" s="21"/>
      <c r="D238" s="21"/>
      <c r="E238" s="21"/>
      <c r="F238" s="21"/>
      <c r="G238" s="21"/>
      <c r="H238" s="21"/>
      <c r="I238" s="21"/>
      <c r="J238" s="21"/>
      <c r="K238" s="24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6"/>
      <c r="AQ238" s="27"/>
      <c r="AR238" s="21"/>
      <c r="AS238" s="21"/>
    </row>
    <row r="239" spans="1:45" x14ac:dyDescent="0.35">
      <c r="A239" s="24"/>
      <c r="B239" s="21"/>
      <c r="C239" s="21"/>
      <c r="D239" s="21"/>
      <c r="E239" s="21"/>
      <c r="F239" s="21"/>
      <c r="G239" s="21"/>
      <c r="H239" s="21"/>
      <c r="I239" s="21"/>
      <c r="J239" s="21"/>
      <c r="K239" s="24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6"/>
      <c r="AQ239" s="27"/>
      <c r="AR239" s="21"/>
      <c r="AS239" s="21"/>
    </row>
    <row r="240" spans="1:45" x14ac:dyDescent="0.35">
      <c r="A240" s="24"/>
      <c r="B240" s="21"/>
      <c r="C240" s="21"/>
      <c r="D240" s="21"/>
      <c r="E240" s="21"/>
      <c r="F240" s="21"/>
      <c r="G240" s="21"/>
      <c r="H240" s="21"/>
      <c r="I240" s="21"/>
      <c r="J240" s="21"/>
      <c r="K240" s="24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6"/>
      <c r="AQ240" s="27"/>
      <c r="AR240" s="21"/>
      <c r="AS240" s="21"/>
    </row>
    <row r="241" spans="1:45" x14ac:dyDescent="0.35">
      <c r="A241" s="24"/>
      <c r="B241" s="21"/>
      <c r="C241" s="21"/>
      <c r="D241" s="21"/>
      <c r="E241" s="21"/>
      <c r="F241" s="21"/>
      <c r="G241" s="21"/>
      <c r="H241" s="21"/>
      <c r="I241" s="21"/>
      <c r="J241" s="21"/>
      <c r="K241" s="24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6"/>
      <c r="AQ241" s="27"/>
      <c r="AR241" s="21"/>
      <c r="AS241" s="21"/>
    </row>
    <row r="242" spans="1:45" x14ac:dyDescent="0.35">
      <c r="A242" s="24"/>
      <c r="B242" s="21"/>
      <c r="C242" s="21"/>
      <c r="D242" s="21"/>
      <c r="E242" s="21"/>
      <c r="F242" s="21"/>
      <c r="G242" s="21"/>
      <c r="H242" s="21"/>
      <c r="I242" s="21"/>
      <c r="J242" s="21"/>
      <c r="K242" s="24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6"/>
      <c r="AQ242" s="27"/>
      <c r="AR242" s="21"/>
      <c r="AS242" s="21"/>
    </row>
    <row r="243" spans="1:45" x14ac:dyDescent="0.35">
      <c r="A243" s="24"/>
      <c r="B243" s="21"/>
      <c r="C243" s="21"/>
      <c r="D243" s="21"/>
      <c r="E243" s="21"/>
      <c r="F243" s="21"/>
      <c r="G243" s="21"/>
      <c r="H243" s="21"/>
      <c r="I243" s="21"/>
      <c r="J243" s="21"/>
      <c r="K243" s="24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6"/>
      <c r="AQ243" s="27"/>
      <c r="AR243" s="21"/>
      <c r="AS243" s="21"/>
    </row>
    <row r="244" spans="1:45" x14ac:dyDescent="0.35">
      <c r="A244" s="24"/>
      <c r="B244" s="21"/>
      <c r="C244" s="21"/>
      <c r="D244" s="21"/>
      <c r="E244" s="21"/>
      <c r="F244" s="21"/>
      <c r="G244" s="21"/>
      <c r="H244" s="21"/>
      <c r="I244" s="21"/>
      <c r="J244" s="21"/>
      <c r="K244" s="24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6"/>
      <c r="AQ244" s="27"/>
      <c r="AR244" s="21"/>
      <c r="AS244" s="21"/>
    </row>
    <row r="245" spans="1:45" x14ac:dyDescent="0.35">
      <c r="A245" s="24"/>
      <c r="B245" s="21"/>
      <c r="C245" s="21"/>
      <c r="D245" s="21"/>
      <c r="E245" s="21"/>
      <c r="F245" s="21"/>
      <c r="G245" s="21"/>
      <c r="H245" s="21"/>
      <c r="I245" s="21"/>
      <c r="J245" s="21"/>
      <c r="K245" s="24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6"/>
      <c r="AQ245" s="27"/>
      <c r="AR245" s="21"/>
      <c r="AS245" s="21"/>
    </row>
    <row r="246" spans="1:45" x14ac:dyDescent="0.35">
      <c r="A246" s="24"/>
      <c r="B246" s="21"/>
      <c r="C246" s="21"/>
      <c r="D246" s="21"/>
      <c r="E246" s="21"/>
      <c r="F246" s="21"/>
      <c r="G246" s="21"/>
      <c r="H246" s="21"/>
      <c r="I246" s="21"/>
      <c r="J246" s="21"/>
      <c r="K246" s="24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6"/>
      <c r="AQ246" s="27"/>
      <c r="AR246" s="21"/>
      <c r="AS246" s="21"/>
    </row>
    <row r="247" spans="1:45" x14ac:dyDescent="0.35">
      <c r="A247" s="24"/>
      <c r="B247" s="21"/>
      <c r="C247" s="21"/>
      <c r="D247" s="21"/>
      <c r="E247" s="21"/>
      <c r="F247" s="21"/>
      <c r="G247" s="21"/>
      <c r="H247" s="21"/>
      <c r="I247" s="21"/>
      <c r="J247" s="21"/>
      <c r="K247" s="24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6"/>
      <c r="AQ247" s="27"/>
      <c r="AR247" s="21"/>
      <c r="AS247" s="21"/>
    </row>
    <row r="248" spans="1:45" x14ac:dyDescent="0.35">
      <c r="A248" s="24"/>
      <c r="B248" s="21"/>
      <c r="C248" s="21"/>
      <c r="D248" s="21"/>
      <c r="E248" s="21"/>
      <c r="F248" s="21"/>
      <c r="G248" s="21"/>
      <c r="H248" s="21"/>
      <c r="I248" s="21"/>
      <c r="J248" s="21"/>
      <c r="K248" s="24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6"/>
      <c r="AQ248" s="27"/>
      <c r="AR248" s="21"/>
      <c r="AS248" s="21"/>
    </row>
    <row r="249" spans="1:45" x14ac:dyDescent="0.35">
      <c r="A249" s="24"/>
      <c r="B249" s="21"/>
      <c r="C249" s="21"/>
      <c r="D249" s="21"/>
      <c r="E249" s="21"/>
      <c r="F249" s="21"/>
      <c r="G249" s="21"/>
      <c r="H249" s="21"/>
      <c r="I249" s="21"/>
      <c r="J249" s="21"/>
      <c r="K249" s="24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6"/>
      <c r="AQ249" s="27"/>
      <c r="AR249" s="21"/>
      <c r="AS249" s="21"/>
    </row>
    <row r="250" spans="1:45" x14ac:dyDescent="0.35">
      <c r="A250" s="24"/>
      <c r="B250" s="21"/>
      <c r="C250" s="21"/>
      <c r="D250" s="21"/>
      <c r="E250" s="21"/>
      <c r="F250" s="21"/>
      <c r="G250" s="21"/>
      <c r="H250" s="21"/>
      <c r="I250" s="21"/>
      <c r="J250" s="21"/>
      <c r="K250" s="24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6"/>
      <c r="AQ250" s="27"/>
      <c r="AR250" s="21"/>
      <c r="AS250" s="21"/>
    </row>
    <row r="251" spans="1:45" x14ac:dyDescent="0.35">
      <c r="A251" s="24"/>
      <c r="B251" s="21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6"/>
      <c r="AQ251" s="27"/>
      <c r="AR251" s="21"/>
      <c r="AS251" s="21"/>
    </row>
    <row r="252" spans="1:45" x14ac:dyDescent="0.35">
      <c r="A252" s="24"/>
      <c r="B252" s="21"/>
      <c r="C252" s="21"/>
      <c r="D252" s="21"/>
      <c r="E252" s="21"/>
      <c r="F252" s="21"/>
      <c r="G252" s="21"/>
      <c r="H252" s="21"/>
      <c r="I252" s="21"/>
      <c r="J252" s="21"/>
      <c r="K252" s="24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6"/>
      <c r="AQ252" s="27"/>
      <c r="AR252" s="21"/>
      <c r="AS252" s="21"/>
    </row>
    <row r="253" spans="1:45" x14ac:dyDescent="0.35">
      <c r="A253" s="24"/>
      <c r="B253" s="21"/>
      <c r="C253" s="21"/>
      <c r="D253" s="21"/>
      <c r="E253" s="21"/>
      <c r="F253" s="21"/>
      <c r="G253" s="21"/>
      <c r="H253" s="21"/>
      <c r="I253" s="21"/>
      <c r="J253" s="21"/>
      <c r="K253" s="24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6"/>
      <c r="AQ253" s="27"/>
      <c r="AR253" s="21"/>
      <c r="AS253" s="21"/>
    </row>
    <row r="254" spans="1:45" x14ac:dyDescent="0.35">
      <c r="A254" s="24"/>
      <c r="B254" s="21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6"/>
      <c r="AQ254" s="27"/>
      <c r="AR254" s="21"/>
      <c r="AS254" s="21"/>
    </row>
    <row r="255" spans="1:45" x14ac:dyDescent="0.35">
      <c r="A255" s="24"/>
      <c r="B255" s="21"/>
      <c r="C255" s="21"/>
      <c r="D255" s="21"/>
      <c r="E255" s="21"/>
      <c r="F255" s="21"/>
      <c r="G255" s="21"/>
      <c r="H255" s="21"/>
      <c r="I255" s="21"/>
      <c r="J255" s="21"/>
      <c r="K255" s="24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6"/>
      <c r="AQ255" s="27"/>
      <c r="AR255" s="21"/>
      <c r="AS255" s="21"/>
    </row>
    <row r="256" spans="1:45" x14ac:dyDescent="0.35">
      <c r="A256" s="24"/>
      <c r="B256" s="21"/>
      <c r="C256" s="21"/>
      <c r="D256" s="21"/>
      <c r="E256" s="21"/>
      <c r="F256" s="21"/>
      <c r="G256" s="21"/>
      <c r="H256" s="21"/>
      <c r="I256" s="21"/>
      <c r="J256" s="21"/>
      <c r="K256" s="24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6"/>
      <c r="AQ256" s="27"/>
      <c r="AR256" s="21"/>
      <c r="AS256" s="21"/>
    </row>
    <row r="257" spans="1:45" x14ac:dyDescent="0.35">
      <c r="A257" s="24"/>
      <c r="B257" s="21"/>
      <c r="C257" s="21"/>
      <c r="D257" s="21"/>
      <c r="E257" s="21"/>
      <c r="F257" s="21"/>
      <c r="G257" s="21"/>
      <c r="H257" s="21"/>
      <c r="I257" s="21"/>
      <c r="J257" s="21"/>
      <c r="K257" s="24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6"/>
      <c r="AQ257" s="27"/>
      <c r="AR257" s="21"/>
      <c r="AS257" s="21"/>
    </row>
    <row r="258" spans="1:45" x14ac:dyDescent="0.35">
      <c r="A258" s="24"/>
      <c r="B258" s="21"/>
      <c r="C258" s="21"/>
      <c r="D258" s="21"/>
      <c r="E258" s="21"/>
      <c r="F258" s="21"/>
      <c r="G258" s="21"/>
      <c r="H258" s="21"/>
      <c r="I258" s="21"/>
      <c r="J258" s="21"/>
      <c r="K258" s="24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6"/>
      <c r="AQ258" s="27"/>
      <c r="AR258" s="21"/>
      <c r="AS258" s="21"/>
    </row>
    <row r="259" spans="1:45" x14ac:dyDescent="0.35">
      <c r="A259" s="24"/>
      <c r="B259" s="21"/>
      <c r="C259" s="21"/>
      <c r="D259" s="21"/>
      <c r="E259" s="21"/>
      <c r="F259" s="21"/>
      <c r="G259" s="21"/>
      <c r="H259" s="21"/>
      <c r="I259" s="21"/>
      <c r="J259" s="21"/>
      <c r="K259" s="24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6"/>
      <c r="AQ259" s="27"/>
      <c r="AR259" s="21"/>
      <c r="AS259" s="21"/>
    </row>
    <row r="260" spans="1:45" x14ac:dyDescent="0.35">
      <c r="A260" s="24"/>
      <c r="B260" s="21"/>
      <c r="C260" s="21"/>
      <c r="D260" s="21"/>
      <c r="E260" s="21"/>
      <c r="F260" s="21"/>
      <c r="G260" s="21"/>
      <c r="H260" s="21"/>
      <c r="I260" s="21"/>
      <c r="J260" s="21"/>
      <c r="K260" s="24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6"/>
      <c r="AQ260" s="27"/>
      <c r="AR260" s="21"/>
      <c r="AS260" s="21"/>
    </row>
    <row r="261" spans="1:45" x14ac:dyDescent="0.35">
      <c r="A261" s="24"/>
      <c r="B261" s="21"/>
      <c r="C261" s="21"/>
      <c r="D261" s="21"/>
      <c r="E261" s="21"/>
      <c r="F261" s="21"/>
      <c r="G261" s="21"/>
      <c r="H261" s="21"/>
      <c r="I261" s="21"/>
      <c r="J261" s="21"/>
      <c r="K261" s="24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6"/>
      <c r="AQ261" s="27"/>
      <c r="AR261" s="21"/>
      <c r="AS261" s="21"/>
    </row>
    <row r="262" spans="1:45" x14ac:dyDescent="0.35">
      <c r="A262" s="24"/>
      <c r="B262" s="21"/>
      <c r="C262" s="21"/>
      <c r="D262" s="21"/>
      <c r="E262" s="21"/>
      <c r="F262" s="21"/>
      <c r="G262" s="21"/>
      <c r="H262" s="21"/>
      <c r="I262" s="21"/>
      <c r="J262" s="21"/>
      <c r="K262" s="24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6"/>
      <c r="AQ262" s="27"/>
      <c r="AR262" s="21"/>
      <c r="AS262" s="21"/>
    </row>
    <row r="263" spans="1:45" x14ac:dyDescent="0.35">
      <c r="A263" s="24"/>
      <c r="B263" s="21"/>
      <c r="C263" s="21"/>
      <c r="D263" s="21"/>
      <c r="E263" s="21"/>
      <c r="F263" s="21"/>
      <c r="G263" s="21"/>
      <c r="H263" s="21"/>
      <c r="I263" s="21"/>
      <c r="J263" s="21"/>
      <c r="K263" s="24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6"/>
      <c r="AQ263" s="27"/>
      <c r="AR263" s="21"/>
      <c r="AS263" s="21"/>
    </row>
    <row r="264" spans="1:45" x14ac:dyDescent="0.35">
      <c r="A264" s="24"/>
      <c r="B264" s="21"/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6"/>
      <c r="AQ264" s="27"/>
      <c r="AR264" s="21"/>
      <c r="AS264" s="21"/>
    </row>
    <row r="265" spans="1:45" x14ac:dyDescent="0.35">
      <c r="A265" s="24"/>
      <c r="B265" s="21"/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6"/>
      <c r="AQ265" s="27"/>
      <c r="AR265" s="21"/>
      <c r="AS265" s="21"/>
    </row>
    <row r="266" spans="1:45" x14ac:dyDescent="0.35">
      <c r="A266" s="24"/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6"/>
      <c r="AQ266" s="27"/>
      <c r="AR266" s="21"/>
      <c r="AS266" s="21"/>
    </row>
    <row r="267" spans="1:45" x14ac:dyDescent="0.35">
      <c r="A267" s="24"/>
      <c r="B267" s="21"/>
      <c r="C267" s="21"/>
      <c r="D267" s="21"/>
      <c r="E267" s="21"/>
      <c r="F267" s="21"/>
      <c r="G267" s="21"/>
      <c r="H267" s="21"/>
      <c r="I267" s="21"/>
      <c r="J267" s="21"/>
      <c r="K267" s="24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6"/>
      <c r="AQ267" s="27"/>
      <c r="AR267" s="21"/>
      <c r="AS267" s="21"/>
    </row>
    <row r="268" spans="1:45" x14ac:dyDescent="0.35">
      <c r="A268" s="24"/>
      <c r="B268" s="21"/>
      <c r="C268" s="21"/>
      <c r="D268" s="21"/>
      <c r="E268" s="21"/>
      <c r="F268" s="21"/>
      <c r="G268" s="21"/>
      <c r="H268" s="21"/>
      <c r="I268" s="21"/>
      <c r="J268" s="21"/>
      <c r="K268" s="24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6"/>
      <c r="AQ268" s="27"/>
      <c r="AR268" s="21"/>
      <c r="AS268" s="21"/>
    </row>
    <row r="269" spans="1:45" x14ac:dyDescent="0.35">
      <c r="A269" s="24"/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6"/>
      <c r="AQ269" s="27"/>
      <c r="AR269" s="21"/>
      <c r="AS269" s="21"/>
    </row>
    <row r="270" spans="1:45" x14ac:dyDescent="0.35">
      <c r="A270" s="24"/>
      <c r="B270" s="21"/>
      <c r="C270" s="21"/>
      <c r="D270" s="21"/>
      <c r="E270" s="21"/>
      <c r="F270" s="21"/>
      <c r="G270" s="21"/>
      <c r="H270" s="21"/>
      <c r="I270" s="21"/>
      <c r="J270" s="21"/>
      <c r="K270" s="24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6"/>
      <c r="AQ270" s="27"/>
      <c r="AR270" s="21"/>
      <c r="AS270" s="21"/>
    </row>
    <row r="271" spans="1:45" x14ac:dyDescent="0.35">
      <c r="A271" s="24"/>
      <c r="B271" s="21"/>
      <c r="C271" s="21"/>
      <c r="D271" s="21"/>
      <c r="E271" s="21"/>
      <c r="F271" s="21"/>
      <c r="G271" s="21"/>
      <c r="H271" s="21"/>
      <c r="I271" s="21"/>
      <c r="J271" s="21"/>
      <c r="K271" s="24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6"/>
      <c r="AQ271" s="27"/>
      <c r="AR271" s="21"/>
      <c r="AS271" s="21"/>
    </row>
    <row r="272" spans="1:45" x14ac:dyDescent="0.35">
      <c r="A272" s="24"/>
      <c r="B272" s="21"/>
      <c r="C272" s="21"/>
      <c r="D272" s="21"/>
      <c r="E272" s="21"/>
      <c r="F272" s="21"/>
      <c r="G272" s="21"/>
      <c r="H272" s="21"/>
      <c r="I272" s="21"/>
      <c r="J272" s="21"/>
      <c r="K272" s="24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6"/>
      <c r="AQ272" s="27"/>
      <c r="AR272" s="21"/>
      <c r="AS272" s="21"/>
    </row>
    <row r="273" spans="1:45" x14ac:dyDescent="0.35">
      <c r="A273" s="24"/>
      <c r="B273" s="21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6"/>
      <c r="AQ273" s="27"/>
      <c r="AR273" s="21"/>
      <c r="AS273" s="21"/>
    </row>
    <row r="274" spans="1:45" x14ac:dyDescent="0.35">
      <c r="A274" s="24"/>
      <c r="B274" s="21"/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6"/>
      <c r="AQ274" s="27"/>
      <c r="AR274" s="21"/>
      <c r="AS274" s="21"/>
    </row>
    <row r="275" spans="1:45" x14ac:dyDescent="0.35">
      <c r="A275" s="24"/>
      <c r="B275" s="21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6"/>
      <c r="AQ275" s="27"/>
      <c r="AR275" s="21"/>
      <c r="AS275" s="21"/>
    </row>
    <row r="276" spans="1:45" x14ac:dyDescent="0.35">
      <c r="A276" s="24"/>
      <c r="B276" s="21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6"/>
      <c r="AQ276" s="27"/>
      <c r="AR276" s="21"/>
      <c r="AS276" s="21"/>
    </row>
    <row r="277" spans="1:45" x14ac:dyDescent="0.35">
      <c r="A277" s="24"/>
      <c r="B277" s="21"/>
      <c r="C277" s="21"/>
      <c r="D277" s="21"/>
      <c r="E277" s="21"/>
      <c r="F277" s="21"/>
      <c r="G277" s="21"/>
      <c r="H277" s="21"/>
      <c r="I277" s="21"/>
      <c r="J277" s="21"/>
      <c r="K277" s="24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6"/>
      <c r="AQ277" s="27"/>
      <c r="AR277" s="21"/>
      <c r="AS277" s="21"/>
    </row>
    <row r="278" spans="1:45" x14ac:dyDescent="0.35">
      <c r="A278" s="24"/>
      <c r="B278" s="21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6"/>
      <c r="AQ278" s="27"/>
      <c r="AR278" s="21"/>
      <c r="AS278" s="21"/>
    </row>
    <row r="279" spans="1:45" x14ac:dyDescent="0.35">
      <c r="A279" s="24"/>
      <c r="B279" s="21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6"/>
      <c r="AQ279" s="27"/>
      <c r="AR279" s="21"/>
      <c r="AS279" s="21"/>
    </row>
    <row r="280" spans="1:45" x14ac:dyDescent="0.35">
      <c r="A280" s="24"/>
      <c r="B280" s="21"/>
      <c r="C280" s="21"/>
      <c r="D280" s="21"/>
      <c r="E280" s="21"/>
      <c r="F280" s="21"/>
      <c r="G280" s="21"/>
      <c r="H280" s="21"/>
      <c r="I280" s="21"/>
      <c r="J280" s="21"/>
      <c r="K280" s="24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6"/>
      <c r="AQ280" s="27"/>
      <c r="AR280" s="21"/>
      <c r="AS280" s="21"/>
    </row>
    <row r="281" spans="1:45" x14ac:dyDescent="0.35">
      <c r="A281" s="24"/>
      <c r="B281" s="21"/>
      <c r="C281" s="21"/>
      <c r="D281" s="21"/>
      <c r="E281" s="21"/>
      <c r="F281" s="21"/>
      <c r="G281" s="21"/>
      <c r="H281" s="21"/>
      <c r="I281" s="21"/>
      <c r="J281" s="21"/>
      <c r="K281" s="24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6"/>
      <c r="AQ281" s="27"/>
      <c r="AR281" s="21"/>
      <c r="AS281" s="21"/>
    </row>
    <row r="282" spans="1:45" x14ac:dyDescent="0.35">
      <c r="A282" s="24"/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6"/>
      <c r="AQ282" s="27"/>
      <c r="AR282" s="21"/>
      <c r="AS282" s="21"/>
    </row>
    <row r="283" spans="1:45" x14ac:dyDescent="0.35">
      <c r="A283" s="24"/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6"/>
      <c r="AQ283" s="27"/>
      <c r="AR283" s="21"/>
      <c r="AS283" s="21"/>
    </row>
    <row r="284" spans="1:45" x14ac:dyDescent="0.35">
      <c r="A284" s="24"/>
      <c r="B284" s="21"/>
      <c r="C284" s="21"/>
      <c r="D284" s="21"/>
      <c r="E284" s="21"/>
      <c r="F284" s="21"/>
      <c r="G284" s="21"/>
      <c r="H284" s="21"/>
      <c r="I284" s="21"/>
      <c r="J284" s="21"/>
      <c r="K284" s="24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6"/>
      <c r="AQ284" s="27"/>
      <c r="AR284" s="21"/>
      <c r="AS284" s="21"/>
    </row>
    <row r="285" spans="1:45" x14ac:dyDescent="0.35">
      <c r="A285" s="24"/>
      <c r="B285" s="21"/>
      <c r="C285" s="21"/>
      <c r="D285" s="21"/>
      <c r="E285" s="21"/>
      <c r="F285" s="21"/>
      <c r="G285" s="21"/>
      <c r="H285" s="21"/>
      <c r="I285" s="21"/>
      <c r="J285" s="21"/>
      <c r="K285" s="24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6"/>
      <c r="AQ285" s="27"/>
      <c r="AR285" s="21"/>
      <c r="AS285" s="21"/>
    </row>
    <row r="286" spans="1:45" x14ac:dyDescent="0.35">
      <c r="A286" s="24"/>
      <c r="B286" s="21"/>
      <c r="C286" s="21"/>
      <c r="D286" s="21"/>
      <c r="E286" s="21"/>
      <c r="F286" s="21"/>
      <c r="G286" s="21"/>
      <c r="H286" s="21"/>
      <c r="I286" s="21"/>
      <c r="J286" s="21"/>
      <c r="K286" s="24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6"/>
      <c r="AQ286" s="27"/>
      <c r="AR286" s="21"/>
      <c r="AS286" s="21"/>
    </row>
    <row r="287" spans="1:45" x14ac:dyDescent="0.35">
      <c r="A287" s="24"/>
      <c r="B287" s="21"/>
      <c r="C287" s="21"/>
      <c r="D287" s="21"/>
      <c r="E287" s="21"/>
      <c r="F287" s="21"/>
      <c r="G287" s="21"/>
      <c r="H287" s="21"/>
      <c r="I287" s="21"/>
      <c r="J287" s="21"/>
      <c r="K287" s="24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6"/>
      <c r="AQ287" s="27"/>
      <c r="AR287" s="21"/>
      <c r="AS287" s="21"/>
    </row>
    <row r="288" spans="1:45" x14ac:dyDescent="0.35">
      <c r="A288" s="24"/>
      <c r="B288" s="21"/>
      <c r="C288" s="21"/>
      <c r="D288" s="21"/>
      <c r="E288" s="21"/>
      <c r="F288" s="21"/>
      <c r="G288" s="21"/>
      <c r="H288" s="21"/>
      <c r="I288" s="21"/>
      <c r="J288" s="21"/>
      <c r="K288" s="24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6"/>
      <c r="AQ288" s="27"/>
      <c r="AR288" s="21"/>
      <c r="AS288" s="21"/>
    </row>
    <row r="289" spans="1:45" x14ac:dyDescent="0.35">
      <c r="A289" s="24"/>
      <c r="B289" s="21"/>
      <c r="C289" s="21"/>
      <c r="D289" s="21"/>
      <c r="E289" s="21"/>
      <c r="F289" s="21"/>
      <c r="G289" s="21"/>
      <c r="H289" s="21"/>
      <c r="I289" s="21"/>
      <c r="J289" s="21"/>
      <c r="K289" s="24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6"/>
      <c r="AQ289" s="27"/>
      <c r="AR289" s="21"/>
      <c r="AS289" s="21"/>
    </row>
    <row r="290" spans="1:45" x14ac:dyDescent="0.35">
      <c r="A290" s="24"/>
      <c r="B290" s="21"/>
      <c r="C290" s="21"/>
      <c r="D290" s="21"/>
      <c r="E290" s="21"/>
      <c r="F290" s="21"/>
      <c r="G290" s="21"/>
      <c r="H290" s="21"/>
      <c r="I290" s="21"/>
      <c r="J290" s="21"/>
      <c r="K290" s="24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6"/>
      <c r="AQ290" s="27"/>
      <c r="AR290" s="21"/>
      <c r="AS290" s="21"/>
    </row>
    <row r="291" spans="1:45" x14ac:dyDescent="0.35">
      <c r="A291" s="24"/>
      <c r="B291" s="21"/>
      <c r="C291" s="21"/>
      <c r="D291" s="21"/>
      <c r="E291" s="21"/>
      <c r="F291" s="21"/>
      <c r="G291" s="21"/>
      <c r="H291" s="21"/>
      <c r="I291" s="21"/>
      <c r="J291" s="21"/>
      <c r="K291" s="24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6"/>
      <c r="AQ291" s="27"/>
      <c r="AR291" s="21"/>
      <c r="AS291" s="21"/>
    </row>
    <row r="292" spans="1:45" x14ac:dyDescent="0.35">
      <c r="A292" s="24"/>
      <c r="B292" s="21"/>
      <c r="C292" s="21"/>
      <c r="D292" s="21"/>
      <c r="E292" s="21"/>
      <c r="F292" s="21"/>
      <c r="G292" s="21"/>
      <c r="H292" s="21"/>
      <c r="I292" s="21"/>
      <c r="J292" s="21"/>
      <c r="K292" s="24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6"/>
      <c r="AQ292" s="27"/>
      <c r="AR292" s="21"/>
      <c r="AS292" s="21"/>
    </row>
    <row r="293" spans="1:45" x14ac:dyDescent="0.35">
      <c r="A293" s="24"/>
      <c r="B293" s="21"/>
      <c r="C293" s="21"/>
      <c r="D293" s="21"/>
      <c r="E293" s="21"/>
      <c r="F293" s="21"/>
      <c r="G293" s="21"/>
      <c r="H293" s="21"/>
      <c r="I293" s="21"/>
      <c r="J293" s="21"/>
      <c r="K293" s="24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6"/>
      <c r="AQ293" s="27"/>
      <c r="AR293" s="21"/>
      <c r="AS293" s="21"/>
    </row>
    <row r="294" spans="1:45" x14ac:dyDescent="0.35">
      <c r="A294" s="24"/>
      <c r="B294" s="21"/>
      <c r="C294" s="21"/>
      <c r="D294" s="21"/>
      <c r="E294" s="21"/>
      <c r="F294" s="21"/>
      <c r="G294" s="21"/>
      <c r="H294" s="21"/>
      <c r="I294" s="21"/>
      <c r="J294" s="21"/>
      <c r="K294" s="24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6"/>
      <c r="AQ294" s="27"/>
      <c r="AR294" s="21"/>
      <c r="AS294" s="21"/>
    </row>
    <row r="295" spans="1:45" x14ac:dyDescent="0.35">
      <c r="A295" s="24"/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6"/>
      <c r="AQ295" s="27"/>
      <c r="AR295" s="21"/>
      <c r="AS295" s="21"/>
    </row>
    <row r="296" spans="1:45" x14ac:dyDescent="0.35">
      <c r="A296" s="24"/>
      <c r="B296" s="21"/>
      <c r="C296" s="21"/>
      <c r="D296" s="21"/>
      <c r="E296" s="21"/>
      <c r="F296" s="21"/>
      <c r="G296" s="21"/>
      <c r="H296" s="21"/>
      <c r="I296" s="21"/>
      <c r="J296" s="21"/>
      <c r="K296" s="24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6"/>
      <c r="AQ296" s="27"/>
      <c r="AR296" s="21"/>
      <c r="AS296" s="21"/>
    </row>
    <row r="297" spans="1:45" x14ac:dyDescent="0.35">
      <c r="A297" s="24"/>
      <c r="B297" s="21"/>
      <c r="C297" s="21"/>
      <c r="D297" s="21"/>
      <c r="E297" s="21"/>
      <c r="F297" s="21"/>
      <c r="G297" s="21"/>
      <c r="H297" s="21"/>
      <c r="I297" s="21"/>
      <c r="J297" s="21"/>
      <c r="K297" s="24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6"/>
      <c r="AQ297" s="27"/>
      <c r="AR297" s="21"/>
      <c r="AS297" s="21"/>
    </row>
    <row r="298" spans="1:45" x14ac:dyDescent="0.35">
      <c r="A298" s="24"/>
      <c r="B298" s="21"/>
      <c r="C298" s="21"/>
      <c r="D298" s="21"/>
      <c r="E298" s="21"/>
      <c r="F298" s="21"/>
      <c r="G298" s="21"/>
      <c r="H298" s="21"/>
      <c r="I298" s="21"/>
      <c r="J298" s="21"/>
      <c r="K298" s="24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6"/>
      <c r="AQ298" s="27"/>
      <c r="AR298" s="21"/>
      <c r="AS298" s="21"/>
    </row>
    <row r="299" spans="1:45" x14ac:dyDescent="0.35">
      <c r="A299" s="24"/>
      <c r="B299" s="21"/>
      <c r="C299" s="21"/>
      <c r="D299" s="21"/>
      <c r="E299" s="21"/>
      <c r="F299" s="21"/>
      <c r="G299" s="21"/>
      <c r="H299" s="21"/>
      <c r="I299" s="21"/>
      <c r="J299" s="21"/>
      <c r="K299" s="24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6"/>
      <c r="AQ299" s="27"/>
      <c r="AR299" s="21"/>
      <c r="AS299" s="21"/>
    </row>
    <row r="300" spans="1:45" x14ac:dyDescent="0.35">
      <c r="A300" s="24"/>
      <c r="B300" s="21"/>
      <c r="C300" s="21"/>
      <c r="D300" s="21"/>
      <c r="E300" s="21"/>
      <c r="F300" s="21"/>
      <c r="G300" s="21"/>
      <c r="H300" s="21"/>
      <c r="I300" s="21"/>
      <c r="J300" s="21"/>
      <c r="K300" s="24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6"/>
      <c r="AQ300" s="27"/>
      <c r="AR300" s="21"/>
      <c r="AS300" s="21"/>
    </row>
    <row r="301" spans="1:45" x14ac:dyDescent="0.35">
      <c r="A301" s="24"/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6"/>
      <c r="AQ301" s="27"/>
      <c r="AR301" s="21"/>
      <c r="AS301" s="21"/>
    </row>
    <row r="302" spans="1:45" x14ac:dyDescent="0.35">
      <c r="A302" s="24"/>
      <c r="B302" s="21"/>
      <c r="C302" s="21"/>
      <c r="D302" s="21"/>
      <c r="E302" s="21"/>
      <c r="F302" s="21"/>
      <c r="G302" s="21"/>
      <c r="H302" s="21"/>
      <c r="I302" s="21"/>
      <c r="J302" s="21"/>
      <c r="K302" s="24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6"/>
      <c r="AQ302" s="27"/>
      <c r="AR302" s="21"/>
      <c r="AS302" s="21"/>
    </row>
    <row r="303" spans="1:45" x14ac:dyDescent="0.35">
      <c r="A303" s="24"/>
      <c r="B303" s="21"/>
      <c r="C303" s="21"/>
      <c r="D303" s="21"/>
      <c r="E303" s="21"/>
      <c r="F303" s="21"/>
      <c r="G303" s="21"/>
      <c r="H303" s="21"/>
      <c r="I303" s="21"/>
      <c r="J303" s="21"/>
      <c r="K303" s="24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6"/>
      <c r="AQ303" s="27"/>
      <c r="AR303" s="21"/>
      <c r="AS303" s="21"/>
    </row>
    <row r="304" spans="1:45" x14ac:dyDescent="0.35">
      <c r="A304" s="24"/>
      <c r="B304" s="21"/>
      <c r="C304" s="21"/>
      <c r="D304" s="21"/>
      <c r="E304" s="21"/>
      <c r="F304" s="21"/>
      <c r="G304" s="21"/>
      <c r="H304" s="21"/>
      <c r="I304" s="21"/>
      <c r="J304" s="21"/>
      <c r="K304" s="24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6"/>
      <c r="AQ304" s="27"/>
      <c r="AR304" s="21"/>
      <c r="AS304" s="21"/>
    </row>
    <row r="305" spans="1:45" x14ac:dyDescent="0.35">
      <c r="A305" s="24"/>
      <c r="B305" s="21"/>
      <c r="C305" s="21"/>
      <c r="D305" s="21"/>
      <c r="E305" s="21"/>
      <c r="F305" s="21"/>
      <c r="G305" s="21"/>
      <c r="H305" s="21"/>
      <c r="I305" s="21"/>
      <c r="J305" s="21"/>
      <c r="K305" s="24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6"/>
      <c r="AQ305" s="27"/>
      <c r="AR305" s="21"/>
      <c r="AS305" s="21"/>
    </row>
    <row r="306" spans="1:45" x14ac:dyDescent="0.35">
      <c r="A306" s="24"/>
      <c r="B306" s="21"/>
      <c r="C306" s="21"/>
      <c r="D306" s="21"/>
      <c r="E306" s="21"/>
      <c r="F306" s="21"/>
      <c r="G306" s="21"/>
      <c r="H306" s="21"/>
      <c r="I306" s="21"/>
      <c r="J306" s="21"/>
      <c r="K306" s="24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6"/>
      <c r="AQ306" s="27"/>
      <c r="AR306" s="21"/>
      <c r="AS306" s="21"/>
    </row>
    <row r="307" spans="1:45" x14ac:dyDescent="0.35">
      <c r="A307" s="24"/>
      <c r="B307" s="21"/>
      <c r="C307" s="21"/>
      <c r="D307" s="21"/>
      <c r="E307" s="21"/>
      <c r="F307" s="21"/>
      <c r="G307" s="21"/>
      <c r="H307" s="21"/>
      <c r="I307" s="21"/>
      <c r="J307" s="21"/>
      <c r="K307" s="24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6"/>
      <c r="AQ307" s="27"/>
      <c r="AR307" s="21"/>
      <c r="AS307" s="21"/>
    </row>
    <row r="308" spans="1:45" x14ac:dyDescent="0.35">
      <c r="A308" s="24"/>
      <c r="B308" s="21"/>
      <c r="C308" s="21"/>
      <c r="D308" s="21"/>
      <c r="E308" s="21"/>
      <c r="F308" s="21"/>
      <c r="G308" s="21"/>
      <c r="H308" s="21"/>
      <c r="I308" s="21"/>
      <c r="J308" s="21"/>
      <c r="K308" s="24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6"/>
      <c r="AQ308" s="27"/>
      <c r="AR308" s="21"/>
      <c r="AS308" s="21"/>
    </row>
    <row r="309" spans="1:45" x14ac:dyDescent="0.35">
      <c r="A309" s="31"/>
      <c r="B309" s="32"/>
      <c r="C309" s="32"/>
      <c r="D309" s="32"/>
      <c r="E309" s="32"/>
      <c r="F309" s="32"/>
      <c r="G309" s="32"/>
      <c r="H309" s="32"/>
      <c r="I309" s="32"/>
      <c r="J309" s="32"/>
      <c r="K309" s="31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  <c r="AD309" s="32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21"/>
      <c r="AP309" s="26"/>
      <c r="AQ309" s="27"/>
      <c r="AR309" s="21"/>
      <c r="AS309" s="21"/>
    </row>
    <row r="310" spans="1:45" x14ac:dyDescent="0.35">
      <c r="A310" s="24"/>
      <c r="B310" s="21"/>
      <c r="C310" s="21"/>
      <c r="D310" s="21"/>
      <c r="E310" s="21"/>
      <c r="F310" s="21"/>
      <c r="G310" s="21"/>
      <c r="H310" s="21"/>
      <c r="I310" s="21"/>
      <c r="J310" s="21"/>
      <c r="K310" s="24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6"/>
      <c r="AQ310" s="27"/>
      <c r="AR310" s="21"/>
      <c r="AS310" s="21"/>
    </row>
    <row r="311" spans="1:45" x14ac:dyDescent="0.35">
      <c r="A311" s="24"/>
      <c r="B311" s="21"/>
      <c r="C311" s="21"/>
      <c r="D311" s="21"/>
      <c r="E311" s="21"/>
      <c r="F311" s="21"/>
      <c r="G311" s="21"/>
      <c r="H311" s="21"/>
      <c r="I311" s="21"/>
      <c r="J311" s="21"/>
      <c r="K311" s="24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6"/>
      <c r="AQ311" s="27"/>
      <c r="AR311" s="21"/>
      <c r="AS311" s="21"/>
    </row>
    <row r="312" spans="1:45" x14ac:dyDescent="0.35">
      <c r="A312" s="24"/>
      <c r="B312" s="21"/>
      <c r="C312" s="21"/>
      <c r="D312" s="21"/>
      <c r="E312" s="21"/>
      <c r="F312" s="21"/>
      <c r="G312" s="21"/>
      <c r="H312" s="21"/>
      <c r="I312" s="21"/>
      <c r="J312" s="21"/>
      <c r="K312" s="24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6"/>
      <c r="AQ312" s="27"/>
      <c r="AR312" s="21"/>
      <c r="AS312" s="21"/>
    </row>
    <row r="313" spans="1:45" x14ac:dyDescent="0.35">
      <c r="A313" s="24"/>
      <c r="B313" s="21"/>
      <c r="C313" s="21"/>
      <c r="D313" s="21"/>
      <c r="E313" s="21"/>
      <c r="F313" s="21"/>
      <c r="G313" s="21"/>
      <c r="H313" s="21"/>
      <c r="I313" s="21"/>
      <c r="J313" s="21"/>
      <c r="K313" s="24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6"/>
      <c r="AQ313" s="27"/>
      <c r="AR313" s="21"/>
      <c r="AS313" s="21"/>
    </row>
    <row r="314" spans="1:45" x14ac:dyDescent="0.35">
      <c r="A314" s="24"/>
      <c r="B314" s="21"/>
      <c r="C314" s="21"/>
      <c r="D314" s="21"/>
      <c r="E314" s="21"/>
      <c r="F314" s="21"/>
      <c r="G314" s="21"/>
      <c r="H314" s="21"/>
      <c r="I314" s="21"/>
      <c r="J314" s="21"/>
      <c r="K314" s="24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6"/>
      <c r="AQ314" s="27"/>
      <c r="AR314" s="21"/>
      <c r="AS314" s="21"/>
    </row>
    <row r="315" spans="1:45" x14ac:dyDescent="0.35">
      <c r="A315" s="24"/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6"/>
      <c r="AQ315" s="27"/>
      <c r="AR315" s="21"/>
      <c r="AS315" s="21"/>
    </row>
    <row r="316" spans="1:45" x14ac:dyDescent="0.35">
      <c r="A316" s="24"/>
      <c r="B316" s="21"/>
      <c r="C316" s="21"/>
      <c r="D316" s="21"/>
      <c r="E316" s="21"/>
      <c r="F316" s="21"/>
      <c r="G316" s="21"/>
      <c r="H316" s="21"/>
      <c r="I316" s="21"/>
      <c r="J316" s="21"/>
      <c r="K316" s="24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6"/>
      <c r="AQ316" s="27"/>
      <c r="AR316" s="21"/>
      <c r="AS316" s="21"/>
    </row>
    <row r="317" spans="1:45" x14ac:dyDescent="0.35">
      <c r="A317" s="24"/>
      <c r="B317" s="21"/>
      <c r="C317" s="21"/>
      <c r="D317" s="21"/>
      <c r="E317" s="21"/>
      <c r="F317" s="21"/>
      <c r="G317" s="21"/>
      <c r="H317" s="21"/>
      <c r="I317" s="21"/>
      <c r="J317" s="21"/>
      <c r="K317" s="24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6"/>
      <c r="AQ317" s="27"/>
      <c r="AR317" s="21"/>
      <c r="AS317" s="21"/>
    </row>
    <row r="318" spans="1:45" x14ac:dyDescent="0.35">
      <c r="A318" s="24"/>
      <c r="B318" s="21"/>
      <c r="C318" s="21"/>
      <c r="D318" s="21"/>
      <c r="E318" s="21"/>
      <c r="F318" s="21"/>
      <c r="G318" s="21"/>
      <c r="H318" s="21"/>
      <c r="I318" s="21"/>
      <c r="J318" s="21"/>
      <c r="K318" s="24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6"/>
      <c r="AQ318" s="27"/>
      <c r="AR318" s="21"/>
      <c r="AS318" s="21"/>
    </row>
    <row r="319" spans="1:45" x14ac:dyDescent="0.35">
      <c r="A319" s="24"/>
      <c r="B319" s="21"/>
      <c r="C319" s="21"/>
      <c r="D319" s="21"/>
      <c r="E319" s="21"/>
      <c r="F319" s="21"/>
      <c r="G319" s="21"/>
      <c r="H319" s="21"/>
      <c r="I319" s="21"/>
      <c r="J319" s="21"/>
      <c r="K319" s="24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6"/>
      <c r="AQ319" s="27"/>
      <c r="AR319" s="21"/>
      <c r="AS319" s="21"/>
    </row>
    <row r="320" spans="1:45" x14ac:dyDescent="0.35">
      <c r="A320" s="24"/>
      <c r="B320" s="21"/>
      <c r="C320" s="21"/>
      <c r="D320" s="21"/>
      <c r="E320" s="21"/>
      <c r="F320" s="21"/>
      <c r="G320" s="21"/>
      <c r="H320" s="21"/>
      <c r="I320" s="21"/>
      <c r="J320" s="21"/>
      <c r="K320" s="24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6"/>
      <c r="AQ320" s="27"/>
      <c r="AR320" s="21"/>
      <c r="AS320" s="21"/>
    </row>
    <row r="321" spans="1:45" x14ac:dyDescent="0.35">
      <c r="A321" s="24"/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6"/>
      <c r="AQ321" s="27"/>
      <c r="AR321" s="21"/>
      <c r="AS321" s="21"/>
    </row>
    <row r="322" spans="1:45" x14ac:dyDescent="0.35">
      <c r="A322" s="24"/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6"/>
      <c r="AQ322" s="27"/>
      <c r="AR322" s="21"/>
      <c r="AS322" s="21"/>
    </row>
    <row r="323" spans="1:45" x14ac:dyDescent="0.35">
      <c r="A323" s="24"/>
      <c r="B323" s="21"/>
      <c r="C323" s="21"/>
      <c r="D323" s="21"/>
      <c r="E323" s="21"/>
      <c r="F323" s="21"/>
      <c r="G323" s="21"/>
      <c r="H323" s="21"/>
      <c r="I323" s="21"/>
      <c r="J323" s="21"/>
      <c r="K323" s="24"/>
      <c r="L323" s="21"/>
      <c r="M323" s="25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6"/>
      <c r="AQ323" s="27"/>
      <c r="AR323" s="21"/>
      <c r="AS323" s="28"/>
    </row>
    <row r="324" spans="1:45" x14ac:dyDescent="0.35">
      <c r="A324" s="24"/>
      <c r="B324" s="21"/>
      <c r="C324" s="21"/>
      <c r="D324" s="21"/>
      <c r="E324" s="21"/>
      <c r="F324" s="21"/>
      <c r="G324" s="21"/>
      <c r="H324" s="21"/>
      <c r="I324" s="21"/>
      <c r="J324" s="21"/>
      <c r="K324" s="24"/>
      <c r="L324" s="21"/>
      <c r="M324" s="25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6"/>
      <c r="AQ324" s="27"/>
      <c r="AR324" s="21"/>
      <c r="AS324" s="28"/>
    </row>
    <row r="325" spans="1:45" x14ac:dyDescent="0.35">
      <c r="A325" s="24"/>
      <c r="B325" s="21"/>
      <c r="C325" s="21"/>
      <c r="D325" s="21"/>
      <c r="E325" s="21"/>
      <c r="F325" s="21"/>
      <c r="G325" s="21"/>
      <c r="H325" s="21"/>
      <c r="I325" s="21"/>
      <c r="J325" s="21"/>
      <c r="K325" s="24"/>
      <c r="L325" s="21"/>
      <c r="M325" s="25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6"/>
      <c r="AQ325" s="27"/>
      <c r="AR325" s="21"/>
      <c r="AS325" s="28"/>
    </row>
    <row r="326" spans="1:45" x14ac:dyDescent="0.35">
      <c r="A326" s="24"/>
      <c r="B326" s="21"/>
      <c r="C326" s="21"/>
      <c r="D326" s="21"/>
      <c r="E326" s="21"/>
      <c r="F326" s="21"/>
      <c r="G326" s="21"/>
      <c r="H326" s="21"/>
      <c r="I326" s="21"/>
      <c r="J326" s="21"/>
      <c r="K326" s="24"/>
      <c r="L326" s="21"/>
      <c r="M326" s="25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6"/>
      <c r="AQ326" s="27"/>
      <c r="AR326" s="21"/>
      <c r="AS326" s="28"/>
    </row>
    <row r="327" spans="1:45" x14ac:dyDescent="0.35">
      <c r="A327" s="24"/>
      <c r="B327" s="21"/>
      <c r="C327" s="21"/>
      <c r="D327" s="21"/>
      <c r="E327" s="21"/>
      <c r="F327" s="21"/>
      <c r="G327" s="21"/>
      <c r="H327" s="21"/>
      <c r="I327" s="21"/>
      <c r="J327" s="21"/>
      <c r="K327" s="24"/>
      <c r="L327" s="21"/>
      <c r="M327" s="25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6"/>
      <c r="AQ327" s="27"/>
      <c r="AR327" s="21"/>
      <c r="AS327" s="28"/>
    </row>
    <row r="328" spans="1:45" x14ac:dyDescent="0.35">
      <c r="A328" s="24"/>
      <c r="B328" s="21"/>
      <c r="C328" s="21"/>
      <c r="D328" s="21"/>
      <c r="E328" s="21"/>
      <c r="F328" s="21"/>
      <c r="G328" s="21"/>
      <c r="H328" s="21"/>
      <c r="I328" s="21"/>
      <c r="J328" s="21"/>
      <c r="K328" s="24"/>
      <c r="L328" s="21"/>
      <c r="M328" s="25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6"/>
      <c r="AQ328" s="27"/>
      <c r="AR328" s="21"/>
      <c r="AS328" s="28"/>
    </row>
    <row r="329" spans="1:45" x14ac:dyDescent="0.35">
      <c r="A329" s="24"/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5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6"/>
      <c r="AQ329" s="27"/>
      <c r="AR329" s="21"/>
      <c r="AS329" s="28"/>
    </row>
    <row r="330" spans="1:45" x14ac:dyDescent="0.35">
      <c r="A330" s="29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30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  <c r="AO330" s="21"/>
      <c r="AP330" s="26"/>
      <c r="AQ330" s="27"/>
      <c r="AR330" s="21"/>
      <c r="AS330" s="28"/>
    </row>
    <row r="331" spans="1:45" x14ac:dyDescent="0.35">
      <c r="A331" s="24"/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5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6"/>
      <c r="AQ331" s="27"/>
      <c r="AR331" s="21"/>
      <c r="AS331" s="28"/>
    </row>
    <row r="332" spans="1:45" x14ac:dyDescent="0.35">
      <c r="A332" s="29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30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  <c r="AO332" s="21"/>
      <c r="AP332" s="26"/>
      <c r="AQ332" s="27"/>
      <c r="AR332" s="21"/>
      <c r="AS332" s="28"/>
    </row>
    <row r="333" spans="1:45" x14ac:dyDescent="0.35">
      <c r="A333" s="24"/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5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6"/>
      <c r="AQ333" s="27"/>
      <c r="AR333" s="21"/>
      <c r="AS333" s="28"/>
    </row>
    <row r="334" spans="1:45" x14ac:dyDescent="0.35">
      <c r="A334" s="24"/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5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6"/>
      <c r="AQ334" s="27"/>
      <c r="AR334" s="21"/>
      <c r="AS334" s="28"/>
    </row>
    <row r="335" spans="1:45" x14ac:dyDescent="0.35">
      <c r="A335" s="29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30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  <c r="AO335" s="21"/>
      <c r="AP335" s="26"/>
      <c r="AQ335" s="27"/>
      <c r="AR335" s="21"/>
      <c r="AS335" s="28"/>
    </row>
    <row r="336" spans="1:45" x14ac:dyDescent="0.35">
      <c r="A336" s="24"/>
      <c r="B336" s="21"/>
      <c r="C336" s="21"/>
      <c r="D336" s="21"/>
      <c r="E336" s="21"/>
      <c r="F336" s="21"/>
      <c r="G336" s="21"/>
      <c r="H336" s="21"/>
      <c r="I336" s="21"/>
      <c r="J336" s="21"/>
      <c r="K336" s="24"/>
      <c r="L336" s="21"/>
      <c r="M336" s="25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6"/>
      <c r="AQ336" s="27"/>
      <c r="AR336" s="21"/>
      <c r="AS336" s="28"/>
    </row>
    <row r="337" spans="1:45" x14ac:dyDescent="0.35">
      <c r="A337" s="24"/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5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6"/>
      <c r="AQ337" s="27"/>
      <c r="AR337" s="21"/>
      <c r="AS337" s="28"/>
    </row>
    <row r="338" spans="1:45" x14ac:dyDescent="0.35">
      <c r="A338" s="24"/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5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6"/>
      <c r="AQ338" s="27"/>
      <c r="AR338" s="21"/>
      <c r="AS338" s="28"/>
    </row>
    <row r="339" spans="1:45" x14ac:dyDescent="0.35">
      <c r="A339" s="24"/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5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6"/>
      <c r="AQ339" s="27"/>
      <c r="AR339" s="21"/>
      <c r="AS339" s="28"/>
    </row>
    <row r="340" spans="1:45" x14ac:dyDescent="0.35">
      <c r="A340" s="24"/>
      <c r="B340" s="21"/>
      <c r="C340" s="21"/>
      <c r="D340" s="21"/>
      <c r="E340" s="21"/>
      <c r="F340" s="21"/>
      <c r="G340" s="21"/>
      <c r="H340" s="21"/>
      <c r="I340" s="21"/>
      <c r="J340" s="21"/>
      <c r="K340" s="24"/>
      <c r="L340" s="21"/>
      <c r="M340" s="25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6"/>
      <c r="AQ340" s="27"/>
      <c r="AR340" s="21"/>
      <c r="AS340" s="28"/>
    </row>
    <row r="341" spans="1:45" x14ac:dyDescent="0.35">
      <c r="A341" s="24"/>
      <c r="B341" s="21"/>
      <c r="C341" s="21"/>
      <c r="D341" s="21"/>
      <c r="E341" s="21"/>
      <c r="F341" s="21"/>
      <c r="G341" s="21"/>
      <c r="H341" s="21"/>
      <c r="I341" s="21"/>
      <c r="J341" s="21"/>
      <c r="K341" s="24"/>
      <c r="L341" s="21"/>
      <c r="M341" s="25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6"/>
      <c r="AQ341" s="27"/>
      <c r="AR341" s="21"/>
      <c r="AS341" s="28"/>
    </row>
    <row r="342" spans="1:45" x14ac:dyDescent="0.35">
      <c r="A342" s="24"/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5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6"/>
      <c r="AQ342" s="27"/>
      <c r="AR342" s="21"/>
      <c r="AS342" s="28"/>
    </row>
    <row r="343" spans="1:45" x14ac:dyDescent="0.35">
      <c r="A343" s="24"/>
      <c r="B343" s="21"/>
      <c r="C343" s="21"/>
      <c r="D343" s="21"/>
      <c r="E343" s="21"/>
      <c r="F343" s="21"/>
      <c r="G343" s="21"/>
      <c r="H343" s="21"/>
      <c r="I343" s="21"/>
      <c r="J343" s="21"/>
      <c r="K343" s="24"/>
      <c r="L343" s="21"/>
      <c r="M343" s="25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6"/>
      <c r="AQ343" s="27"/>
      <c r="AR343" s="21"/>
      <c r="AS343" s="28"/>
    </row>
    <row r="344" spans="1:45" x14ac:dyDescent="0.35">
      <c r="A344" s="24"/>
      <c r="B344" s="21"/>
      <c r="C344" s="21"/>
      <c r="D344" s="21"/>
      <c r="E344" s="21"/>
      <c r="F344" s="21"/>
      <c r="G344" s="21"/>
      <c r="H344" s="21"/>
      <c r="I344" s="21"/>
      <c r="J344" s="21"/>
      <c r="K344" s="24"/>
      <c r="L344" s="21"/>
      <c r="M344" s="25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6"/>
      <c r="AQ344" s="27"/>
      <c r="AR344" s="21"/>
      <c r="AS344" s="28"/>
    </row>
    <row r="345" spans="1:45" x14ac:dyDescent="0.35">
      <c r="A345" s="24"/>
      <c r="B345" s="21"/>
      <c r="C345" s="21"/>
      <c r="D345" s="21"/>
      <c r="E345" s="21"/>
      <c r="F345" s="21"/>
      <c r="G345" s="21"/>
      <c r="H345" s="21"/>
      <c r="I345" s="21"/>
      <c r="J345" s="21"/>
      <c r="K345" s="24"/>
      <c r="L345" s="21"/>
      <c r="M345" s="25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6"/>
      <c r="AQ345" s="27"/>
      <c r="AR345" s="21"/>
      <c r="AS345" s="28"/>
    </row>
    <row r="346" spans="1:45" x14ac:dyDescent="0.35">
      <c r="A346" s="24"/>
      <c r="B346" s="21"/>
      <c r="C346" s="21"/>
      <c r="D346" s="21"/>
      <c r="E346" s="21"/>
      <c r="F346" s="21"/>
      <c r="G346" s="21"/>
      <c r="H346" s="21"/>
      <c r="I346" s="21"/>
      <c r="J346" s="21"/>
      <c r="K346" s="24"/>
      <c r="L346" s="21"/>
      <c r="M346" s="25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6"/>
      <c r="AQ346" s="27"/>
      <c r="AR346" s="21"/>
      <c r="AS346" s="28"/>
    </row>
    <row r="347" spans="1:45" x14ac:dyDescent="0.35">
      <c r="A347" s="29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30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  <c r="AO347" s="21"/>
      <c r="AP347" s="26"/>
      <c r="AQ347" s="27"/>
      <c r="AR347" s="21"/>
      <c r="AS347" s="28"/>
    </row>
    <row r="348" spans="1:45" x14ac:dyDescent="0.35">
      <c r="A348" s="29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30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  <c r="AO348" s="21"/>
      <c r="AP348" s="26"/>
      <c r="AQ348" s="27"/>
      <c r="AR348" s="21"/>
      <c r="AS348" s="28"/>
    </row>
    <row r="349" spans="1:45" x14ac:dyDescent="0.35">
      <c r="A349" s="24"/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5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6"/>
      <c r="AQ349" s="27"/>
      <c r="AR349" s="21"/>
      <c r="AS349" s="28"/>
    </row>
    <row r="350" spans="1:45" x14ac:dyDescent="0.35">
      <c r="A350" s="24"/>
      <c r="B350" s="21"/>
      <c r="C350" s="21"/>
      <c r="D350" s="21"/>
      <c r="E350" s="21"/>
      <c r="F350" s="21"/>
      <c r="G350" s="21"/>
      <c r="H350" s="21"/>
      <c r="I350" s="21"/>
      <c r="J350" s="21"/>
      <c r="K350" s="24"/>
      <c r="L350" s="21"/>
      <c r="M350" s="25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6"/>
      <c r="AQ350" s="27"/>
      <c r="AR350" s="21"/>
      <c r="AS350" s="28"/>
    </row>
    <row r="351" spans="1:45" x14ac:dyDescent="0.35">
      <c r="A351" s="24"/>
      <c r="B351" s="21"/>
      <c r="C351" s="21"/>
      <c r="D351" s="21"/>
      <c r="E351" s="21"/>
      <c r="F351" s="21"/>
      <c r="G351" s="21"/>
      <c r="H351" s="21"/>
      <c r="I351" s="21"/>
      <c r="J351" s="21"/>
      <c r="K351" s="24"/>
      <c r="L351" s="21"/>
      <c r="M351" s="25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6"/>
      <c r="AQ351" s="27"/>
      <c r="AR351" s="21"/>
      <c r="AS351" s="28"/>
    </row>
    <row r="352" spans="1:45" x14ac:dyDescent="0.35">
      <c r="A352" s="24"/>
      <c r="B352" s="21"/>
      <c r="C352" s="21"/>
      <c r="D352" s="21"/>
      <c r="E352" s="21"/>
      <c r="F352" s="21"/>
      <c r="G352" s="21"/>
      <c r="H352" s="21"/>
      <c r="I352" s="21"/>
      <c r="J352" s="21"/>
      <c r="K352" s="24"/>
      <c r="L352" s="21"/>
      <c r="M352" s="25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6"/>
      <c r="AQ352" s="27"/>
      <c r="AR352" s="21"/>
      <c r="AS352" s="28"/>
    </row>
    <row r="353" spans="1:45" x14ac:dyDescent="0.35">
      <c r="A353" s="24"/>
      <c r="B353" s="21"/>
      <c r="C353" s="21"/>
      <c r="D353" s="21"/>
      <c r="E353" s="21"/>
      <c r="F353" s="21"/>
      <c r="G353" s="21"/>
      <c r="H353" s="21"/>
      <c r="I353" s="21"/>
      <c r="J353" s="21"/>
      <c r="K353" s="24"/>
      <c r="L353" s="21"/>
      <c r="M353" s="25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6"/>
      <c r="AQ353" s="27"/>
      <c r="AR353" s="21"/>
      <c r="AS353" s="28"/>
    </row>
    <row r="354" spans="1:45" x14ac:dyDescent="0.35">
      <c r="A354" s="24"/>
      <c r="B354" s="21"/>
      <c r="C354" s="21"/>
      <c r="D354" s="21"/>
      <c r="E354" s="21"/>
      <c r="F354" s="21"/>
      <c r="G354" s="21"/>
      <c r="H354" s="21"/>
      <c r="I354" s="21"/>
      <c r="J354" s="21"/>
      <c r="K354" s="24"/>
      <c r="L354" s="21"/>
      <c r="M354" s="25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6"/>
      <c r="AQ354" s="27"/>
      <c r="AR354" s="21"/>
      <c r="AS354" s="28"/>
    </row>
    <row r="355" spans="1:45" x14ac:dyDescent="0.35">
      <c r="A355" s="24"/>
      <c r="B355" s="21"/>
      <c r="C355" s="21"/>
      <c r="D355" s="21"/>
      <c r="E355" s="21"/>
      <c r="F355" s="21"/>
      <c r="G355" s="21"/>
      <c r="H355" s="21"/>
      <c r="I355" s="21"/>
      <c r="J355" s="21"/>
      <c r="K355" s="24"/>
      <c r="L355" s="21"/>
      <c r="M355" s="25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6"/>
      <c r="AQ355" s="27"/>
      <c r="AR355" s="21"/>
      <c r="AS355" s="28"/>
    </row>
    <row r="356" spans="1:45" x14ac:dyDescent="0.35">
      <c r="A356" s="29"/>
      <c r="B356" s="22"/>
      <c r="C356" s="22"/>
      <c r="D356" s="22"/>
      <c r="E356" s="22"/>
      <c r="F356" s="22"/>
      <c r="G356" s="22"/>
      <c r="H356" s="22"/>
      <c r="I356" s="22"/>
      <c r="J356" s="22"/>
      <c r="K356" s="29"/>
      <c r="L356" s="22"/>
      <c r="M356" s="30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  <c r="AO356" s="21"/>
      <c r="AP356" s="26"/>
      <c r="AQ356" s="27"/>
      <c r="AR356" s="21"/>
      <c r="AS356" s="28"/>
    </row>
    <row r="357" spans="1:45" x14ac:dyDescent="0.35">
      <c r="A357" s="24"/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5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6"/>
      <c r="AQ357" s="27"/>
      <c r="AR357" s="21"/>
      <c r="AS357" s="28"/>
    </row>
    <row r="358" spans="1:45" x14ac:dyDescent="0.35">
      <c r="A358" s="24"/>
      <c r="B358" s="21"/>
      <c r="C358" s="21"/>
      <c r="D358" s="21"/>
      <c r="E358" s="21"/>
      <c r="F358" s="21"/>
      <c r="G358" s="21"/>
      <c r="H358" s="21"/>
      <c r="I358" s="21"/>
      <c r="J358" s="21"/>
      <c r="K358" s="24"/>
      <c r="L358" s="21"/>
      <c r="M358" s="25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6"/>
      <c r="AQ358" s="27"/>
      <c r="AR358" s="21"/>
      <c r="AS358" s="28"/>
    </row>
    <row r="359" spans="1:45" x14ac:dyDescent="0.35">
      <c r="A359" s="24"/>
      <c r="B359" s="21"/>
      <c r="C359" s="21"/>
      <c r="D359" s="21"/>
      <c r="E359" s="21"/>
      <c r="F359" s="21"/>
      <c r="G359" s="21"/>
      <c r="H359" s="21"/>
      <c r="I359" s="21"/>
      <c r="J359" s="21"/>
      <c r="K359" s="24"/>
      <c r="L359" s="21"/>
      <c r="M359" s="25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6"/>
      <c r="AQ359" s="27"/>
      <c r="AR359" s="21"/>
      <c r="AS359" s="28"/>
    </row>
    <row r="360" spans="1:45" x14ac:dyDescent="0.35">
      <c r="A360" s="24"/>
      <c r="B360" s="21"/>
      <c r="C360" s="21"/>
      <c r="D360" s="21"/>
      <c r="E360" s="21"/>
      <c r="F360" s="21"/>
      <c r="G360" s="21"/>
      <c r="H360" s="21"/>
      <c r="I360" s="21"/>
      <c r="J360" s="21"/>
      <c r="K360" s="24"/>
      <c r="L360" s="21"/>
      <c r="M360" s="25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6"/>
      <c r="AQ360" s="27"/>
      <c r="AR360" s="21"/>
      <c r="AS360" s="28"/>
    </row>
    <row r="361" spans="1:45" x14ac:dyDescent="0.35">
      <c r="A361" s="24"/>
      <c r="B361" s="21"/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5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6"/>
      <c r="AQ361" s="27"/>
      <c r="AR361" s="21"/>
      <c r="AS361" s="28"/>
    </row>
    <row r="362" spans="1:45" x14ac:dyDescent="0.35">
      <c r="A362" s="29"/>
      <c r="B362" s="22"/>
      <c r="C362" s="22"/>
      <c r="D362" s="22"/>
      <c r="E362" s="22"/>
      <c r="F362" s="22"/>
      <c r="G362" s="22"/>
      <c r="H362" s="22"/>
      <c r="I362" s="22"/>
      <c r="J362" s="22"/>
      <c r="K362" s="29"/>
      <c r="L362" s="22"/>
      <c r="M362" s="30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  <c r="AO362" s="21"/>
      <c r="AP362" s="26"/>
      <c r="AQ362" s="27"/>
      <c r="AR362" s="21"/>
      <c r="AS362" s="28"/>
    </row>
    <row r="363" spans="1:45" x14ac:dyDescent="0.35">
      <c r="A363" s="24"/>
      <c r="B363" s="21"/>
      <c r="C363" s="21"/>
      <c r="D363" s="21"/>
      <c r="E363" s="21"/>
      <c r="F363" s="21"/>
      <c r="G363" s="21"/>
      <c r="H363" s="21"/>
      <c r="I363" s="21"/>
      <c r="J363" s="21"/>
      <c r="K363" s="24"/>
      <c r="L363" s="21"/>
      <c r="M363" s="25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6"/>
      <c r="AQ363" s="27"/>
      <c r="AR363" s="21"/>
      <c r="AS363" s="28"/>
    </row>
    <row r="364" spans="1:45" x14ac:dyDescent="0.35">
      <c r="A364" s="24"/>
      <c r="B364" s="21"/>
      <c r="C364" s="21"/>
      <c r="D364" s="21"/>
      <c r="E364" s="21"/>
      <c r="F364" s="21"/>
      <c r="G364" s="21"/>
      <c r="H364" s="21"/>
      <c r="I364" s="21"/>
      <c r="J364" s="21"/>
      <c r="K364" s="24"/>
      <c r="L364" s="21"/>
      <c r="M364" s="25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6"/>
      <c r="AQ364" s="27"/>
      <c r="AR364" s="21"/>
      <c r="AS364" s="28"/>
    </row>
    <row r="365" spans="1:45" x14ac:dyDescent="0.35">
      <c r="A365" s="29"/>
      <c r="B365" s="22"/>
      <c r="C365" s="22"/>
      <c r="D365" s="22"/>
      <c r="E365" s="22"/>
      <c r="F365" s="22"/>
      <c r="G365" s="22"/>
      <c r="H365" s="22"/>
      <c r="I365" s="22"/>
      <c r="J365" s="22"/>
      <c r="K365" s="29"/>
      <c r="L365" s="22"/>
      <c r="M365" s="30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1"/>
      <c r="AP365" s="26"/>
      <c r="AQ365" s="27"/>
      <c r="AR365" s="21"/>
      <c r="AS365" s="28"/>
    </row>
    <row r="366" spans="1:45" x14ac:dyDescent="0.35">
      <c r="A366" s="29"/>
      <c r="B366" s="22"/>
      <c r="C366" s="22"/>
      <c r="D366" s="22"/>
      <c r="E366" s="22"/>
      <c r="F366" s="22"/>
      <c r="G366" s="22"/>
      <c r="H366" s="22"/>
      <c r="I366" s="22"/>
      <c r="J366" s="22"/>
      <c r="K366" s="29"/>
      <c r="L366" s="22"/>
      <c r="M366" s="30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1"/>
      <c r="AP366" s="26"/>
      <c r="AQ366" s="27"/>
      <c r="AR366" s="21"/>
      <c r="AS366" s="28"/>
    </row>
    <row r="367" spans="1:45" x14ac:dyDescent="0.35">
      <c r="A367" s="29"/>
      <c r="B367" s="22"/>
      <c r="C367" s="22"/>
      <c r="D367" s="22"/>
      <c r="E367" s="22"/>
      <c r="F367" s="22"/>
      <c r="G367" s="22"/>
      <c r="H367" s="22"/>
      <c r="I367" s="22"/>
      <c r="J367" s="22"/>
      <c r="K367" s="29"/>
      <c r="L367" s="22"/>
      <c r="M367" s="30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1"/>
      <c r="AP367" s="26"/>
      <c r="AQ367" s="27"/>
      <c r="AR367" s="21"/>
      <c r="AS367" s="28"/>
    </row>
    <row r="368" spans="1:45" x14ac:dyDescent="0.35">
      <c r="A368" s="29"/>
      <c r="B368" s="22"/>
      <c r="C368" s="22"/>
      <c r="D368" s="22"/>
      <c r="E368" s="22"/>
      <c r="F368" s="22"/>
      <c r="G368" s="22"/>
      <c r="H368" s="22"/>
      <c r="I368" s="22"/>
      <c r="J368" s="22"/>
      <c r="K368" s="29"/>
      <c r="L368" s="22"/>
      <c r="M368" s="30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1"/>
      <c r="AP368" s="26"/>
      <c r="AQ368" s="27"/>
      <c r="AR368" s="21"/>
      <c r="AS368" s="28"/>
    </row>
    <row r="369" spans="1:45" x14ac:dyDescent="0.35">
      <c r="A369" s="29"/>
      <c r="B369" s="22"/>
      <c r="C369" s="22"/>
      <c r="D369" s="22"/>
      <c r="E369" s="22"/>
      <c r="F369" s="22"/>
      <c r="G369" s="22"/>
      <c r="H369" s="22"/>
      <c r="I369" s="22"/>
      <c r="J369" s="22"/>
      <c r="K369" s="29"/>
      <c r="L369" s="22"/>
      <c r="M369" s="30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1"/>
      <c r="AP369" s="26"/>
      <c r="AQ369" s="27"/>
      <c r="AR369" s="21"/>
      <c r="AS369" s="28"/>
    </row>
    <row r="370" spans="1:45" x14ac:dyDescent="0.35">
      <c r="A370" s="29"/>
      <c r="B370" s="22"/>
      <c r="C370" s="22"/>
      <c r="D370" s="22"/>
      <c r="E370" s="22"/>
      <c r="F370" s="22"/>
      <c r="G370" s="22"/>
      <c r="H370" s="22"/>
      <c r="I370" s="22"/>
      <c r="J370" s="22"/>
      <c r="K370" s="29"/>
      <c r="L370" s="22"/>
      <c r="M370" s="30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1"/>
      <c r="AP370" s="26"/>
      <c r="AQ370" s="27"/>
      <c r="AR370" s="21"/>
      <c r="AS370" s="28"/>
    </row>
    <row r="371" spans="1:45" x14ac:dyDescent="0.35">
      <c r="A371" s="29"/>
      <c r="B371" s="22"/>
      <c r="C371" s="22"/>
      <c r="D371" s="22"/>
      <c r="E371" s="22"/>
      <c r="F371" s="22"/>
      <c r="G371" s="22"/>
      <c r="H371" s="22"/>
      <c r="I371" s="22"/>
      <c r="J371" s="22"/>
      <c r="K371" s="29"/>
      <c r="L371" s="22"/>
      <c r="M371" s="30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1"/>
      <c r="AP371" s="26"/>
      <c r="AQ371" s="27"/>
      <c r="AR371" s="21"/>
      <c r="AS371" s="28"/>
    </row>
    <row r="372" spans="1:45" x14ac:dyDescent="0.35">
      <c r="A372" s="29"/>
      <c r="B372" s="22"/>
      <c r="C372" s="22"/>
      <c r="D372" s="22"/>
      <c r="E372" s="22"/>
      <c r="F372" s="22"/>
      <c r="G372" s="22"/>
      <c r="H372" s="22"/>
      <c r="I372" s="22"/>
      <c r="J372" s="22"/>
      <c r="K372" s="29"/>
      <c r="L372" s="22"/>
      <c r="M372" s="30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1"/>
      <c r="AP372" s="26"/>
      <c r="AQ372" s="27"/>
      <c r="AR372" s="21"/>
      <c r="AS372" s="28"/>
    </row>
    <row r="373" spans="1:45" x14ac:dyDescent="0.35">
      <c r="A373" s="29"/>
      <c r="B373" s="22"/>
      <c r="C373" s="22"/>
      <c r="D373" s="22"/>
      <c r="E373" s="22"/>
      <c r="F373" s="22"/>
      <c r="G373" s="22"/>
      <c r="H373" s="22"/>
      <c r="I373" s="22"/>
      <c r="J373" s="22"/>
      <c r="K373" s="29"/>
      <c r="L373" s="22"/>
      <c r="M373" s="30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1"/>
      <c r="AP373" s="26"/>
      <c r="AQ373" s="27"/>
      <c r="AR373" s="21"/>
      <c r="AS373" s="28"/>
    </row>
    <row r="374" spans="1:45" x14ac:dyDescent="0.35">
      <c r="A374" s="29"/>
      <c r="B374" s="22"/>
      <c r="C374" s="22"/>
      <c r="D374" s="22"/>
      <c r="E374" s="22"/>
      <c r="F374" s="22"/>
      <c r="G374" s="22"/>
      <c r="H374" s="22"/>
      <c r="I374" s="22"/>
      <c r="J374" s="22"/>
      <c r="K374" s="29"/>
      <c r="L374" s="22"/>
      <c r="M374" s="30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1"/>
      <c r="AP374" s="26"/>
      <c r="AQ374" s="27"/>
      <c r="AR374" s="21"/>
      <c r="AS374" s="28"/>
    </row>
    <row r="375" spans="1:45" x14ac:dyDescent="0.35">
      <c r="A375" s="29"/>
      <c r="B375" s="22"/>
      <c r="C375" s="22"/>
      <c r="D375" s="22"/>
      <c r="E375" s="22"/>
      <c r="F375" s="22"/>
      <c r="G375" s="22"/>
      <c r="H375" s="22"/>
      <c r="I375" s="22"/>
      <c r="J375" s="22"/>
      <c r="K375" s="29"/>
      <c r="L375" s="22"/>
      <c r="M375" s="30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1"/>
      <c r="AP375" s="26"/>
      <c r="AQ375" s="27"/>
      <c r="AR375" s="21"/>
      <c r="AS375" s="28"/>
    </row>
    <row r="376" spans="1:45" x14ac:dyDescent="0.35">
      <c r="A376" s="29"/>
      <c r="B376" s="22"/>
      <c r="C376" s="22"/>
      <c r="D376" s="22"/>
      <c r="E376" s="22"/>
      <c r="F376" s="22"/>
      <c r="G376" s="22"/>
      <c r="H376" s="22"/>
      <c r="I376" s="22"/>
      <c r="J376" s="22"/>
      <c r="K376" s="29"/>
      <c r="L376" s="22"/>
      <c r="M376" s="30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1"/>
      <c r="AP376" s="26"/>
      <c r="AQ376" s="27"/>
      <c r="AR376" s="21"/>
      <c r="AS376" s="28"/>
    </row>
    <row r="377" spans="1:45" x14ac:dyDescent="0.35">
      <c r="A377" s="29"/>
      <c r="B377" s="22"/>
      <c r="C377" s="22"/>
      <c r="D377" s="22"/>
      <c r="E377" s="22"/>
      <c r="F377" s="22"/>
      <c r="G377" s="22"/>
      <c r="H377" s="22"/>
      <c r="I377" s="22"/>
      <c r="J377" s="22"/>
      <c r="K377" s="29"/>
      <c r="L377" s="22"/>
      <c r="M377" s="30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1"/>
      <c r="AP377" s="26"/>
      <c r="AQ377" s="27"/>
      <c r="AR377" s="21"/>
      <c r="AS377" s="28"/>
    </row>
    <row r="378" spans="1:45" x14ac:dyDescent="0.35">
      <c r="A378" s="29"/>
      <c r="B378" s="22"/>
      <c r="C378" s="22"/>
      <c r="D378" s="22"/>
      <c r="E378" s="22"/>
      <c r="F378" s="22"/>
      <c r="G378" s="22"/>
      <c r="H378" s="22"/>
      <c r="I378" s="22"/>
      <c r="J378" s="22"/>
      <c r="K378" s="29"/>
      <c r="L378" s="22"/>
      <c r="M378" s="30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1"/>
      <c r="AP378" s="26"/>
      <c r="AQ378" s="27"/>
      <c r="AR378" s="21"/>
      <c r="AS378" s="28"/>
    </row>
    <row r="379" spans="1:45" x14ac:dyDescent="0.35">
      <c r="A379" s="29"/>
      <c r="B379" s="22"/>
      <c r="C379" s="22"/>
      <c r="D379" s="22"/>
      <c r="E379" s="22"/>
      <c r="F379" s="22"/>
      <c r="G379" s="22"/>
      <c r="H379" s="22"/>
      <c r="I379" s="22"/>
      <c r="J379" s="22"/>
      <c r="K379" s="29"/>
      <c r="L379" s="22"/>
      <c r="M379" s="30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1"/>
      <c r="AP379" s="26"/>
      <c r="AQ379" s="27"/>
      <c r="AR379" s="21"/>
      <c r="AS379" s="28"/>
    </row>
    <row r="380" spans="1:45" x14ac:dyDescent="0.35">
      <c r="A380" s="29"/>
      <c r="B380" s="22"/>
      <c r="C380" s="22"/>
      <c r="D380" s="22"/>
      <c r="E380" s="22"/>
      <c r="F380" s="22"/>
      <c r="G380" s="22"/>
      <c r="H380" s="22"/>
      <c r="I380" s="22"/>
      <c r="J380" s="22"/>
      <c r="K380" s="29"/>
      <c r="L380" s="22"/>
      <c r="M380" s="30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1"/>
      <c r="AP380" s="26"/>
      <c r="AQ380" s="27"/>
      <c r="AR380" s="21"/>
      <c r="AS380" s="28"/>
    </row>
    <row r="381" spans="1:45" x14ac:dyDescent="0.35">
      <c r="A381" s="29"/>
      <c r="B381" s="22"/>
      <c r="C381" s="22"/>
      <c r="D381" s="22"/>
      <c r="E381" s="22"/>
      <c r="F381" s="22"/>
      <c r="G381" s="22"/>
      <c r="H381" s="22"/>
      <c r="I381" s="22"/>
      <c r="J381" s="22"/>
      <c r="K381" s="29"/>
      <c r="L381" s="22"/>
      <c r="M381" s="30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1"/>
      <c r="AP381" s="26"/>
      <c r="AQ381" s="27"/>
      <c r="AR381" s="21"/>
      <c r="AS381" s="28"/>
    </row>
    <row r="382" spans="1:45" x14ac:dyDescent="0.35">
      <c r="A382" s="29"/>
      <c r="B382" s="22"/>
      <c r="C382" s="22"/>
      <c r="D382" s="22"/>
      <c r="E382" s="22"/>
      <c r="F382" s="22"/>
      <c r="G382" s="22"/>
      <c r="H382" s="22"/>
      <c r="I382" s="22"/>
      <c r="J382" s="22"/>
      <c r="K382" s="29"/>
      <c r="L382" s="22"/>
      <c r="M382" s="30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1"/>
      <c r="AP382" s="26"/>
      <c r="AQ382" s="27"/>
      <c r="AR382" s="21"/>
      <c r="AS382" s="28"/>
    </row>
    <row r="383" spans="1:45" x14ac:dyDescent="0.35">
      <c r="A383" s="29"/>
      <c r="B383" s="22"/>
      <c r="C383" s="22"/>
      <c r="D383" s="22"/>
      <c r="E383" s="22"/>
      <c r="F383" s="22"/>
      <c r="G383" s="22"/>
      <c r="H383" s="22"/>
      <c r="I383" s="22"/>
      <c r="J383" s="22"/>
      <c r="K383" s="29"/>
      <c r="L383" s="22"/>
      <c r="M383" s="30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1"/>
      <c r="AP383" s="26"/>
      <c r="AQ383" s="27"/>
      <c r="AR383" s="21"/>
      <c r="AS383" s="28"/>
    </row>
    <row r="384" spans="1:45" x14ac:dyDescent="0.35">
      <c r="A384" s="29"/>
      <c r="B384" s="22"/>
      <c r="C384" s="22"/>
      <c r="D384" s="22"/>
      <c r="E384" s="22"/>
      <c r="F384" s="22"/>
      <c r="G384" s="22"/>
      <c r="H384" s="22"/>
      <c r="I384" s="22"/>
      <c r="J384" s="22"/>
      <c r="K384" s="29"/>
      <c r="L384" s="22"/>
      <c r="M384" s="30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1"/>
      <c r="AP384" s="26"/>
      <c r="AQ384" s="27"/>
      <c r="AR384" s="21"/>
      <c r="AS384" s="28"/>
    </row>
    <row r="385" spans="1:45" x14ac:dyDescent="0.35">
      <c r="A385" s="29"/>
      <c r="B385" s="22"/>
      <c r="C385" s="22"/>
      <c r="D385" s="22"/>
      <c r="E385" s="22"/>
      <c r="F385" s="22"/>
      <c r="G385" s="22"/>
      <c r="H385" s="22"/>
      <c r="I385" s="22"/>
      <c r="J385" s="22"/>
      <c r="K385" s="29"/>
      <c r="L385" s="22"/>
      <c r="M385" s="30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1"/>
      <c r="AP385" s="26"/>
      <c r="AQ385" s="27"/>
      <c r="AR385" s="21"/>
      <c r="AS385" s="28"/>
    </row>
    <row r="386" spans="1:45" x14ac:dyDescent="0.35">
      <c r="A386" s="29"/>
      <c r="B386" s="22"/>
      <c r="C386" s="22"/>
      <c r="D386" s="22"/>
      <c r="E386" s="22"/>
      <c r="F386" s="22"/>
      <c r="G386" s="22"/>
      <c r="H386" s="22"/>
      <c r="I386" s="22"/>
      <c r="J386" s="22"/>
      <c r="K386" s="29"/>
      <c r="L386" s="22"/>
      <c r="M386" s="30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1"/>
      <c r="AP386" s="26"/>
      <c r="AQ386" s="27"/>
      <c r="AR386" s="21"/>
      <c r="AS386" s="28"/>
    </row>
    <row r="387" spans="1:45" x14ac:dyDescent="0.35">
      <c r="A387" s="29"/>
      <c r="B387" s="22"/>
      <c r="C387" s="22"/>
      <c r="D387" s="22"/>
      <c r="E387" s="22"/>
      <c r="F387" s="22"/>
      <c r="G387" s="22"/>
      <c r="H387" s="22"/>
      <c r="I387" s="22"/>
      <c r="J387" s="22"/>
      <c r="K387" s="29"/>
      <c r="L387" s="22"/>
      <c r="M387" s="30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1"/>
      <c r="AP387" s="26"/>
      <c r="AQ387" s="27"/>
      <c r="AR387" s="21"/>
      <c r="AS387" s="28"/>
    </row>
    <row r="388" spans="1:45" x14ac:dyDescent="0.35">
      <c r="A388" s="29"/>
      <c r="B388" s="22"/>
      <c r="C388" s="22"/>
      <c r="D388" s="22"/>
      <c r="E388" s="22"/>
      <c r="F388" s="22"/>
      <c r="G388" s="22"/>
      <c r="H388" s="22"/>
      <c r="I388" s="22"/>
      <c r="J388" s="22"/>
      <c r="K388" s="29"/>
      <c r="L388" s="22"/>
      <c r="M388" s="30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1"/>
      <c r="AP388" s="26"/>
      <c r="AQ388" s="27"/>
      <c r="AR388" s="21"/>
      <c r="AS388" s="28"/>
    </row>
    <row r="389" spans="1:45" x14ac:dyDescent="0.35">
      <c r="A389" s="29"/>
      <c r="B389" s="22"/>
      <c r="C389" s="22"/>
      <c r="D389" s="22"/>
      <c r="E389" s="22"/>
      <c r="F389" s="22"/>
      <c r="G389" s="22"/>
      <c r="H389" s="22"/>
      <c r="I389" s="22"/>
      <c r="J389" s="22"/>
      <c r="K389" s="29"/>
      <c r="L389" s="22"/>
      <c r="M389" s="30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1"/>
      <c r="AP389" s="26"/>
      <c r="AQ389" s="27"/>
      <c r="AR389" s="21"/>
      <c r="AS389" s="28"/>
    </row>
    <row r="390" spans="1:45" x14ac:dyDescent="0.35">
      <c r="A390" s="29"/>
      <c r="B390" s="22"/>
      <c r="C390" s="22"/>
      <c r="D390" s="22"/>
      <c r="E390" s="22"/>
      <c r="F390" s="22"/>
      <c r="G390" s="22"/>
      <c r="H390" s="22"/>
      <c r="I390" s="22"/>
      <c r="J390" s="22"/>
      <c r="K390" s="29"/>
      <c r="L390" s="22"/>
      <c r="M390" s="30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1"/>
      <c r="AP390" s="26"/>
      <c r="AQ390" s="27"/>
      <c r="AR390" s="21"/>
      <c r="AS390" s="28"/>
    </row>
    <row r="391" spans="1:45" x14ac:dyDescent="0.35">
      <c r="A391" s="29"/>
      <c r="B391" s="22"/>
      <c r="C391" s="22"/>
      <c r="D391" s="22"/>
      <c r="E391" s="22"/>
      <c r="F391" s="22"/>
      <c r="G391" s="22"/>
      <c r="H391" s="22"/>
      <c r="I391" s="22"/>
      <c r="J391" s="22"/>
      <c r="K391" s="29"/>
      <c r="L391" s="22"/>
      <c r="M391" s="30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1"/>
      <c r="AP391" s="26"/>
      <c r="AQ391" s="27"/>
      <c r="AR391" s="21"/>
      <c r="AS391" s="28"/>
    </row>
    <row r="392" spans="1:45" x14ac:dyDescent="0.35">
      <c r="A392" s="29"/>
      <c r="B392" s="22"/>
      <c r="C392" s="22"/>
      <c r="D392" s="22"/>
      <c r="E392" s="22"/>
      <c r="F392" s="22"/>
      <c r="G392" s="22"/>
      <c r="H392" s="22"/>
      <c r="I392" s="22"/>
      <c r="J392" s="22"/>
      <c r="K392" s="29"/>
      <c r="L392" s="22"/>
      <c r="M392" s="30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1"/>
      <c r="AP392" s="26"/>
      <c r="AQ392" s="27"/>
      <c r="AR392" s="21"/>
      <c r="AS392" s="28"/>
    </row>
    <row r="393" spans="1:45" x14ac:dyDescent="0.35">
      <c r="A393" s="29"/>
      <c r="B393" s="22"/>
      <c r="C393" s="22"/>
      <c r="D393" s="22"/>
      <c r="E393" s="22"/>
      <c r="F393" s="22"/>
      <c r="G393" s="22"/>
      <c r="H393" s="22"/>
      <c r="I393" s="22"/>
      <c r="J393" s="22"/>
      <c r="K393" s="29"/>
      <c r="L393" s="22"/>
      <c r="M393" s="30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1"/>
      <c r="AP393" s="26"/>
      <c r="AQ393" s="27"/>
      <c r="AR393" s="21"/>
      <c r="AS393" s="28"/>
    </row>
    <row r="394" spans="1:45" x14ac:dyDescent="0.35">
      <c r="A394" s="29"/>
      <c r="B394" s="22"/>
      <c r="C394" s="22"/>
      <c r="D394" s="22"/>
      <c r="E394" s="22"/>
      <c r="F394" s="22"/>
      <c r="G394" s="22"/>
      <c r="H394" s="22"/>
      <c r="I394" s="22"/>
      <c r="J394" s="22"/>
      <c r="K394" s="29"/>
      <c r="L394" s="22"/>
      <c r="M394" s="30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1"/>
      <c r="AP394" s="26"/>
      <c r="AQ394" s="27"/>
      <c r="AR394" s="21"/>
      <c r="AS394" s="28"/>
    </row>
    <row r="395" spans="1:45" x14ac:dyDescent="0.35">
      <c r="A395" s="29"/>
      <c r="B395" s="22"/>
      <c r="C395" s="22"/>
      <c r="D395" s="22"/>
      <c r="E395" s="22"/>
      <c r="F395" s="22"/>
      <c r="G395" s="22"/>
      <c r="H395" s="22"/>
      <c r="I395" s="22"/>
      <c r="J395" s="22"/>
      <c r="K395" s="29"/>
      <c r="L395" s="22"/>
      <c r="M395" s="30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1"/>
      <c r="AP395" s="26"/>
      <c r="AQ395" s="27"/>
      <c r="AR395" s="21"/>
      <c r="AS395" s="28"/>
    </row>
    <row r="396" spans="1:45" x14ac:dyDescent="0.35">
      <c r="A396" s="29"/>
      <c r="B396" s="22"/>
      <c r="C396" s="22"/>
      <c r="D396" s="22"/>
      <c r="E396" s="22"/>
      <c r="F396" s="22"/>
      <c r="G396" s="22"/>
      <c r="H396" s="22"/>
      <c r="I396" s="22"/>
      <c r="J396" s="22"/>
      <c r="K396" s="29"/>
      <c r="L396" s="22"/>
      <c r="M396" s="30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1"/>
      <c r="AP396" s="26"/>
      <c r="AQ396" s="27"/>
      <c r="AR396" s="21"/>
      <c r="AS396" s="28"/>
    </row>
    <row r="397" spans="1:45" x14ac:dyDescent="0.35">
      <c r="A397" s="29"/>
      <c r="B397" s="22"/>
      <c r="C397" s="22"/>
      <c r="D397" s="22"/>
      <c r="E397" s="22"/>
      <c r="F397" s="22"/>
      <c r="G397" s="22"/>
      <c r="H397" s="22"/>
      <c r="I397" s="22"/>
      <c r="J397" s="22"/>
      <c r="K397" s="29"/>
      <c r="L397" s="22"/>
      <c r="M397" s="30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1"/>
      <c r="AP397" s="26"/>
      <c r="AQ397" s="27"/>
      <c r="AR397" s="21"/>
      <c r="AS397" s="28"/>
    </row>
    <row r="398" spans="1:45" x14ac:dyDescent="0.35">
      <c r="A398" s="29"/>
      <c r="B398" s="22"/>
      <c r="C398" s="22"/>
      <c r="D398" s="22"/>
      <c r="E398" s="22"/>
      <c r="F398" s="22"/>
      <c r="G398" s="22"/>
      <c r="H398" s="22"/>
      <c r="I398" s="22"/>
      <c r="J398" s="22"/>
      <c r="K398" s="29"/>
      <c r="L398" s="22"/>
      <c r="M398" s="30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1"/>
      <c r="AP398" s="26"/>
      <c r="AQ398" s="27"/>
      <c r="AR398" s="21"/>
      <c r="AS398" s="28"/>
    </row>
    <row r="399" spans="1:45" x14ac:dyDescent="0.35">
      <c r="A399" s="29"/>
      <c r="B399" s="22"/>
      <c r="C399" s="22"/>
      <c r="D399" s="22"/>
      <c r="E399" s="22"/>
      <c r="F399" s="22"/>
      <c r="G399" s="22"/>
      <c r="H399" s="22"/>
      <c r="I399" s="22"/>
      <c r="J399" s="22"/>
      <c r="K399" s="29"/>
      <c r="L399" s="22"/>
      <c r="M399" s="30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1"/>
      <c r="AP399" s="26"/>
      <c r="AQ399" s="27"/>
      <c r="AR399" s="21"/>
      <c r="AS399" s="28"/>
    </row>
    <row r="400" spans="1:45" x14ac:dyDescent="0.35">
      <c r="A400" s="29"/>
      <c r="B400" s="22"/>
      <c r="C400" s="22"/>
      <c r="D400" s="22"/>
      <c r="E400" s="22"/>
      <c r="F400" s="22"/>
      <c r="G400" s="22"/>
      <c r="H400" s="22"/>
      <c r="I400" s="22"/>
      <c r="J400" s="22"/>
      <c r="K400" s="29"/>
      <c r="L400" s="22"/>
      <c r="M400" s="30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1"/>
      <c r="AP400" s="26"/>
      <c r="AQ400" s="27"/>
      <c r="AR400" s="21"/>
      <c r="AS400" s="28"/>
    </row>
    <row r="401" spans="1:45" x14ac:dyDescent="0.35">
      <c r="A401" s="29"/>
      <c r="B401" s="22"/>
      <c r="C401" s="22"/>
      <c r="D401" s="22"/>
      <c r="E401" s="22"/>
      <c r="F401" s="22"/>
      <c r="G401" s="22"/>
      <c r="H401" s="22"/>
      <c r="I401" s="22"/>
      <c r="J401" s="22"/>
      <c r="K401" s="29"/>
      <c r="L401" s="22"/>
      <c r="M401" s="30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1"/>
      <c r="AP401" s="26"/>
      <c r="AQ401" s="27"/>
      <c r="AR401" s="21"/>
      <c r="AS401" s="28"/>
    </row>
    <row r="402" spans="1:45" x14ac:dyDescent="0.35">
      <c r="A402" s="29"/>
      <c r="B402" s="22"/>
      <c r="C402" s="22"/>
      <c r="D402" s="22"/>
      <c r="E402" s="22"/>
      <c r="F402" s="22"/>
      <c r="G402" s="22"/>
      <c r="H402" s="22"/>
      <c r="I402" s="22"/>
      <c r="J402" s="22"/>
      <c r="K402" s="29"/>
      <c r="L402" s="22"/>
      <c r="M402" s="30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1"/>
      <c r="AP402" s="26"/>
      <c r="AQ402" s="27"/>
      <c r="AR402" s="21"/>
      <c r="AS402" s="28"/>
    </row>
    <row r="403" spans="1:45" x14ac:dyDescent="0.35">
      <c r="A403" s="29"/>
      <c r="B403" s="22"/>
      <c r="C403" s="22"/>
      <c r="D403" s="22"/>
      <c r="E403" s="22"/>
      <c r="F403" s="22"/>
      <c r="G403" s="22"/>
      <c r="H403" s="22"/>
      <c r="I403" s="22"/>
      <c r="J403" s="22"/>
      <c r="K403" s="29"/>
      <c r="L403" s="22"/>
      <c r="M403" s="30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1"/>
      <c r="AP403" s="26"/>
      <c r="AQ403" s="27"/>
      <c r="AR403" s="21"/>
      <c r="AS403" s="28"/>
    </row>
    <row r="404" spans="1:45" x14ac:dyDescent="0.35">
      <c r="A404" s="29"/>
      <c r="B404" s="22"/>
      <c r="C404" s="22"/>
      <c r="D404" s="22"/>
      <c r="E404" s="22"/>
      <c r="F404" s="22"/>
      <c r="G404" s="22"/>
      <c r="H404" s="22"/>
      <c r="I404" s="22"/>
      <c r="J404" s="22"/>
      <c r="K404" s="29"/>
      <c r="L404" s="22"/>
      <c r="M404" s="30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1"/>
      <c r="AP404" s="26"/>
      <c r="AQ404" s="27"/>
      <c r="AR404" s="21"/>
      <c r="AS404" s="28"/>
    </row>
    <row r="405" spans="1:45" x14ac:dyDescent="0.35">
      <c r="A405" s="29"/>
      <c r="B405" s="22"/>
      <c r="C405" s="22"/>
      <c r="D405" s="22"/>
      <c r="E405" s="22"/>
      <c r="F405" s="22"/>
      <c r="G405" s="22"/>
      <c r="H405" s="22"/>
      <c r="I405" s="22"/>
      <c r="J405" s="22"/>
      <c r="K405" s="29"/>
      <c r="L405" s="22"/>
      <c r="M405" s="30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1"/>
      <c r="AP405" s="26"/>
      <c r="AQ405" s="27"/>
      <c r="AR405" s="21"/>
      <c r="AS405" s="28"/>
    </row>
    <row r="406" spans="1:45" x14ac:dyDescent="0.35">
      <c r="A406" s="29"/>
      <c r="B406" s="22"/>
      <c r="C406" s="22"/>
      <c r="D406" s="22"/>
      <c r="E406" s="22"/>
      <c r="F406" s="22"/>
      <c r="G406" s="22"/>
      <c r="H406" s="22"/>
      <c r="I406" s="22"/>
      <c r="J406" s="22"/>
      <c r="K406" s="29"/>
      <c r="L406" s="22"/>
      <c r="M406" s="30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1"/>
      <c r="AP406" s="26"/>
      <c r="AQ406" s="27"/>
      <c r="AR406" s="21"/>
      <c r="AS406" s="28"/>
    </row>
    <row r="407" spans="1:45" x14ac:dyDescent="0.35">
      <c r="A407" s="29"/>
      <c r="B407" s="22"/>
      <c r="C407" s="22"/>
      <c r="D407" s="22"/>
      <c r="E407" s="22"/>
      <c r="F407" s="22"/>
      <c r="G407" s="22"/>
      <c r="H407" s="22"/>
      <c r="I407" s="22"/>
      <c r="J407" s="22"/>
      <c r="K407" s="29"/>
      <c r="L407" s="22"/>
      <c r="M407" s="30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1"/>
      <c r="AP407" s="26"/>
      <c r="AQ407" s="27"/>
      <c r="AR407" s="21"/>
      <c r="AS407" s="28"/>
    </row>
    <row r="408" spans="1:45" x14ac:dyDescent="0.35">
      <c r="A408" s="29"/>
      <c r="B408" s="22"/>
      <c r="C408" s="22"/>
      <c r="D408" s="22"/>
      <c r="E408" s="22"/>
      <c r="F408" s="22"/>
      <c r="G408" s="22"/>
      <c r="H408" s="22"/>
      <c r="I408" s="22"/>
      <c r="J408" s="22"/>
      <c r="K408" s="29"/>
      <c r="L408" s="22"/>
      <c r="M408" s="30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1"/>
      <c r="AP408" s="26"/>
      <c r="AQ408" s="27"/>
      <c r="AR408" s="21"/>
      <c r="AS408" s="28"/>
    </row>
    <row r="409" spans="1:45" x14ac:dyDescent="0.35">
      <c r="A409" s="29"/>
      <c r="B409" s="22"/>
      <c r="C409" s="22"/>
      <c r="D409" s="22"/>
      <c r="E409" s="22"/>
      <c r="F409" s="22"/>
      <c r="G409" s="22"/>
      <c r="H409" s="22"/>
      <c r="I409" s="22"/>
      <c r="J409" s="22"/>
      <c r="K409" s="29"/>
      <c r="L409" s="22"/>
      <c r="M409" s="30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1"/>
      <c r="AP409" s="26"/>
      <c r="AQ409" s="27"/>
      <c r="AR409" s="21"/>
      <c r="AS409" s="28"/>
    </row>
    <row r="410" spans="1:45" x14ac:dyDescent="0.35">
      <c r="A410" s="29"/>
      <c r="B410" s="22"/>
      <c r="C410" s="22"/>
      <c r="D410" s="22"/>
      <c r="E410" s="22"/>
      <c r="F410" s="22"/>
      <c r="G410" s="22"/>
      <c r="H410" s="22"/>
      <c r="I410" s="22"/>
      <c r="J410" s="22"/>
      <c r="K410" s="29"/>
      <c r="L410" s="22"/>
      <c r="M410" s="30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1"/>
      <c r="AP410" s="26"/>
      <c r="AQ410" s="27"/>
      <c r="AR410" s="21"/>
      <c r="AS410" s="28"/>
    </row>
    <row r="411" spans="1:45" x14ac:dyDescent="0.35">
      <c r="A411" s="29"/>
      <c r="B411" s="22"/>
      <c r="C411" s="22"/>
      <c r="D411" s="22"/>
      <c r="E411" s="22"/>
      <c r="F411" s="22"/>
      <c r="G411" s="22"/>
      <c r="H411" s="22"/>
      <c r="I411" s="22"/>
      <c r="J411" s="22"/>
      <c r="K411" s="29"/>
      <c r="L411" s="22"/>
      <c r="M411" s="30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1"/>
      <c r="AP411" s="26"/>
      <c r="AQ411" s="27"/>
      <c r="AR411" s="21"/>
      <c r="AS411" s="28"/>
    </row>
    <row r="412" spans="1:45" x14ac:dyDescent="0.35">
      <c r="A412" s="29"/>
      <c r="B412" s="22"/>
      <c r="C412" s="22"/>
      <c r="D412" s="22"/>
      <c r="E412" s="22"/>
      <c r="F412" s="22"/>
      <c r="G412" s="22"/>
      <c r="H412" s="22"/>
      <c r="I412" s="22"/>
      <c r="J412" s="22"/>
      <c r="K412" s="29"/>
      <c r="L412" s="22"/>
      <c r="M412" s="30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1"/>
      <c r="AP412" s="26"/>
      <c r="AQ412" s="27"/>
      <c r="AR412" s="21"/>
      <c r="AS412" s="28"/>
    </row>
    <row r="413" spans="1:45" x14ac:dyDescent="0.35">
      <c r="A413" s="29"/>
      <c r="B413" s="22"/>
      <c r="C413" s="22"/>
      <c r="D413" s="22"/>
      <c r="E413" s="22"/>
      <c r="F413" s="22"/>
      <c r="G413" s="22"/>
      <c r="H413" s="22"/>
      <c r="I413" s="22"/>
      <c r="J413" s="22"/>
      <c r="K413" s="29"/>
      <c r="L413" s="22"/>
      <c r="M413" s="30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1"/>
      <c r="AP413" s="26"/>
      <c r="AQ413" s="27"/>
      <c r="AR413" s="21"/>
      <c r="AS413" s="28"/>
    </row>
    <row r="414" spans="1:45" x14ac:dyDescent="0.35">
      <c r="A414" s="29"/>
      <c r="B414" s="22"/>
      <c r="C414" s="22"/>
      <c r="D414" s="22"/>
      <c r="E414" s="22"/>
      <c r="F414" s="22"/>
      <c r="G414" s="22"/>
      <c r="H414" s="22"/>
      <c r="I414" s="22"/>
      <c r="J414" s="22"/>
      <c r="K414" s="29"/>
      <c r="L414" s="22"/>
      <c r="M414" s="30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1"/>
      <c r="AP414" s="26"/>
      <c r="AQ414" s="27"/>
      <c r="AR414" s="21"/>
      <c r="AS414" s="28"/>
    </row>
    <row r="415" spans="1:45" x14ac:dyDescent="0.35">
      <c r="A415" s="29"/>
      <c r="B415" s="22"/>
      <c r="C415" s="22"/>
      <c r="D415" s="22"/>
      <c r="E415" s="22"/>
      <c r="F415" s="22"/>
      <c r="G415" s="22"/>
      <c r="H415" s="22"/>
      <c r="I415" s="22"/>
      <c r="J415" s="22"/>
      <c r="K415" s="29"/>
      <c r="L415" s="22"/>
      <c r="M415" s="30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1"/>
      <c r="AP415" s="26"/>
      <c r="AQ415" s="27"/>
      <c r="AR415" s="21"/>
      <c r="AS415" s="28"/>
    </row>
    <row r="416" spans="1:45" x14ac:dyDescent="0.35">
      <c r="A416" s="29"/>
      <c r="B416" s="22"/>
      <c r="C416" s="22"/>
      <c r="D416" s="22"/>
      <c r="E416" s="22"/>
      <c r="F416" s="22"/>
      <c r="G416" s="22"/>
      <c r="H416" s="22"/>
      <c r="I416" s="22"/>
      <c r="J416" s="22"/>
      <c r="K416" s="29"/>
      <c r="L416" s="22"/>
      <c r="M416" s="30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1"/>
      <c r="AP416" s="26"/>
      <c r="AQ416" s="27"/>
      <c r="AR416" s="21"/>
      <c r="AS416" s="28"/>
    </row>
    <row r="417" spans="1:45" x14ac:dyDescent="0.35">
      <c r="A417" s="29"/>
      <c r="B417" s="22"/>
      <c r="C417" s="22"/>
      <c r="D417" s="22"/>
      <c r="E417" s="22"/>
      <c r="F417" s="22"/>
      <c r="G417" s="22"/>
      <c r="H417" s="22"/>
      <c r="I417" s="22"/>
      <c r="J417" s="22"/>
      <c r="K417" s="29"/>
      <c r="L417" s="22"/>
      <c r="M417" s="30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1"/>
      <c r="AP417" s="26"/>
      <c r="AQ417" s="27"/>
      <c r="AR417" s="21"/>
      <c r="AS417" s="28"/>
    </row>
    <row r="418" spans="1:45" x14ac:dyDescent="0.35">
      <c r="A418" s="29"/>
      <c r="B418" s="22"/>
      <c r="C418" s="22"/>
      <c r="D418" s="22"/>
      <c r="E418" s="22"/>
      <c r="F418" s="22"/>
      <c r="G418" s="22"/>
      <c r="H418" s="22"/>
      <c r="I418" s="22"/>
      <c r="J418" s="22"/>
      <c r="K418" s="29"/>
      <c r="L418" s="22"/>
      <c r="M418" s="30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1"/>
      <c r="AP418" s="26"/>
      <c r="AQ418" s="27"/>
      <c r="AR418" s="21"/>
      <c r="AS418" s="28"/>
    </row>
    <row r="419" spans="1:45" x14ac:dyDescent="0.35">
      <c r="A419" s="29"/>
      <c r="B419" s="22"/>
      <c r="C419" s="22"/>
      <c r="D419" s="22"/>
      <c r="E419" s="22"/>
      <c r="F419" s="22"/>
      <c r="G419" s="22"/>
      <c r="H419" s="22"/>
      <c r="I419" s="22"/>
      <c r="J419" s="22"/>
      <c r="K419" s="29"/>
      <c r="L419" s="22"/>
      <c r="M419" s="30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1"/>
      <c r="AP419" s="26"/>
      <c r="AQ419" s="27"/>
      <c r="AR419" s="21"/>
      <c r="AS419" s="28"/>
    </row>
    <row r="420" spans="1:45" x14ac:dyDescent="0.35">
      <c r="A420" s="29"/>
      <c r="B420" s="22"/>
      <c r="C420" s="22"/>
      <c r="D420" s="22"/>
      <c r="E420" s="22"/>
      <c r="F420" s="22"/>
      <c r="G420" s="22"/>
      <c r="H420" s="22"/>
      <c r="I420" s="22"/>
      <c r="J420" s="22"/>
      <c r="K420" s="29"/>
      <c r="L420" s="22"/>
      <c r="M420" s="30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1"/>
      <c r="AP420" s="26"/>
      <c r="AQ420" s="27"/>
      <c r="AR420" s="21"/>
      <c r="AS420" s="28"/>
    </row>
    <row r="421" spans="1:45" x14ac:dyDescent="0.35">
      <c r="A421" s="29"/>
      <c r="B421" s="22"/>
      <c r="C421" s="22"/>
      <c r="D421" s="22"/>
      <c r="E421" s="22"/>
      <c r="F421" s="22"/>
      <c r="G421" s="22"/>
      <c r="H421" s="22"/>
      <c r="I421" s="22"/>
      <c r="J421" s="22"/>
      <c r="K421" s="29"/>
      <c r="L421" s="22"/>
      <c r="M421" s="30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1"/>
      <c r="AP421" s="26"/>
      <c r="AQ421" s="27"/>
      <c r="AR421" s="21"/>
      <c r="AS421" s="28"/>
    </row>
    <row r="422" spans="1:45" x14ac:dyDescent="0.35">
      <c r="A422" s="29"/>
      <c r="B422" s="22"/>
      <c r="C422" s="22"/>
      <c r="D422" s="22"/>
      <c r="E422" s="22"/>
      <c r="F422" s="22"/>
      <c r="G422" s="22"/>
      <c r="H422" s="22"/>
      <c r="I422" s="22"/>
      <c r="J422" s="22"/>
      <c r="K422" s="29"/>
      <c r="L422" s="22"/>
      <c r="M422" s="30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1"/>
      <c r="AP422" s="26"/>
      <c r="AQ422" s="27"/>
      <c r="AR422" s="21"/>
      <c r="AS422" s="28"/>
    </row>
    <row r="423" spans="1:45" x14ac:dyDescent="0.35">
      <c r="A423" s="29"/>
      <c r="B423" s="22"/>
      <c r="C423" s="22"/>
      <c r="D423" s="22"/>
      <c r="E423" s="22"/>
      <c r="F423" s="22"/>
      <c r="G423" s="22"/>
      <c r="H423" s="22"/>
      <c r="I423" s="22"/>
      <c r="J423" s="22"/>
      <c r="K423" s="29"/>
      <c r="L423" s="22"/>
      <c r="M423" s="30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1"/>
      <c r="AP423" s="26"/>
      <c r="AQ423" s="27"/>
      <c r="AR423" s="21"/>
      <c r="AS423" s="28"/>
    </row>
    <row r="424" spans="1:45" x14ac:dyDescent="0.35">
      <c r="A424" s="29"/>
      <c r="B424" s="22"/>
      <c r="C424" s="22"/>
      <c r="D424" s="22"/>
      <c r="E424" s="22"/>
      <c r="F424" s="22"/>
      <c r="G424" s="22"/>
      <c r="H424" s="22"/>
      <c r="I424" s="22"/>
      <c r="J424" s="22"/>
      <c r="K424" s="29"/>
      <c r="L424" s="22"/>
      <c r="M424" s="30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1"/>
      <c r="AP424" s="26"/>
      <c r="AQ424" s="27"/>
      <c r="AR424" s="21"/>
      <c r="AS424" s="28"/>
    </row>
    <row r="425" spans="1:45" x14ac:dyDescent="0.35">
      <c r="A425" s="29"/>
      <c r="B425" s="22"/>
      <c r="C425" s="22"/>
      <c r="D425" s="22"/>
      <c r="E425" s="22"/>
      <c r="F425" s="22"/>
      <c r="G425" s="22"/>
      <c r="H425" s="22"/>
      <c r="I425" s="22"/>
      <c r="J425" s="22"/>
      <c r="K425" s="29"/>
      <c r="L425" s="22"/>
      <c r="M425" s="30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1"/>
      <c r="AP425" s="26"/>
      <c r="AQ425" s="27"/>
      <c r="AR425" s="21"/>
      <c r="AS425" s="28"/>
    </row>
    <row r="426" spans="1:45" x14ac:dyDescent="0.35">
      <c r="A426" s="29"/>
      <c r="B426" s="22"/>
      <c r="C426" s="22"/>
      <c r="D426" s="22"/>
      <c r="E426" s="22"/>
      <c r="F426" s="22"/>
      <c r="G426" s="22"/>
      <c r="H426" s="22"/>
      <c r="I426" s="22"/>
      <c r="J426" s="22"/>
      <c r="K426" s="29"/>
      <c r="L426" s="22"/>
      <c r="M426" s="30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1"/>
      <c r="AP426" s="26"/>
      <c r="AQ426" s="27"/>
      <c r="AR426" s="21"/>
      <c r="AS426" s="28"/>
    </row>
    <row r="427" spans="1:45" x14ac:dyDescent="0.35">
      <c r="A427" s="29"/>
      <c r="B427" s="22"/>
      <c r="C427" s="22"/>
      <c r="D427" s="22"/>
      <c r="E427" s="22"/>
      <c r="F427" s="22"/>
      <c r="G427" s="22"/>
      <c r="H427" s="22"/>
      <c r="I427" s="22"/>
      <c r="J427" s="22"/>
      <c r="K427" s="29"/>
      <c r="L427" s="22"/>
      <c r="M427" s="30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1"/>
      <c r="AP427" s="26"/>
      <c r="AQ427" s="27"/>
      <c r="AR427" s="21"/>
      <c r="AS427" s="28"/>
    </row>
    <row r="428" spans="1:45" x14ac:dyDescent="0.35">
      <c r="A428" s="29"/>
      <c r="B428" s="22"/>
      <c r="C428" s="22"/>
      <c r="D428" s="22"/>
      <c r="E428" s="22"/>
      <c r="F428" s="22"/>
      <c r="G428" s="22"/>
      <c r="H428" s="22"/>
      <c r="I428" s="22"/>
      <c r="J428" s="22"/>
      <c r="K428" s="29"/>
      <c r="L428" s="22"/>
      <c r="M428" s="30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1"/>
      <c r="AP428" s="26"/>
      <c r="AQ428" s="27"/>
      <c r="AR428" s="21"/>
      <c r="AS428" s="28"/>
    </row>
    <row r="429" spans="1:45" x14ac:dyDescent="0.35">
      <c r="A429" s="29"/>
      <c r="B429" s="22"/>
      <c r="C429" s="22"/>
      <c r="D429" s="22"/>
      <c r="E429" s="22"/>
      <c r="F429" s="22"/>
      <c r="G429" s="22"/>
      <c r="H429" s="22"/>
      <c r="I429" s="22"/>
      <c r="J429" s="22"/>
      <c r="K429" s="29"/>
      <c r="L429" s="22"/>
      <c r="M429" s="30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1"/>
      <c r="AP429" s="26"/>
      <c r="AQ429" s="27"/>
      <c r="AR429" s="21"/>
      <c r="AS429" s="28"/>
    </row>
    <row r="430" spans="1:45" x14ac:dyDescent="0.35">
      <c r="A430" s="29"/>
      <c r="B430" s="22"/>
      <c r="C430" s="22"/>
      <c r="D430" s="22"/>
      <c r="E430" s="22"/>
      <c r="F430" s="22"/>
      <c r="G430" s="22"/>
      <c r="H430" s="22"/>
      <c r="I430" s="22"/>
      <c r="J430" s="22"/>
      <c r="K430" s="29"/>
      <c r="L430" s="22"/>
      <c r="M430" s="30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1"/>
      <c r="AP430" s="26"/>
      <c r="AQ430" s="27"/>
      <c r="AR430" s="21"/>
      <c r="AS430" s="28"/>
    </row>
    <row r="431" spans="1:45" x14ac:dyDescent="0.35">
      <c r="A431" s="29"/>
      <c r="B431" s="22"/>
      <c r="C431" s="22"/>
      <c r="D431" s="22"/>
      <c r="E431" s="22"/>
      <c r="F431" s="22"/>
      <c r="G431" s="22"/>
      <c r="H431" s="22"/>
      <c r="I431" s="22"/>
      <c r="J431" s="22"/>
      <c r="K431" s="29"/>
      <c r="L431" s="22"/>
      <c r="M431" s="30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1"/>
      <c r="AP431" s="26"/>
      <c r="AQ431" s="27"/>
      <c r="AR431" s="21"/>
      <c r="AS431" s="28"/>
    </row>
    <row r="432" spans="1:45" x14ac:dyDescent="0.35">
      <c r="A432" s="29"/>
      <c r="B432" s="22"/>
      <c r="C432" s="22"/>
      <c r="D432" s="22"/>
      <c r="E432" s="22"/>
      <c r="F432" s="22"/>
      <c r="G432" s="22"/>
      <c r="H432" s="22"/>
      <c r="I432" s="22"/>
      <c r="J432" s="22"/>
      <c r="K432" s="29"/>
      <c r="L432" s="22"/>
      <c r="M432" s="30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1"/>
      <c r="AP432" s="26"/>
      <c r="AQ432" s="27"/>
      <c r="AR432" s="21"/>
      <c r="AS432" s="28"/>
    </row>
    <row r="433" spans="1:45" x14ac:dyDescent="0.35">
      <c r="A433" s="29"/>
      <c r="B433" s="22"/>
      <c r="C433" s="22"/>
      <c r="D433" s="22"/>
      <c r="E433" s="22"/>
      <c r="F433" s="22"/>
      <c r="G433" s="22"/>
      <c r="H433" s="22"/>
      <c r="I433" s="22"/>
      <c r="J433" s="22"/>
      <c r="K433" s="29"/>
      <c r="L433" s="22"/>
      <c r="M433" s="30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1"/>
      <c r="AP433" s="26"/>
      <c r="AQ433" s="27"/>
      <c r="AR433" s="21"/>
      <c r="AS433" s="28"/>
    </row>
    <row r="434" spans="1:45" x14ac:dyDescent="0.35">
      <c r="A434" s="29"/>
      <c r="B434" s="22"/>
      <c r="C434" s="22"/>
      <c r="D434" s="22"/>
      <c r="E434" s="22"/>
      <c r="F434" s="22"/>
      <c r="G434" s="22"/>
      <c r="H434" s="22"/>
      <c r="I434" s="22"/>
      <c r="J434" s="22"/>
      <c r="K434" s="29"/>
      <c r="L434" s="22"/>
      <c r="M434" s="30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  <c r="AO434" s="21"/>
      <c r="AP434" s="26"/>
      <c r="AQ434" s="27"/>
      <c r="AR434" s="21"/>
      <c r="AS434" s="28"/>
    </row>
    <row r="435" spans="1:45" x14ac:dyDescent="0.35">
      <c r="A435" s="29"/>
      <c r="B435" s="22"/>
      <c r="C435" s="22"/>
      <c r="D435" s="22"/>
      <c r="E435" s="22"/>
      <c r="F435" s="22"/>
      <c r="G435" s="22"/>
      <c r="H435" s="22"/>
      <c r="I435" s="22"/>
      <c r="J435" s="22"/>
      <c r="K435" s="29"/>
      <c r="L435" s="22"/>
      <c r="M435" s="30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  <c r="AO435" s="21"/>
      <c r="AP435" s="26"/>
      <c r="AQ435" s="27"/>
      <c r="AR435" s="21"/>
      <c r="AS435" s="28"/>
    </row>
    <row r="436" spans="1:45" x14ac:dyDescent="0.35">
      <c r="A436" s="29"/>
      <c r="B436" s="22"/>
      <c r="C436" s="22"/>
      <c r="D436" s="22"/>
      <c r="E436" s="22"/>
      <c r="F436" s="22"/>
      <c r="G436" s="22"/>
      <c r="H436" s="22"/>
      <c r="I436" s="22"/>
      <c r="J436" s="22"/>
      <c r="K436" s="29"/>
      <c r="L436" s="22"/>
      <c r="M436" s="30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  <c r="AO436" s="21"/>
      <c r="AP436" s="26"/>
      <c r="AQ436" s="27"/>
      <c r="AR436" s="21"/>
      <c r="AS436" s="28"/>
    </row>
    <row r="437" spans="1:45" x14ac:dyDescent="0.35">
      <c r="A437" s="29"/>
      <c r="B437" s="22"/>
      <c r="C437" s="22"/>
      <c r="D437" s="22"/>
      <c r="E437" s="22"/>
      <c r="F437" s="22"/>
      <c r="G437" s="22"/>
      <c r="H437" s="22"/>
      <c r="I437" s="22"/>
      <c r="J437" s="22"/>
      <c r="K437" s="29"/>
      <c r="L437" s="22"/>
      <c r="M437" s="30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  <c r="AO437" s="21"/>
      <c r="AP437" s="26"/>
      <c r="AQ437" s="27"/>
      <c r="AR437" s="21"/>
      <c r="AS437" s="28"/>
    </row>
    <row r="438" spans="1:45" x14ac:dyDescent="0.35">
      <c r="A438" s="29"/>
      <c r="B438" s="22"/>
      <c r="C438" s="22"/>
      <c r="D438" s="22"/>
      <c r="E438" s="22"/>
      <c r="F438" s="22"/>
      <c r="G438" s="22"/>
      <c r="H438" s="22"/>
      <c r="I438" s="22"/>
      <c r="J438" s="22"/>
      <c r="K438" s="29"/>
      <c r="L438" s="22"/>
      <c r="M438" s="30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  <c r="AO438" s="21"/>
      <c r="AP438" s="26"/>
      <c r="AQ438" s="27"/>
      <c r="AR438" s="21"/>
      <c r="AS438" s="28"/>
    </row>
    <row r="439" spans="1:45" x14ac:dyDescent="0.35">
      <c r="A439" s="29"/>
      <c r="B439" s="22"/>
      <c r="C439" s="22"/>
      <c r="D439" s="22"/>
      <c r="E439" s="22"/>
      <c r="F439" s="22"/>
      <c r="G439" s="22"/>
      <c r="H439" s="22"/>
      <c r="I439" s="22"/>
      <c r="J439" s="22"/>
      <c r="K439" s="29"/>
      <c r="L439" s="22"/>
      <c r="M439" s="30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1"/>
      <c r="AP439" s="26"/>
      <c r="AQ439" s="27"/>
      <c r="AR439" s="21"/>
      <c r="AS439" s="28"/>
    </row>
    <row r="440" spans="1:45" x14ac:dyDescent="0.35">
      <c r="A440" s="29"/>
      <c r="B440" s="22"/>
      <c r="C440" s="22"/>
      <c r="D440" s="22"/>
      <c r="E440" s="22"/>
      <c r="F440" s="22"/>
      <c r="G440" s="22"/>
      <c r="H440" s="22"/>
      <c r="I440" s="22"/>
      <c r="J440" s="22"/>
      <c r="K440" s="29"/>
      <c r="L440" s="22"/>
      <c r="M440" s="30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  <c r="AO440" s="21"/>
      <c r="AP440" s="26"/>
      <c r="AQ440" s="27"/>
      <c r="AR440" s="21"/>
      <c r="AS440" s="28"/>
    </row>
    <row r="441" spans="1:45" x14ac:dyDescent="0.35">
      <c r="A441" s="29"/>
      <c r="B441" s="22"/>
      <c r="C441" s="22"/>
      <c r="D441" s="22"/>
      <c r="E441" s="22"/>
      <c r="F441" s="22"/>
      <c r="G441" s="22"/>
      <c r="H441" s="22"/>
      <c r="I441" s="22"/>
      <c r="J441" s="22"/>
      <c r="K441" s="29"/>
      <c r="L441" s="22"/>
      <c r="M441" s="30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1"/>
      <c r="AP441" s="26"/>
      <c r="AQ441" s="27"/>
      <c r="AR441" s="21"/>
      <c r="AS441" s="28"/>
    </row>
    <row r="442" spans="1:45" x14ac:dyDescent="0.35">
      <c r="A442" s="29"/>
      <c r="B442" s="22"/>
      <c r="C442" s="22"/>
      <c r="D442" s="22"/>
      <c r="E442" s="22"/>
      <c r="F442" s="22"/>
      <c r="G442" s="22"/>
      <c r="H442" s="22"/>
      <c r="I442" s="22"/>
      <c r="J442" s="22"/>
      <c r="K442" s="29"/>
      <c r="L442" s="22"/>
      <c r="M442" s="30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  <c r="AO442" s="21"/>
      <c r="AP442" s="26"/>
      <c r="AQ442" s="27"/>
      <c r="AR442" s="21"/>
      <c r="AS442" s="28"/>
    </row>
    <row r="443" spans="1:45" x14ac:dyDescent="0.35">
      <c r="A443" s="29"/>
      <c r="B443" s="22"/>
      <c r="C443" s="22"/>
      <c r="D443" s="22"/>
      <c r="E443" s="22"/>
      <c r="F443" s="22"/>
      <c r="G443" s="22"/>
      <c r="H443" s="22"/>
      <c r="I443" s="22"/>
      <c r="J443" s="22"/>
      <c r="K443" s="29"/>
      <c r="L443" s="22"/>
      <c r="M443" s="30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  <c r="AO443" s="21"/>
      <c r="AP443" s="26"/>
      <c r="AQ443" s="27"/>
      <c r="AR443" s="21"/>
      <c r="AS443" s="28"/>
    </row>
    <row r="444" spans="1:45" x14ac:dyDescent="0.35">
      <c r="A444" s="29"/>
      <c r="B444" s="22"/>
      <c r="C444" s="22"/>
      <c r="D444" s="22"/>
      <c r="E444" s="22"/>
      <c r="F444" s="22"/>
      <c r="G444" s="22"/>
      <c r="H444" s="22"/>
      <c r="I444" s="22"/>
      <c r="J444" s="22"/>
      <c r="K444" s="29"/>
      <c r="L444" s="22"/>
      <c r="M444" s="30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  <c r="AO444" s="21"/>
      <c r="AP444" s="26"/>
      <c r="AQ444" s="27"/>
      <c r="AR444" s="21"/>
      <c r="AS444" s="28"/>
    </row>
    <row r="445" spans="1:45" x14ac:dyDescent="0.35">
      <c r="A445" s="29"/>
      <c r="B445" s="22"/>
      <c r="C445" s="22"/>
      <c r="D445" s="22"/>
      <c r="E445" s="22"/>
      <c r="F445" s="22"/>
      <c r="G445" s="22"/>
      <c r="H445" s="22"/>
      <c r="I445" s="22"/>
      <c r="J445" s="22"/>
      <c r="K445" s="29"/>
      <c r="L445" s="22"/>
      <c r="M445" s="30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1"/>
      <c r="AP445" s="26"/>
      <c r="AQ445" s="27"/>
      <c r="AR445" s="21"/>
      <c r="AS445" s="28"/>
    </row>
    <row r="446" spans="1:45" x14ac:dyDescent="0.35">
      <c r="A446" s="29"/>
      <c r="B446" s="22"/>
      <c r="C446" s="22"/>
      <c r="D446" s="22"/>
      <c r="E446" s="22"/>
      <c r="F446" s="22"/>
      <c r="G446" s="22"/>
      <c r="H446" s="22"/>
      <c r="I446" s="22"/>
      <c r="J446" s="22"/>
      <c r="K446" s="29"/>
      <c r="L446" s="22"/>
      <c r="M446" s="30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  <c r="AO446" s="21"/>
      <c r="AP446" s="26"/>
      <c r="AQ446" s="27"/>
      <c r="AR446" s="21"/>
      <c r="AS446" s="28"/>
    </row>
    <row r="447" spans="1:45" x14ac:dyDescent="0.35">
      <c r="A447" s="29"/>
      <c r="B447" s="22"/>
      <c r="C447" s="22"/>
      <c r="D447" s="22"/>
      <c r="E447" s="22"/>
      <c r="F447" s="22"/>
      <c r="G447" s="22"/>
      <c r="H447" s="22"/>
      <c r="I447" s="22"/>
      <c r="J447" s="22"/>
      <c r="K447" s="29"/>
      <c r="L447" s="22"/>
      <c r="M447" s="30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1"/>
      <c r="AP447" s="26"/>
      <c r="AQ447" s="27"/>
      <c r="AR447" s="21"/>
      <c r="AS447" s="28"/>
    </row>
    <row r="448" spans="1:45" x14ac:dyDescent="0.35">
      <c r="A448" s="29"/>
      <c r="B448" s="22"/>
      <c r="C448" s="22"/>
      <c r="D448" s="22"/>
      <c r="E448" s="22"/>
      <c r="F448" s="22"/>
      <c r="G448" s="22"/>
      <c r="H448" s="22"/>
      <c r="I448" s="22"/>
      <c r="J448" s="22"/>
      <c r="K448" s="29"/>
      <c r="L448" s="22"/>
      <c r="M448" s="30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1"/>
      <c r="AP448" s="26"/>
      <c r="AQ448" s="27"/>
      <c r="AR448" s="21"/>
      <c r="AS448" s="28"/>
    </row>
    <row r="449" spans="1:45" x14ac:dyDescent="0.35">
      <c r="A449" s="29"/>
      <c r="B449" s="22"/>
      <c r="C449" s="22"/>
      <c r="D449" s="22"/>
      <c r="E449" s="22"/>
      <c r="F449" s="22"/>
      <c r="G449" s="22"/>
      <c r="H449" s="22"/>
      <c r="I449" s="22"/>
      <c r="J449" s="22"/>
      <c r="K449" s="29"/>
      <c r="L449" s="22"/>
      <c r="M449" s="30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1"/>
      <c r="AP449" s="26"/>
      <c r="AQ449" s="27"/>
      <c r="AR449" s="21"/>
      <c r="AS449" s="28"/>
    </row>
    <row r="450" spans="1:45" x14ac:dyDescent="0.35">
      <c r="A450" s="29"/>
      <c r="B450" s="22"/>
      <c r="C450" s="22"/>
      <c r="D450" s="22"/>
      <c r="E450" s="22"/>
      <c r="F450" s="22"/>
      <c r="G450" s="22"/>
      <c r="H450" s="22"/>
      <c r="I450" s="22"/>
      <c r="J450" s="22"/>
      <c r="K450" s="29"/>
      <c r="L450" s="22"/>
      <c r="M450" s="30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1"/>
      <c r="AP450" s="26"/>
      <c r="AQ450" s="27"/>
      <c r="AR450" s="21"/>
      <c r="AS450" s="28"/>
    </row>
    <row r="451" spans="1:45" x14ac:dyDescent="0.35">
      <c r="A451" s="29"/>
      <c r="B451" s="22"/>
      <c r="C451" s="22"/>
      <c r="D451" s="22"/>
      <c r="E451" s="22"/>
      <c r="F451" s="22"/>
      <c r="G451" s="22"/>
      <c r="H451" s="22"/>
      <c r="I451" s="22"/>
      <c r="J451" s="22"/>
      <c r="K451" s="29"/>
      <c r="L451" s="22"/>
      <c r="M451" s="30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1"/>
      <c r="AP451" s="26"/>
      <c r="AQ451" s="27"/>
      <c r="AR451" s="21"/>
      <c r="AS451" s="28"/>
    </row>
    <row r="452" spans="1:45" x14ac:dyDescent="0.35">
      <c r="A452" s="29"/>
      <c r="B452" s="22"/>
      <c r="C452" s="22"/>
      <c r="D452" s="22"/>
      <c r="E452" s="22"/>
      <c r="F452" s="22"/>
      <c r="G452" s="22"/>
      <c r="H452" s="22"/>
      <c r="I452" s="22"/>
      <c r="J452" s="22"/>
      <c r="K452" s="29"/>
      <c r="L452" s="22"/>
      <c r="M452" s="30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  <c r="AO452" s="21"/>
      <c r="AP452" s="26"/>
      <c r="AQ452" s="27"/>
      <c r="AR452" s="21"/>
      <c r="AS452" s="28"/>
    </row>
    <row r="453" spans="1:45" x14ac:dyDescent="0.35">
      <c r="A453" s="29"/>
      <c r="B453" s="22"/>
      <c r="C453" s="22"/>
      <c r="D453" s="22"/>
      <c r="E453" s="22"/>
      <c r="F453" s="22"/>
      <c r="G453" s="22"/>
      <c r="H453" s="22"/>
      <c r="I453" s="22"/>
      <c r="J453" s="22"/>
      <c r="K453" s="29"/>
      <c r="L453" s="22"/>
      <c r="M453" s="30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  <c r="AO453" s="21"/>
      <c r="AP453" s="26"/>
      <c r="AQ453" s="27"/>
      <c r="AR453" s="21"/>
      <c r="AS453" s="28"/>
    </row>
    <row r="454" spans="1:45" x14ac:dyDescent="0.35">
      <c r="A454" s="29"/>
      <c r="B454" s="22"/>
      <c r="C454" s="22"/>
      <c r="D454" s="22"/>
      <c r="E454" s="22"/>
      <c r="F454" s="22"/>
      <c r="G454" s="22"/>
      <c r="H454" s="22"/>
      <c r="I454" s="22"/>
      <c r="J454" s="22"/>
      <c r="K454" s="29"/>
      <c r="L454" s="22"/>
      <c r="M454" s="30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  <c r="AO454" s="21"/>
      <c r="AP454" s="26"/>
      <c r="AQ454" s="27"/>
      <c r="AR454" s="21"/>
      <c r="AS454" s="28"/>
    </row>
    <row r="455" spans="1:45" x14ac:dyDescent="0.35">
      <c r="A455" s="29"/>
      <c r="B455" s="22"/>
      <c r="C455" s="22"/>
      <c r="D455" s="22"/>
      <c r="E455" s="22"/>
      <c r="F455" s="22"/>
      <c r="G455" s="22"/>
      <c r="H455" s="22"/>
      <c r="I455" s="22"/>
      <c r="J455" s="22"/>
      <c r="K455" s="29"/>
      <c r="L455" s="22"/>
      <c r="M455" s="30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  <c r="AO455" s="21"/>
      <c r="AP455" s="26"/>
      <c r="AQ455" s="27"/>
      <c r="AR455" s="21"/>
      <c r="AS455" s="28"/>
    </row>
    <row r="456" spans="1:45" x14ac:dyDescent="0.35">
      <c r="A456" s="29"/>
      <c r="B456" s="22"/>
      <c r="C456" s="22"/>
      <c r="D456" s="22"/>
      <c r="E456" s="22"/>
      <c r="F456" s="22"/>
      <c r="G456" s="22"/>
      <c r="H456" s="22"/>
      <c r="I456" s="22"/>
      <c r="J456" s="22"/>
      <c r="K456" s="29"/>
      <c r="L456" s="22"/>
      <c r="M456" s="30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22"/>
      <c r="AM456" s="22"/>
      <c r="AN456" s="22"/>
      <c r="AO456" s="21"/>
      <c r="AP456" s="26"/>
      <c r="AQ456" s="27"/>
      <c r="AR456" s="21"/>
      <c r="AS456" s="28"/>
    </row>
    <row r="457" spans="1:45" x14ac:dyDescent="0.35">
      <c r="A457" s="29"/>
      <c r="B457" s="22"/>
      <c r="C457" s="22"/>
      <c r="D457" s="22"/>
      <c r="E457" s="22"/>
      <c r="F457" s="22"/>
      <c r="G457" s="22"/>
      <c r="H457" s="22"/>
      <c r="I457" s="22"/>
      <c r="J457" s="22"/>
      <c r="K457" s="29"/>
      <c r="L457" s="22"/>
      <c r="M457" s="30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1"/>
      <c r="AP457" s="26"/>
      <c r="AQ457" s="27"/>
      <c r="AR457" s="21"/>
      <c r="AS457" s="28"/>
    </row>
    <row r="458" spans="1:45" x14ac:dyDescent="0.35">
      <c r="A458" s="29"/>
      <c r="B458" s="22"/>
      <c r="C458" s="22"/>
      <c r="D458" s="22"/>
      <c r="E458" s="22"/>
      <c r="F458" s="22"/>
      <c r="G458" s="22"/>
      <c r="H458" s="22"/>
      <c r="I458" s="22"/>
      <c r="J458" s="22"/>
      <c r="K458" s="29"/>
      <c r="L458" s="22"/>
      <c r="M458" s="30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22"/>
      <c r="AM458" s="22"/>
      <c r="AN458" s="22"/>
      <c r="AO458" s="21"/>
      <c r="AP458" s="26"/>
      <c r="AQ458" s="27"/>
      <c r="AR458" s="21"/>
      <c r="AS458" s="28"/>
    </row>
    <row r="459" spans="1:45" x14ac:dyDescent="0.35">
      <c r="A459" s="24"/>
      <c r="B459" s="21"/>
      <c r="C459" s="21"/>
      <c r="D459" s="21"/>
      <c r="E459" s="21"/>
      <c r="F459" s="21"/>
      <c r="G459" s="21"/>
      <c r="H459" s="21"/>
      <c r="I459" s="21"/>
      <c r="J459" s="21"/>
      <c r="K459" s="24"/>
      <c r="L459" s="21"/>
      <c r="M459" s="25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6"/>
      <c r="AQ459" s="27"/>
      <c r="AR459" s="21"/>
      <c r="AS459" s="28"/>
    </row>
    <row r="460" spans="1:45" x14ac:dyDescent="0.35">
      <c r="A460" s="24"/>
      <c r="B460" s="21"/>
      <c r="C460" s="21"/>
      <c r="D460" s="21"/>
      <c r="E460" s="21"/>
      <c r="F460" s="21"/>
      <c r="G460" s="21"/>
      <c r="H460" s="21"/>
      <c r="I460" s="21"/>
      <c r="J460" s="21"/>
      <c r="K460" s="24"/>
      <c r="L460" s="21"/>
      <c r="M460" s="25"/>
      <c r="N460" s="21"/>
      <c r="O460" s="21"/>
      <c r="P460" s="21"/>
      <c r="Q460" s="21"/>
      <c r="R460" s="21"/>
      <c r="S460" s="21"/>
      <c r="T460" s="21"/>
      <c r="U460" s="21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6"/>
      <c r="AQ460" s="27"/>
      <c r="AR460" s="21"/>
      <c r="AS460" s="28"/>
    </row>
    <row r="461" spans="1:45" x14ac:dyDescent="0.35">
      <c r="A461" s="24"/>
      <c r="B461" s="21"/>
      <c r="C461" s="21"/>
      <c r="D461" s="21"/>
      <c r="E461" s="21"/>
      <c r="F461" s="21"/>
      <c r="G461" s="21"/>
      <c r="H461" s="21"/>
      <c r="I461" s="21"/>
      <c r="J461" s="21"/>
      <c r="K461" s="24"/>
      <c r="L461" s="21"/>
      <c r="M461" s="25"/>
      <c r="N461" s="21"/>
      <c r="O461" s="21"/>
      <c r="P461" s="21"/>
      <c r="Q461" s="21"/>
      <c r="R461" s="21"/>
      <c r="S461" s="21"/>
      <c r="T461" s="21"/>
      <c r="U461" s="21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6"/>
      <c r="AQ461" s="27"/>
      <c r="AR461" s="21"/>
      <c r="AS461" s="28"/>
    </row>
    <row r="462" spans="1:45" x14ac:dyDescent="0.35">
      <c r="A462" s="24"/>
      <c r="B462" s="21"/>
      <c r="C462" s="21"/>
      <c r="D462" s="21"/>
      <c r="E462" s="21"/>
      <c r="F462" s="21"/>
      <c r="G462" s="21"/>
      <c r="H462" s="21"/>
      <c r="I462" s="21"/>
      <c r="J462" s="21"/>
      <c r="K462" s="24"/>
      <c r="L462" s="21"/>
      <c r="M462" s="25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6"/>
      <c r="AQ462" s="27"/>
      <c r="AR462" s="21"/>
      <c r="AS462" s="28"/>
    </row>
    <row r="463" spans="1:45" x14ac:dyDescent="0.35">
      <c r="A463" s="24"/>
      <c r="B463" s="21"/>
      <c r="C463" s="21"/>
      <c r="D463" s="21"/>
      <c r="E463" s="21"/>
      <c r="F463" s="21"/>
      <c r="G463" s="21"/>
      <c r="H463" s="21"/>
      <c r="I463" s="21"/>
      <c r="J463" s="21"/>
      <c r="K463" s="21"/>
      <c r="L463" s="21"/>
      <c r="M463" s="25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6"/>
      <c r="AQ463" s="27"/>
      <c r="AR463" s="21"/>
      <c r="AS463" s="28"/>
    </row>
    <row r="464" spans="1:45" x14ac:dyDescent="0.35">
      <c r="A464" s="29"/>
      <c r="B464" s="22"/>
      <c r="C464" s="22"/>
      <c r="D464" s="22"/>
      <c r="E464" s="22"/>
      <c r="F464" s="22"/>
      <c r="G464" s="22"/>
      <c r="H464" s="22"/>
      <c r="I464" s="22"/>
      <c r="J464" s="22"/>
      <c r="K464" s="29"/>
      <c r="L464" s="22"/>
      <c r="M464" s="30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22"/>
      <c r="AM464" s="22"/>
      <c r="AN464" s="22"/>
      <c r="AO464" s="21"/>
      <c r="AP464" s="26"/>
      <c r="AQ464" s="27"/>
      <c r="AR464" s="21"/>
      <c r="AS464" s="28"/>
    </row>
    <row r="465" spans="1:45" x14ac:dyDescent="0.35">
      <c r="A465" s="24"/>
      <c r="B465" s="21"/>
      <c r="C465" s="21"/>
      <c r="D465" s="21"/>
      <c r="E465" s="21"/>
      <c r="F465" s="21"/>
      <c r="G465" s="21"/>
      <c r="H465" s="21"/>
      <c r="I465" s="21"/>
      <c r="J465" s="21"/>
      <c r="K465" s="24"/>
      <c r="L465" s="21"/>
      <c r="M465" s="25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6"/>
      <c r="AQ465" s="27"/>
      <c r="AR465" s="21"/>
      <c r="AS465" s="28"/>
    </row>
    <row r="466" spans="1:45" x14ac:dyDescent="0.35">
      <c r="A466" s="29"/>
      <c r="B466" s="22"/>
      <c r="C466" s="22"/>
      <c r="D466" s="22"/>
      <c r="E466" s="22"/>
      <c r="F466" s="22"/>
      <c r="G466" s="22"/>
      <c r="H466" s="22"/>
      <c r="I466" s="22"/>
      <c r="J466" s="22"/>
      <c r="K466" s="29"/>
      <c r="L466" s="22"/>
      <c r="M466" s="30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22"/>
      <c r="AM466" s="22"/>
      <c r="AN466" s="22"/>
      <c r="AO466" s="21"/>
      <c r="AP466" s="26"/>
      <c r="AQ466" s="27"/>
      <c r="AR466" s="21"/>
      <c r="AS466" s="28"/>
    </row>
    <row r="467" spans="1:45" x14ac:dyDescent="0.35">
      <c r="A467" s="24"/>
      <c r="B467" s="21"/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5"/>
      <c r="N467" s="21"/>
      <c r="O467" s="21"/>
      <c r="P467" s="21"/>
      <c r="Q467" s="21"/>
      <c r="R467" s="21"/>
      <c r="S467" s="21"/>
      <c r="T467" s="21"/>
      <c r="U467" s="21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6"/>
      <c r="AQ467" s="27"/>
      <c r="AR467" s="21"/>
      <c r="AS467" s="28"/>
    </row>
    <row r="468" spans="1:45" x14ac:dyDescent="0.35">
      <c r="A468" s="24"/>
      <c r="B468" s="21"/>
      <c r="C468" s="21"/>
      <c r="D468" s="21"/>
      <c r="E468" s="21"/>
      <c r="F468" s="21"/>
      <c r="G468" s="21"/>
      <c r="H468" s="21"/>
      <c r="I468" s="21"/>
      <c r="J468" s="21"/>
      <c r="K468" s="24"/>
      <c r="L468" s="21"/>
      <c r="M468" s="25"/>
      <c r="N468" s="21"/>
      <c r="O468" s="21"/>
      <c r="P468" s="21"/>
      <c r="Q468" s="21"/>
      <c r="R468" s="21"/>
      <c r="S468" s="21"/>
      <c r="T468" s="21"/>
      <c r="U468" s="21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6"/>
      <c r="AQ468" s="27"/>
      <c r="AR468" s="21"/>
      <c r="AS468" s="28"/>
    </row>
    <row r="469" spans="1:45" x14ac:dyDescent="0.35">
      <c r="A469" s="24"/>
      <c r="B469" s="21"/>
      <c r="C469" s="21"/>
      <c r="D469" s="21"/>
      <c r="E469" s="21"/>
      <c r="F469" s="21"/>
      <c r="G469" s="21"/>
      <c r="H469" s="21"/>
      <c r="I469" s="21"/>
      <c r="J469" s="21"/>
      <c r="K469" s="21"/>
      <c r="L469" s="21"/>
      <c r="M469" s="25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6"/>
      <c r="AQ469" s="27"/>
      <c r="AR469" s="21"/>
      <c r="AS469" s="28"/>
    </row>
    <row r="470" spans="1:45" x14ac:dyDescent="0.35">
      <c r="A470" s="24"/>
      <c r="B470" s="21"/>
      <c r="C470" s="21"/>
      <c r="D470" s="21"/>
      <c r="E470" s="21"/>
      <c r="F470" s="21"/>
      <c r="G470" s="21"/>
      <c r="H470" s="21"/>
      <c r="I470" s="21"/>
      <c r="J470" s="21"/>
      <c r="K470" s="24"/>
      <c r="L470" s="21"/>
      <c r="M470" s="25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6"/>
      <c r="AQ470" s="27"/>
      <c r="AR470" s="21"/>
      <c r="AS470" s="28"/>
    </row>
    <row r="471" spans="1:45" x14ac:dyDescent="0.35">
      <c r="A471" s="24"/>
      <c r="B471" s="21"/>
      <c r="C471" s="21"/>
      <c r="D471" s="21"/>
      <c r="E471" s="21"/>
      <c r="F471" s="21"/>
      <c r="G471" s="21"/>
      <c r="H471" s="21"/>
      <c r="I471" s="21"/>
      <c r="J471" s="21"/>
      <c r="K471" s="24"/>
      <c r="L471" s="21"/>
      <c r="M471" s="25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6"/>
      <c r="AQ471" s="27"/>
      <c r="AR471" s="21"/>
      <c r="AS471" s="28"/>
    </row>
    <row r="472" spans="1:45" x14ac:dyDescent="0.35">
      <c r="A472" s="24"/>
      <c r="B472" s="21"/>
      <c r="C472" s="21"/>
      <c r="D472" s="21"/>
      <c r="E472" s="21"/>
      <c r="F472" s="21"/>
      <c r="G472" s="21"/>
      <c r="H472" s="21"/>
      <c r="I472" s="21"/>
      <c r="J472" s="21"/>
      <c r="K472" s="24"/>
      <c r="L472" s="21"/>
      <c r="M472" s="25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6"/>
      <c r="AQ472" s="27"/>
      <c r="AR472" s="21"/>
      <c r="AS472" s="28"/>
    </row>
    <row r="473" spans="1:45" x14ac:dyDescent="0.35">
      <c r="A473" s="24"/>
      <c r="B473" s="21"/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5"/>
      <c r="N473" s="21"/>
      <c r="O473" s="21"/>
      <c r="P473" s="21"/>
      <c r="Q473" s="21"/>
      <c r="R473" s="21"/>
      <c r="S473" s="21"/>
      <c r="T473" s="21"/>
      <c r="U473" s="21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6"/>
      <c r="AQ473" s="27"/>
      <c r="AR473" s="21"/>
      <c r="AS473" s="28"/>
    </row>
    <row r="474" spans="1:45" x14ac:dyDescent="0.35">
      <c r="A474" s="29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30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22"/>
      <c r="AM474" s="22"/>
      <c r="AN474" s="22"/>
      <c r="AO474" s="21"/>
      <c r="AP474" s="26"/>
      <c r="AQ474" s="27"/>
      <c r="AR474" s="21"/>
      <c r="AS474" s="28"/>
    </row>
    <row r="475" spans="1:45" x14ac:dyDescent="0.35">
      <c r="A475" s="24"/>
      <c r="B475" s="21"/>
      <c r="C475" s="21"/>
      <c r="D475" s="21"/>
      <c r="E475" s="21"/>
      <c r="F475" s="21"/>
      <c r="G475" s="21"/>
      <c r="H475" s="21"/>
      <c r="I475" s="21"/>
      <c r="J475" s="21"/>
      <c r="K475" s="21"/>
      <c r="L475" s="21"/>
      <c r="M475" s="25"/>
      <c r="N475" s="21"/>
      <c r="O475" s="21"/>
      <c r="P475" s="21"/>
      <c r="Q475" s="21"/>
      <c r="R475" s="21"/>
      <c r="S475" s="21"/>
      <c r="T475" s="21"/>
      <c r="U475" s="21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6"/>
      <c r="AQ475" s="27"/>
      <c r="AR475" s="21"/>
      <c r="AS475" s="28"/>
    </row>
    <row r="476" spans="1:45" x14ac:dyDescent="0.35">
      <c r="A476" s="24"/>
      <c r="B476" s="21"/>
      <c r="C476" s="21"/>
      <c r="D476" s="21"/>
      <c r="E476" s="21"/>
      <c r="F476" s="21"/>
      <c r="G476" s="21"/>
      <c r="H476" s="21"/>
      <c r="I476" s="21"/>
      <c r="J476" s="21"/>
      <c r="K476" s="24"/>
      <c r="L476" s="21"/>
      <c r="M476" s="25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6"/>
      <c r="AQ476" s="27"/>
      <c r="AR476" s="21"/>
      <c r="AS476" s="28"/>
    </row>
    <row r="477" spans="1:45" x14ac:dyDescent="0.35">
      <c r="A477" s="24"/>
      <c r="B477" s="21"/>
      <c r="C477" s="21"/>
      <c r="D477" s="21"/>
      <c r="E477" s="21"/>
      <c r="F477" s="21"/>
      <c r="G477" s="21"/>
      <c r="H477" s="21"/>
      <c r="I477" s="21"/>
      <c r="J477" s="21"/>
      <c r="K477" s="24"/>
      <c r="L477" s="21"/>
      <c r="M477" s="25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6"/>
      <c r="AQ477" s="27"/>
      <c r="AR477" s="21"/>
      <c r="AS477" s="28"/>
    </row>
    <row r="478" spans="1:45" x14ac:dyDescent="0.35">
      <c r="A478" s="24"/>
      <c r="B478" s="21"/>
      <c r="C478" s="21"/>
      <c r="D478" s="21"/>
      <c r="E478" s="21"/>
      <c r="F478" s="21"/>
      <c r="G478" s="21"/>
      <c r="H478" s="21"/>
      <c r="I478" s="21"/>
      <c r="J478" s="21"/>
      <c r="K478" s="21"/>
      <c r="L478" s="21"/>
      <c r="M478" s="25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6"/>
      <c r="AQ478" s="27"/>
      <c r="AR478" s="21"/>
      <c r="AS478" s="28"/>
    </row>
    <row r="479" spans="1:45" x14ac:dyDescent="0.35">
      <c r="A479" s="24"/>
      <c r="B479" s="21"/>
      <c r="C479" s="21"/>
      <c r="D479" s="21"/>
      <c r="E479" s="21"/>
      <c r="F479" s="21"/>
      <c r="G479" s="21"/>
      <c r="H479" s="21"/>
      <c r="I479" s="21"/>
      <c r="J479" s="21"/>
      <c r="K479" s="24"/>
      <c r="L479" s="21"/>
      <c r="M479" s="25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6"/>
      <c r="AQ479" s="27"/>
      <c r="AR479" s="21"/>
      <c r="AS479" s="28"/>
    </row>
    <row r="480" spans="1:45" x14ac:dyDescent="0.35">
      <c r="A480" s="29"/>
      <c r="B480" s="22"/>
      <c r="C480" s="22"/>
      <c r="D480" s="22"/>
      <c r="E480" s="22"/>
      <c r="F480" s="22"/>
      <c r="G480" s="22"/>
      <c r="H480" s="22"/>
      <c r="I480" s="22"/>
      <c r="J480" s="22"/>
      <c r="K480" s="29"/>
      <c r="L480" s="22"/>
      <c r="M480" s="30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1"/>
      <c r="AP480" s="26"/>
      <c r="AQ480" s="27"/>
      <c r="AR480" s="21"/>
      <c r="AS480" s="28"/>
    </row>
    <row r="481" spans="1:45" x14ac:dyDescent="0.35">
      <c r="A481" s="24"/>
      <c r="B481" s="21"/>
      <c r="C481" s="21"/>
      <c r="D481" s="21"/>
      <c r="E481" s="21"/>
      <c r="F481" s="21"/>
      <c r="G481" s="21"/>
      <c r="H481" s="21"/>
      <c r="I481" s="21"/>
      <c r="J481" s="21"/>
      <c r="K481" s="24"/>
      <c r="L481" s="21"/>
      <c r="M481" s="25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6"/>
      <c r="AQ481" s="27"/>
      <c r="AR481" s="21"/>
      <c r="AS481" s="28"/>
    </row>
    <row r="482" spans="1:45" x14ac:dyDescent="0.35">
      <c r="A482" s="24"/>
      <c r="B482" s="21"/>
      <c r="C482" s="21"/>
      <c r="D482" s="21"/>
      <c r="E482" s="21"/>
      <c r="F482" s="21"/>
      <c r="G482" s="21"/>
      <c r="H482" s="21"/>
      <c r="I482" s="21"/>
      <c r="J482" s="21"/>
      <c r="K482" s="24"/>
      <c r="L482" s="21"/>
      <c r="M482" s="25"/>
      <c r="N482" s="21"/>
      <c r="O482" s="21"/>
      <c r="P482" s="21"/>
      <c r="Q482" s="21"/>
      <c r="R482" s="21"/>
      <c r="S482" s="21"/>
      <c r="T482" s="21"/>
      <c r="U482" s="21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6"/>
      <c r="AQ482" s="27"/>
      <c r="AR482" s="21"/>
      <c r="AS482" s="28"/>
    </row>
    <row r="483" spans="1:45" x14ac:dyDescent="0.35">
      <c r="A483" s="24"/>
      <c r="B483" s="21"/>
      <c r="C483" s="21"/>
      <c r="D483" s="21"/>
      <c r="E483" s="21"/>
      <c r="F483" s="21"/>
      <c r="G483" s="21"/>
      <c r="H483" s="21"/>
      <c r="I483" s="21"/>
      <c r="J483" s="21"/>
      <c r="K483" s="24"/>
      <c r="L483" s="21"/>
      <c r="M483" s="25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6"/>
      <c r="AQ483" s="27"/>
      <c r="AR483" s="21"/>
      <c r="AS483" s="28"/>
    </row>
    <row r="484" spans="1:45" x14ac:dyDescent="0.35">
      <c r="A484" s="24"/>
      <c r="B484" s="21"/>
      <c r="C484" s="21"/>
      <c r="D484" s="21"/>
      <c r="E484" s="21"/>
      <c r="F484" s="21"/>
      <c r="G484" s="21"/>
      <c r="H484" s="21"/>
      <c r="I484" s="21"/>
      <c r="J484" s="21"/>
      <c r="K484" s="24"/>
      <c r="L484" s="21"/>
      <c r="M484" s="25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6"/>
      <c r="AQ484" s="27"/>
      <c r="AR484" s="21"/>
      <c r="AS484" s="28"/>
    </row>
    <row r="485" spans="1:45" x14ac:dyDescent="0.35">
      <c r="A485" s="24"/>
      <c r="B485" s="21"/>
      <c r="C485" s="21"/>
      <c r="D485" s="21"/>
      <c r="E485" s="21"/>
      <c r="F485" s="21"/>
      <c r="G485" s="21"/>
      <c r="H485" s="21"/>
      <c r="I485" s="21"/>
      <c r="J485" s="21"/>
      <c r="K485" s="24"/>
      <c r="L485" s="21"/>
      <c r="M485" s="25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6"/>
      <c r="AQ485" s="27"/>
      <c r="AR485" s="21"/>
      <c r="AS485" s="28"/>
    </row>
    <row r="486" spans="1:45" x14ac:dyDescent="0.35">
      <c r="A486" s="24"/>
      <c r="B486" s="21"/>
      <c r="C486" s="21"/>
      <c r="D486" s="21"/>
      <c r="E486" s="21"/>
      <c r="F486" s="21"/>
      <c r="G486" s="21"/>
      <c r="H486" s="21"/>
      <c r="I486" s="21"/>
      <c r="J486" s="21"/>
      <c r="K486" s="24"/>
      <c r="L486" s="21"/>
      <c r="M486" s="25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6"/>
      <c r="AQ486" s="27"/>
      <c r="AR486" s="21"/>
      <c r="AS486" s="28"/>
    </row>
    <row r="487" spans="1:45" x14ac:dyDescent="0.35">
      <c r="A487" s="29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30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22"/>
      <c r="AM487" s="22"/>
      <c r="AN487" s="22"/>
      <c r="AO487" s="21"/>
      <c r="AP487" s="26"/>
      <c r="AQ487" s="27"/>
      <c r="AR487" s="21"/>
      <c r="AS487" s="28"/>
    </row>
    <row r="488" spans="1:45" x14ac:dyDescent="0.35">
      <c r="A488" s="24"/>
      <c r="B488" s="21"/>
      <c r="C488" s="21"/>
      <c r="D488" s="21"/>
      <c r="E488" s="21"/>
      <c r="F488" s="21"/>
      <c r="G488" s="21"/>
      <c r="H488" s="21"/>
      <c r="I488" s="21"/>
      <c r="J488" s="21"/>
      <c r="K488" s="21"/>
      <c r="L488" s="21"/>
      <c r="M488" s="25"/>
      <c r="N488" s="21"/>
      <c r="O488" s="21"/>
      <c r="P488" s="21"/>
      <c r="Q488" s="21"/>
      <c r="R488" s="21"/>
      <c r="S488" s="21"/>
      <c r="T488" s="21"/>
      <c r="U488" s="21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6"/>
      <c r="AQ488" s="27"/>
      <c r="AR488" s="21"/>
      <c r="AS488" s="28"/>
    </row>
    <row r="489" spans="1:45" x14ac:dyDescent="0.35">
      <c r="A489" s="24"/>
      <c r="B489" s="21"/>
      <c r="C489" s="21"/>
      <c r="D489" s="21"/>
      <c r="E489" s="21"/>
      <c r="F489" s="21"/>
      <c r="G489" s="21"/>
      <c r="H489" s="21"/>
      <c r="I489" s="21"/>
      <c r="J489" s="21"/>
      <c r="K489" s="24"/>
      <c r="L489" s="21"/>
      <c r="M489" s="25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6"/>
      <c r="AQ489" s="27"/>
      <c r="AR489" s="21"/>
      <c r="AS489" s="28"/>
    </row>
    <row r="490" spans="1:45" x14ac:dyDescent="0.35">
      <c r="A490" s="24"/>
      <c r="B490" s="21"/>
      <c r="C490" s="21"/>
      <c r="D490" s="21"/>
      <c r="E490" s="21"/>
      <c r="F490" s="21"/>
      <c r="G490" s="21"/>
      <c r="H490" s="21"/>
      <c r="I490" s="21"/>
      <c r="J490" s="21"/>
      <c r="K490" s="24"/>
      <c r="L490" s="21"/>
      <c r="M490" s="25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6"/>
      <c r="AQ490" s="27"/>
      <c r="AR490" s="21"/>
      <c r="AS490" s="28"/>
    </row>
    <row r="491" spans="1:45" x14ac:dyDescent="0.35">
      <c r="A491" s="24"/>
      <c r="B491" s="21"/>
      <c r="C491" s="21"/>
      <c r="D491" s="21"/>
      <c r="E491" s="21"/>
      <c r="F491" s="21"/>
      <c r="G491" s="21"/>
      <c r="H491" s="21"/>
      <c r="I491" s="21"/>
      <c r="J491" s="21"/>
      <c r="K491" s="24"/>
      <c r="L491" s="21"/>
      <c r="M491" s="25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6"/>
      <c r="AQ491" s="27"/>
      <c r="AR491" s="21"/>
      <c r="AS491" s="28"/>
    </row>
    <row r="492" spans="1:45" x14ac:dyDescent="0.35">
      <c r="A492" s="29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30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22"/>
      <c r="AM492" s="22"/>
      <c r="AN492" s="22"/>
      <c r="AO492" s="21"/>
      <c r="AP492" s="26"/>
      <c r="AQ492" s="27"/>
      <c r="AR492" s="21"/>
      <c r="AS492" s="28"/>
    </row>
    <row r="493" spans="1:45" x14ac:dyDescent="0.35">
      <c r="A493" s="24"/>
      <c r="B493" s="21"/>
      <c r="C493" s="21"/>
      <c r="D493" s="21"/>
      <c r="E493" s="21"/>
      <c r="F493" s="21"/>
      <c r="G493" s="21"/>
      <c r="H493" s="21"/>
      <c r="I493" s="21"/>
      <c r="J493" s="21"/>
      <c r="K493" s="24"/>
      <c r="L493" s="21"/>
      <c r="M493" s="25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6"/>
      <c r="AQ493" s="27"/>
      <c r="AR493" s="21"/>
      <c r="AS493" s="28"/>
    </row>
    <row r="494" spans="1:45" x14ac:dyDescent="0.35">
      <c r="A494" s="24"/>
      <c r="B494" s="21"/>
      <c r="C494" s="21"/>
      <c r="D494" s="21"/>
      <c r="E494" s="21"/>
      <c r="F494" s="21"/>
      <c r="G494" s="21"/>
      <c r="H494" s="21"/>
      <c r="I494" s="21"/>
      <c r="J494" s="21"/>
      <c r="K494" s="24"/>
      <c r="L494" s="21"/>
      <c r="M494" s="25"/>
      <c r="N494" s="21"/>
      <c r="O494" s="21"/>
      <c r="P494" s="21"/>
      <c r="Q494" s="21"/>
      <c r="R494" s="21"/>
      <c r="S494" s="21"/>
      <c r="T494" s="21"/>
      <c r="U494" s="21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6"/>
      <c r="AQ494" s="27"/>
      <c r="AR494" s="21"/>
      <c r="AS494" s="28"/>
    </row>
    <row r="495" spans="1:45" x14ac:dyDescent="0.35">
      <c r="A495" s="24"/>
      <c r="B495" s="21"/>
      <c r="C495" s="21"/>
      <c r="D495" s="21"/>
      <c r="E495" s="21"/>
      <c r="F495" s="21"/>
      <c r="G495" s="21"/>
      <c r="H495" s="21"/>
      <c r="I495" s="21"/>
      <c r="J495" s="21"/>
      <c r="K495" s="24"/>
      <c r="L495" s="21"/>
      <c r="M495" s="25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6"/>
      <c r="AQ495" s="27"/>
      <c r="AR495" s="21"/>
      <c r="AS495" s="28"/>
    </row>
    <row r="496" spans="1:45" x14ac:dyDescent="0.35">
      <c r="A496" s="24"/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5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6"/>
      <c r="AQ496" s="27"/>
      <c r="AR496" s="21"/>
      <c r="AS496" s="28"/>
    </row>
    <row r="497" spans="1:45" x14ac:dyDescent="0.35">
      <c r="A497" s="29"/>
      <c r="B497" s="22"/>
      <c r="C497" s="22"/>
      <c r="D497" s="22"/>
      <c r="E497" s="22"/>
      <c r="F497" s="22"/>
      <c r="G497" s="22"/>
      <c r="H497" s="22"/>
      <c r="I497" s="22"/>
      <c r="J497" s="22"/>
      <c r="K497" s="29"/>
      <c r="L497" s="22"/>
      <c r="M497" s="30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22"/>
      <c r="AM497" s="22"/>
      <c r="AN497" s="22"/>
      <c r="AO497" s="21"/>
      <c r="AP497" s="26"/>
      <c r="AQ497" s="27"/>
      <c r="AR497" s="21"/>
      <c r="AS497" s="28"/>
    </row>
    <row r="498" spans="1:45" x14ac:dyDescent="0.35">
      <c r="A498" s="24"/>
      <c r="B498" s="21"/>
      <c r="C498" s="21"/>
      <c r="D498" s="21"/>
      <c r="E498" s="21"/>
      <c r="F498" s="21"/>
      <c r="G498" s="21"/>
      <c r="H498" s="21"/>
      <c r="I498" s="21"/>
      <c r="J498" s="21"/>
      <c r="K498" s="24"/>
      <c r="L498" s="21"/>
      <c r="M498" s="25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6"/>
      <c r="AQ498" s="27"/>
      <c r="AR498" s="21"/>
      <c r="AS498" s="28"/>
    </row>
    <row r="499" spans="1:45" x14ac:dyDescent="0.35">
      <c r="A499" s="24"/>
      <c r="B499" s="21"/>
      <c r="C499" s="21"/>
      <c r="D499" s="21"/>
      <c r="E499" s="21"/>
      <c r="F499" s="21"/>
      <c r="G499" s="21"/>
      <c r="H499" s="21"/>
      <c r="I499" s="21"/>
      <c r="J499" s="21"/>
      <c r="K499" s="24"/>
      <c r="L499" s="21"/>
      <c r="M499" s="25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6"/>
      <c r="AQ499" s="27"/>
      <c r="AR499" s="21"/>
      <c r="AS499" s="28"/>
    </row>
    <row r="500" spans="1:45" x14ac:dyDescent="0.35">
      <c r="A500" s="24"/>
      <c r="B500" s="21"/>
      <c r="C500" s="21"/>
      <c r="D500" s="21"/>
      <c r="E500" s="21"/>
      <c r="F500" s="21"/>
      <c r="G500" s="21"/>
      <c r="H500" s="21"/>
      <c r="I500" s="21"/>
      <c r="J500" s="21"/>
      <c r="K500" s="24"/>
      <c r="L500" s="21"/>
      <c r="M500" s="25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6"/>
      <c r="AQ500" s="27"/>
      <c r="AR500" s="21"/>
      <c r="AS500" s="28"/>
    </row>
    <row r="501" spans="1:45" x14ac:dyDescent="0.35">
      <c r="A501" s="24"/>
      <c r="B501" s="21"/>
      <c r="C501" s="21"/>
      <c r="D501" s="21"/>
      <c r="E501" s="21"/>
      <c r="F501" s="21"/>
      <c r="G501" s="21"/>
      <c r="H501" s="21"/>
      <c r="I501" s="21"/>
      <c r="J501" s="21"/>
      <c r="K501" s="24"/>
      <c r="L501" s="21"/>
      <c r="M501" s="25"/>
      <c r="N501" s="21"/>
      <c r="O501" s="21"/>
      <c r="P501" s="21"/>
      <c r="Q501" s="21"/>
      <c r="R501" s="21"/>
      <c r="S501" s="21"/>
      <c r="T501" s="21"/>
      <c r="U501" s="21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6"/>
      <c r="AQ501" s="27"/>
      <c r="AR501" s="21"/>
      <c r="AS501" s="28"/>
    </row>
    <row r="502" spans="1:45" x14ac:dyDescent="0.35">
      <c r="A502" s="24"/>
      <c r="B502" s="21"/>
      <c r="C502" s="21"/>
      <c r="D502" s="21"/>
      <c r="E502" s="21"/>
      <c r="F502" s="21"/>
      <c r="G502" s="21"/>
      <c r="H502" s="21"/>
      <c r="I502" s="21"/>
      <c r="J502" s="21"/>
      <c r="K502" s="21"/>
      <c r="L502" s="21"/>
      <c r="M502" s="25"/>
      <c r="N502" s="21"/>
      <c r="O502" s="21"/>
      <c r="P502" s="21"/>
      <c r="Q502" s="21"/>
      <c r="R502" s="21"/>
      <c r="S502" s="21"/>
      <c r="T502" s="21"/>
      <c r="U502" s="21"/>
      <c r="V502" s="2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6"/>
      <c r="AQ502" s="27"/>
      <c r="AR502" s="21"/>
      <c r="AS502" s="28"/>
    </row>
    <row r="503" spans="1:45" x14ac:dyDescent="0.35">
      <c r="A503" s="24"/>
      <c r="B503" s="21"/>
      <c r="C503" s="21"/>
      <c r="D503" s="21"/>
      <c r="E503" s="21"/>
      <c r="F503" s="21"/>
      <c r="G503" s="21"/>
      <c r="H503" s="21"/>
      <c r="I503" s="21"/>
      <c r="J503" s="21"/>
      <c r="K503" s="24"/>
      <c r="L503" s="21"/>
      <c r="M503" s="25"/>
      <c r="N503" s="21"/>
      <c r="O503" s="21"/>
      <c r="P503" s="21"/>
      <c r="Q503" s="21"/>
      <c r="R503" s="21"/>
      <c r="S503" s="21"/>
      <c r="T503" s="21"/>
      <c r="U503" s="21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1"/>
      <c r="AI503" s="21"/>
      <c r="AJ503" s="21"/>
      <c r="AK503" s="21"/>
      <c r="AL503" s="21"/>
      <c r="AM503" s="21"/>
      <c r="AN503" s="21"/>
      <c r="AO503" s="21"/>
      <c r="AP503" s="26"/>
      <c r="AQ503" s="27"/>
      <c r="AR503" s="21"/>
      <c r="AS503" s="28"/>
    </row>
    <row r="504" spans="1:45" x14ac:dyDescent="0.35">
      <c r="A504" s="24"/>
      <c r="B504" s="21"/>
      <c r="C504" s="21"/>
      <c r="D504" s="21"/>
      <c r="E504" s="21"/>
      <c r="F504" s="21"/>
      <c r="G504" s="21"/>
      <c r="H504" s="21"/>
      <c r="I504" s="21"/>
      <c r="J504" s="21"/>
      <c r="K504" s="21"/>
      <c r="L504" s="21"/>
      <c r="M504" s="25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  <c r="AF504" s="21"/>
      <c r="AG504" s="21"/>
      <c r="AH504" s="21"/>
      <c r="AI504" s="21"/>
      <c r="AJ504" s="21"/>
      <c r="AK504" s="21"/>
      <c r="AL504" s="21"/>
      <c r="AM504" s="21"/>
      <c r="AN504" s="21"/>
      <c r="AO504" s="21"/>
      <c r="AP504" s="26"/>
      <c r="AQ504" s="27"/>
      <c r="AR504" s="21"/>
      <c r="AS504" s="28"/>
    </row>
    <row r="505" spans="1:45" x14ac:dyDescent="0.35">
      <c r="A505" s="24"/>
      <c r="B505" s="21"/>
      <c r="C505" s="21"/>
      <c r="D505" s="21"/>
      <c r="E505" s="21"/>
      <c r="F505" s="21"/>
      <c r="G505" s="21"/>
      <c r="H505" s="21"/>
      <c r="I505" s="21"/>
      <c r="J505" s="21"/>
      <c r="K505" s="24"/>
      <c r="L505" s="21"/>
      <c r="M505" s="25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  <c r="AF505" s="21"/>
      <c r="AG505" s="21"/>
      <c r="AH505" s="21"/>
      <c r="AI505" s="21"/>
      <c r="AJ505" s="21"/>
      <c r="AK505" s="21"/>
      <c r="AL505" s="21"/>
      <c r="AM505" s="21"/>
      <c r="AN505" s="21"/>
      <c r="AO505" s="21"/>
      <c r="AP505" s="26"/>
      <c r="AQ505" s="27"/>
      <c r="AR505" s="21"/>
      <c r="AS505" s="28"/>
    </row>
    <row r="506" spans="1:45" x14ac:dyDescent="0.35">
      <c r="A506" s="24"/>
      <c r="B506" s="21"/>
      <c r="C506" s="21"/>
      <c r="D506" s="21"/>
      <c r="E506" s="21"/>
      <c r="F506" s="21"/>
      <c r="G506" s="21"/>
      <c r="H506" s="21"/>
      <c r="I506" s="21"/>
      <c r="J506" s="21"/>
      <c r="K506" s="24"/>
      <c r="L506" s="21"/>
      <c r="M506" s="25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6"/>
      <c r="AQ506" s="27"/>
      <c r="AR506" s="21"/>
      <c r="AS506" s="28"/>
    </row>
    <row r="507" spans="1:45" x14ac:dyDescent="0.35">
      <c r="A507" s="24"/>
      <c r="B507" s="21"/>
      <c r="C507" s="21"/>
      <c r="D507" s="21"/>
      <c r="E507" s="21"/>
      <c r="F507" s="21"/>
      <c r="G507" s="21"/>
      <c r="H507" s="21"/>
      <c r="I507" s="21"/>
      <c r="J507" s="21"/>
      <c r="K507" s="24"/>
      <c r="L507" s="21"/>
      <c r="M507" s="25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6"/>
      <c r="AQ507" s="27"/>
      <c r="AR507" s="21"/>
      <c r="AS507" s="28"/>
    </row>
    <row r="508" spans="1:45" x14ac:dyDescent="0.35">
      <c r="A508" s="24"/>
      <c r="B508" s="21"/>
      <c r="C508" s="21"/>
      <c r="D508" s="21"/>
      <c r="E508" s="21"/>
      <c r="F508" s="21"/>
      <c r="G508" s="21"/>
      <c r="H508" s="21"/>
      <c r="I508" s="21"/>
      <c r="J508" s="21"/>
      <c r="K508" s="21"/>
      <c r="L508" s="21"/>
      <c r="M508" s="25"/>
      <c r="N508" s="21"/>
      <c r="O508" s="21"/>
      <c r="P508" s="21"/>
      <c r="Q508" s="21"/>
      <c r="R508" s="21"/>
      <c r="S508" s="21"/>
      <c r="T508" s="21"/>
      <c r="U508" s="21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6"/>
      <c r="AQ508" s="27"/>
      <c r="AR508" s="21"/>
      <c r="AS508" s="28"/>
    </row>
    <row r="509" spans="1:45" x14ac:dyDescent="0.35">
      <c r="A509" s="29"/>
      <c r="B509" s="22"/>
      <c r="C509" s="22"/>
      <c r="D509" s="22"/>
      <c r="E509" s="22"/>
      <c r="F509" s="22"/>
      <c r="G509" s="22"/>
      <c r="H509" s="22"/>
      <c r="I509" s="22"/>
      <c r="J509" s="22"/>
      <c r="K509" s="29"/>
      <c r="L509" s="22"/>
      <c r="M509" s="30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1"/>
      <c r="AP509" s="26"/>
      <c r="AQ509" s="27"/>
      <c r="AR509" s="21"/>
      <c r="AS509" s="28"/>
    </row>
    <row r="510" spans="1:45" x14ac:dyDescent="0.35">
      <c r="A510" s="24"/>
      <c r="B510" s="21"/>
      <c r="C510" s="21"/>
      <c r="D510" s="21"/>
      <c r="E510" s="21"/>
      <c r="F510" s="21"/>
      <c r="G510" s="21"/>
      <c r="H510" s="21"/>
      <c r="I510" s="21"/>
      <c r="J510" s="21"/>
      <c r="K510" s="21"/>
      <c r="L510" s="21"/>
      <c r="M510" s="25"/>
      <c r="N510" s="21"/>
      <c r="O510" s="21"/>
      <c r="P510" s="21"/>
      <c r="Q510" s="21"/>
      <c r="R510" s="21"/>
      <c r="S510" s="21"/>
      <c r="T510" s="21"/>
      <c r="U510" s="21"/>
      <c r="V510" s="21"/>
      <c r="W510" s="21"/>
      <c r="X510" s="21"/>
      <c r="Y510" s="21"/>
      <c r="Z510" s="21"/>
      <c r="AA510" s="21"/>
      <c r="AB510" s="21"/>
      <c r="AC510" s="21"/>
      <c r="AD510" s="21"/>
      <c r="AE510" s="21"/>
      <c r="AF510" s="21"/>
      <c r="AG510" s="21"/>
      <c r="AH510" s="21"/>
      <c r="AI510" s="21"/>
      <c r="AJ510" s="21"/>
      <c r="AK510" s="21"/>
      <c r="AL510" s="21"/>
      <c r="AM510" s="21"/>
      <c r="AN510" s="21"/>
      <c r="AO510" s="21"/>
      <c r="AP510" s="26"/>
      <c r="AQ510" s="27"/>
      <c r="AR510" s="21"/>
      <c r="AS510" s="28"/>
    </row>
    <row r="511" spans="1:45" x14ac:dyDescent="0.35">
      <c r="A511" s="24"/>
      <c r="B511" s="21"/>
      <c r="C511" s="21"/>
      <c r="D511" s="21"/>
      <c r="E511" s="21"/>
      <c r="F511" s="21"/>
      <c r="G511" s="21"/>
      <c r="H511" s="21"/>
      <c r="I511" s="21"/>
      <c r="J511" s="21"/>
      <c r="K511" s="24"/>
      <c r="L511" s="21"/>
      <c r="M511" s="25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1"/>
      <c r="AI511" s="21"/>
      <c r="AJ511" s="21"/>
      <c r="AK511" s="21"/>
      <c r="AL511" s="21"/>
      <c r="AM511" s="21"/>
      <c r="AN511" s="21"/>
      <c r="AO511" s="21"/>
      <c r="AP511" s="26"/>
      <c r="AQ511" s="27"/>
      <c r="AR511" s="21"/>
      <c r="AS511" s="28"/>
    </row>
    <row r="512" spans="1:45" x14ac:dyDescent="0.35">
      <c r="A512" s="29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30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1"/>
      <c r="AP512" s="26"/>
      <c r="AQ512" s="27"/>
      <c r="AR512" s="21"/>
      <c r="AS512" s="28"/>
    </row>
    <row r="513" spans="1:45" x14ac:dyDescent="0.35">
      <c r="A513" s="24"/>
      <c r="B513" s="21"/>
      <c r="C513" s="21"/>
      <c r="D513" s="21"/>
      <c r="E513" s="21"/>
      <c r="F513" s="21"/>
      <c r="G513" s="21"/>
      <c r="H513" s="21"/>
      <c r="I513" s="21"/>
      <c r="J513" s="21"/>
      <c r="K513" s="21"/>
      <c r="L513" s="21"/>
      <c r="M513" s="25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  <c r="AF513" s="21"/>
      <c r="AG513" s="21"/>
      <c r="AH513" s="21"/>
      <c r="AI513" s="21"/>
      <c r="AJ513" s="21"/>
      <c r="AK513" s="21"/>
      <c r="AL513" s="21"/>
      <c r="AM513" s="21"/>
      <c r="AN513" s="21"/>
      <c r="AO513" s="21"/>
      <c r="AP513" s="26"/>
      <c r="AQ513" s="27"/>
      <c r="AR513" s="21"/>
      <c r="AS513" s="28"/>
    </row>
    <row r="514" spans="1:45" x14ac:dyDescent="0.35">
      <c r="A514" s="24"/>
      <c r="B514" s="21"/>
      <c r="C514" s="21"/>
      <c r="D514" s="21"/>
      <c r="E514" s="21"/>
      <c r="F514" s="21"/>
      <c r="G514" s="21"/>
      <c r="H514" s="21"/>
      <c r="I514" s="21"/>
      <c r="J514" s="21"/>
      <c r="K514" s="21"/>
      <c r="L514" s="21"/>
      <c r="M514" s="25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  <c r="AF514" s="21"/>
      <c r="AG514" s="21"/>
      <c r="AH514" s="21"/>
      <c r="AI514" s="21"/>
      <c r="AJ514" s="21"/>
      <c r="AK514" s="21"/>
      <c r="AL514" s="21"/>
      <c r="AM514" s="21"/>
      <c r="AN514" s="21"/>
      <c r="AO514" s="21"/>
      <c r="AP514" s="26"/>
      <c r="AQ514" s="27"/>
      <c r="AR514" s="21"/>
      <c r="AS514" s="28"/>
    </row>
    <row r="515" spans="1:45" x14ac:dyDescent="0.35">
      <c r="A515" s="24"/>
      <c r="B515" s="21"/>
      <c r="C515" s="21"/>
      <c r="D515" s="21"/>
      <c r="E515" s="21"/>
      <c r="F515" s="21"/>
      <c r="G515" s="21"/>
      <c r="H515" s="21"/>
      <c r="I515" s="21"/>
      <c r="J515" s="21"/>
      <c r="K515" s="24"/>
      <c r="L515" s="21"/>
      <c r="M515" s="25"/>
      <c r="N515" s="21"/>
      <c r="O515" s="21"/>
      <c r="P515" s="21"/>
      <c r="Q515" s="21"/>
      <c r="R515" s="21"/>
      <c r="S515" s="21"/>
      <c r="T515" s="21"/>
      <c r="U515" s="21"/>
      <c r="V515" s="21"/>
      <c r="W515" s="21"/>
      <c r="X515" s="21"/>
      <c r="Y515" s="21"/>
      <c r="Z515" s="21"/>
      <c r="AA515" s="21"/>
      <c r="AB515" s="21"/>
      <c r="AC515" s="21"/>
      <c r="AD515" s="21"/>
      <c r="AE515" s="21"/>
      <c r="AF515" s="21"/>
      <c r="AG515" s="21"/>
      <c r="AH515" s="21"/>
      <c r="AI515" s="21"/>
      <c r="AJ515" s="21"/>
      <c r="AK515" s="21"/>
      <c r="AL515" s="21"/>
      <c r="AM515" s="21"/>
      <c r="AN515" s="21"/>
      <c r="AO515" s="21"/>
      <c r="AP515" s="26"/>
      <c r="AQ515" s="27"/>
      <c r="AR515" s="21"/>
      <c r="AS515" s="28"/>
    </row>
    <row r="516" spans="1:45" x14ac:dyDescent="0.35">
      <c r="A516" s="29"/>
      <c r="B516" s="22"/>
      <c r="C516" s="22"/>
      <c r="D516" s="22"/>
      <c r="E516" s="22"/>
      <c r="F516" s="22"/>
      <c r="G516" s="22"/>
      <c r="H516" s="22"/>
      <c r="I516" s="22"/>
      <c r="J516" s="22"/>
      <c r="K516" s="29"/>
      <c r="L516" s="22"/>
      <c r="M516" s="30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22"/>
      <c r="AM516" s="22"/>
      <c r="AN516" s="22"/>
      <c r="AO516" s="21"/>
      <c r="AP516" s="26"/>
      <c r="AQ516" s="27"/>
      <c r="AR516" s="21"/>
      <c r="AS516" s="28"/>
    </row>
    <row r="517" spans="1:45" x14ac:dyDescent="0.35">
      <c r="A517" s="29"/>
      <c r="B517" s="22"/>
      <c r="C517" s="22"/>
      <c r="D517" s="22"/>
      <c r="E517" s="22"/>
      <c r="F517" s="22"/>
      <c r="G517" s="22"/>
      <c r="H517" s="22"/>
      <c r="I517" s="22"/>
      <c r="J517" s="22"/>
      <c r="K517" s="29"/>
      <c r="L517" s="22"/>
      <c r="M517" s="30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22"/>
      <c r="AM517" s="22"/>
      <c r="AN517" s="22"/>
      <c r="AO517" s="21"/>
      <c r="AP517" s="26"/>
      <c r="AQ517" s="27"/>
      <c r="AR517" s="21"/>
      <c r="AS517" s="28"/>
    </row>
    <row r="518" spans="1:45" x14ac:dyDescent="0.35">
      <c r="A518" s="29"/>
      <c r="B518" s="22"/>
      <c r="C518" s="22"/>
      <c r="D518" s="22"/>
      <c r="E518" s="22"/>
      <c r="F518" s="22"/>
      <c r="G518" s="22"/>
      <c r="H518" s="22"/>
      <c r="I518" s="22"/>
      <c r="J518" s="22"/>
      <c r="K518" s="29"/>
      <c r="L518" s="22"/>
      <c r="M518" s="30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22"/>
      <c r="AM518" s="22"/>
      <c r="AN518" s="22"/>
      <c r="AO518" s="21"/>
      <c r="AP518" s="26"/>
      <c r="AQ518" s="27"/>
      <c r="AR518" s="21"/>
      <c r="AS518" s="28"/>
    </row>
    <row r="519" spans="1:45" x14ac:dyDescent="0.35">
      <c r="A519" s="29"/>
      <c r="B519" s="22"/>
      <c r="C519" s="22"/>
      <c r="D519" s="22"/>
      <c r="E519" s="22"/>
      <c r="F519" s="22"/>
      <c r="G519" s="22"/>
      <c r="H519" s="22"/>
      <c r="I519" s="22"/>
      <c r="J519" s="22"/>
      <c r="K519" s="29"/>
      <c r="L519" s="22"/>
      <c r="M519" s="30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22"/>
      <c r="AM519" s="22"/>
      <c r="AN519" s="22"/>
      <c r="AO519" s="21"/>
      <c r="AP519" s="26"/>
      <c r="AQ519" s="27"/>
      <c r="AR519" s="21"/>
      <c r="AS519" s="28"/>
    </row>
    <row r="520" spans="1:45" x14ac:dyDescent="0.35">
      <c r="A520" s="29"/>
      <c r="B520" s="22"/>
      <c r="C520" s="22"/>
      <c r="D520" s="22"/>
      <c r="E520" s="22"/>
      <c r="F520" s="22"/>
      <c r="G520" s="22"/>
      <c r="H520" s="22"/>
      <c r="I520" s="22"/>
      <c r="J520" s="22"/>
      <c r="K520" s="29"/>
      <c r="L520" s="22"/>
      <c r="M520" s="30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1"/>
      <c r="AP520" s="26"/>
      <c r="AQ520" s="27"/>
      <c r="AR520" s="21"/>
      <c r="AS520" s="28"/>
    </row>
    <row r="521" spans="1:45" x14ac:dyDescent="0.35">
      <c r="A521" s="29"/>
      <c r="B521" s="22"/>
      <c r="C521" s="22"/>
      <c r="D521" s="22"/>
      <c r="E521" s="22"/>
      <c r="F521" s="22"/>
      <c r="G521" s="22"/>
      <c r="H521" s="22"/>
      <c r="I521" s="22"/>
      <c r="J521" s="22"/>
      <c r="K521" s="29"/>
      <c r="L521" s="22"/>
      <c r="M521" s="30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1"/>
      <c r="AP521" s="26"/>
      <c r="AQ521" s="27"/>
      <c r="AR521" s="21"/>
      <c r="AS521" s="28"/>
    </row>
    <row r="522" spans="1:45" x14ac:dyDescent="0.35">
      <c r="A522" s="29"/>
      <c r="B522" s="22"/>
      <c r="C522" s="22"/>
      <c r="D522" s="22"/>
      <c r="E522" s="22"/>
      <c r="F522" s="22"/>
      <c r="G522" s="22"/>
      <c r="H522" s="22"/>
      <c r="I522" s="22"/>
      <c r="J522" s="22"/>
      <c r="K522" s="29"/>
      <c r="L522" s="22"/>
      <c r="M522" s="30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1"/>
      <c r="AP522" s="26"/>
      <c r="AQ522" s="27"/>
      <c r="AR522" s="21"/>
      <c r="AS522" s="28"/>
    </row>
    <row r="523" spans="1:45" x14ac:dyDescent="0.35">
      <c r="A523" s="29"/>
      <c r="B523" s="22"/>
      <c r="C523" s="22"/>
      <c r="D523" s="22"/>
      <c r="E523" s="22"/>
      <c r="F523" s="22"/>
      <c r="G523" s="22"/>
      <c r="H523" s="22"/>
      <c r="I523" s="22"/>
      <c r="J523" s="22"/>
      <c r="K523" s="29"/>
      <c r="L523" s="22"/>
      <c r="M523" s="30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1"/>
      <c r="AP523" s="26"/>
      <c r="AQ523" s="27"/>
      <c r="AR523" s="21"/>
      <c r="AS523" s="28"/>
    </row>
    <row r="524" spans="1:45" x14ac:dyDescent="0.35">
      <c r="A524" s="29"/>
      <c r="B524" s="22"/>
      <c r="C524" s="22"/>
      <c r="D524" s="22"/>
      <c r="E524" s="22"/>
      <c r="F524" s="22"/>
      <c r="G524" s="22"/>
      <c r="H524" s="22"/>
      <c r="I524" s="22"/>
      <c r="J524" s="22"/>
      <c r="K524" s="29"/>
      <c r="L524" s="22"/>
      <c r="M524" s="30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1"/>
      <c r="AP524" s="26"/>
      <c r="AQ524" s="27"/>
      <c r="AR524" s="21"/>
      <c r="AS524" s="28"/>
    </row>
    <row r="525" spans="1:45" x14ac:dyDescent="0.35">
      <c r="A525" s="29"/>
      <c r="B525" s="22"/>
      <c r="C525" s="22"/>
      <c r="D525" s="22"/>
      <c r="E525" s="22"/>
      <c r="F525" s="22"/>
      <c r="G525" s="22"/>
      <c r="H525" s="22"/>
      <c r="I525" s="22"/>
      <c r="J525" s="22"/>
      <c r="K525" s="29"/>
      <c r="L525" s="22"/>
      <c r="M525" s="30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1"/>
      <c r="AP525" s="26"/>
      <c r="AQ525" s="27"/>
      <c r="AR525" s="21"/>
      <c r="AS525" s="28"/>
    </row>
    <row r="526" spans="1:45" x14ac:dyDescent="0.35">
      <c r="A526" s="29"/>
      <c r="B526" s="22"/>
      <c r="C526" s="22"/>
      <c r="D526" s="22"/>
      <c r="E526" s="22"/>
      <c r="F526" s="22"/>
      <c r="G526" s="22"/>
      <c r="H526" s="22"/>
      <c r="I526" s="22"/>
      <c r="J526" s="22"/>
      <c r="K526" s="29"/>
      <c r="L526" s="22"/>
      <c r="M526" s="30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1"/>
      <c r="AP526" s="26"/>
      <c r="AQ526" s="27"/>
      <c r="AR526" s="21"/>
      <c r="AS526" s="28"/>
    </row>
    <row r="527" spans="1:45" x14ac:dyDescent="0.35">
      <c r="A527" s="29"/>
      <c r="B527" s="22"/>
      <c r="C527" s="22"/>
      <c r="D527" s="22"/>
      <c r="E527" s="22"/>
      <c r="F527" s="22"/>
      <c r="G527" s="22"/>
      <c r="H527" s="22"/>
      <c r="I527" s="22"/>
      <c r="J527" s="22"/>
      <c r="K527" s="29"/>
      <c r="L527" s="22"/>
      <c r="M527" s="30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1"/>
      <c r="AP527" s="26"/>
      <c r="AQ527" s="27"/>
      <c r="AR527" s="21"/>
      <c r="AS527" s="28"/>
    </row>
    <row r="528" spans="1:45" x14ac:dyDescent="0.35">
      <c r="A528" s="24"/>
      <c r="B528" s="21"/>
      <c r="C528" s="21"/>
      <c r="D528" s="21"/>
      <c r="E528" s="21"/>
      <c r="F528" s="21"/>
      <c r="G528" s="21"/>
      <c r="H528" s="21"/>
      <c r="I528" s="21"/>
      <c r="J528" s="21"/>
      <c r="K528" s="24"/>
      <c r="L528" s="21"/>
      <c r="M528" s="25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6"/>
      <c r="AQ528" s="27"/>
      <c r="AR528" s="21"/>
      <c r="AS528" s="28"/>
    </row>
    <row r="529" spans="1:45" x14ac:dyDescent="0.35">
      <c r="A529" s="24"/>
      <c r="B529" s="21"/>
      <c r="C529" s="21"/>
      <c r="D529" s="21"/>
      <c r="E529" s="21"/>
      <c r="F529" s="21"/>
      <c r="G529" s="21"/>
      <c r="H529" s="21"/>
      <c r="I529" s="21"/>
      <c r="J529" s="21"/>
      <c r="K529" s="24"/>
      <c r="L529" s="21"/>
      <c r="M529" s="25"/>
      <c r="N529" s="21"/>
      <c r="O529" s="21"/>
      <c r="P529" s="21"/>
      <c r="Q529" s="21"/>
      <c r="R529" s="21"/>
      <c r="S529" s="21"/>
      <c r="T529" s="21"/>
      <c r="U529" s="21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6"/>
      <c r="AQ529" s="27"/>
      <c r="AR529" s="21"/>
      <c r="AS529" s="28"/>
    </row>
    <row r="530" spans="1:45" x14ac:dyDescent="0.35">
      <c r="A530" s="24"/>
      <c r="B530" s="21"/>
      <c r="C530" s="21"/>
      <c r="D530" s="21"/>
      <c r="E530" s="21"/>
      <c r="F530" s="21"/>
      <c r="G530" s="21"/>
      <c r="H530" s="21"/>
      <c r="I530" s="21"/>
      <c r="J530" s="21"/>
      <c r="K530" s="24"/>
      <c r="L530" s="21"/>
      <c r="M530" s="25"/>
      <c r="N530" s="21"/>
      <c r="O530" s="21"/>
      <c r="P530" s="21"/>
      <c r="Q530" s="21"/>
      <c r="R530" s="21"/>
      <c r="S530" s="21"/>
      <c r="T530" s="21"/>
      <c r="U530" s="21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6"/>
      <c r="AQ530" s="27"/>
      <c r="AR530" s="21"/>
      <c r="AS530" s="28"/>
    </row>
    <row r="531" spans="1:45" x14ac:dyDescent="0.35">
      <c r="A531" s="24"/>
      <c r="B531" s="21"/>
      <c r="C531" s="21"/>
      <c r="D531" s="21"/>
      <c r="E531" s="21"/>
      <c r="F531" s="21"/>
      <c r="G531" s="21"/>
      <c r="H531" s="21"/>
      <c r="I531" s="21"/>
      <c r="J531" s="21"/>
      <c r="K531" s="24"/>
      <c r="L531" s="21"/>
      <c r="M531" s="25"/>
      <c r="N531" s="21"/>
      <c r="O531" s="21"/>
      <c r="P531" s="21"/>
      <c r="Q531" s="21"/>
      <c r="R531" s="21"/>
      <c r="S531" s="21"/>
      <c r="T531" s="21"/>
      <c r="U531" s="21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6"/>
      <c r="AQ531" s="27"/>
      <c r="AR531" s="21"/>
      <c r="AS531" s="28"/>
    </row>
    <row r="532" spans="1:45" x14ac:dyDescent="0.35">
      <c r="A532" s="24"/>
      <c r="B532" s="21"/>
      <c r="C532" s="21"/>
      <c r="D532" s="21"/>
      <c r="E532" s="21"/>
      <c r="F532" s="21"/>
      <c r="G532" s="21"/>
      <c r="H532" s="21"/>
      <c r="I532" s="21"/>
      <c r="J532" s="21"/>
      <c r="K532" s="21"/>
      <c r="L532" s="21"/>
      <c r="M532" s="25"/>
      <c r="N532" s="21"/>
      <c r="O532" s="21"/>
      <c r="P532" s="21"/>
      <c r="Q532" s="21"/>
      <c r="R532" s="21"/>
      <c r="S532" s="21"/>
      <c r="T532" s="21"/>
      <c r="U532" s="21"/>
      <c r="V532" s="2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6"/>
      <c r="AQ532" s="27"/>
      <c r="AR532" s="21"/>
      <c r="AS532" s="28"/>
    </row>
    <row r="533" spans="1:45" x14ac:dyDescent="0.35">
      <c r="A533" s="24"/>
      <c r="B533" s="21"/>
      <c r="C533" s="21"/>
      <c r="D533" s="21"/>
      <c r="E533" s="21"/>
      <c r="F533" s="21"/>
      <c r="G533" s="21"/>
      <c r="H533" s="21"/>
      <c r="I533" s="21"/>
      <c r="J533" s="21"/>
      <c r="K533" s="21"/>
      <c r="L533" s="21"/>
      <c r="M533" s="25"/>
      <c r="N533" s="21"/>
      <c r="O533" s="21"/>
      <c r="P533" s="21"/>
      <c r="Q533" s="21"/>
      <c r="R533" s="21"/>
      <c r="S533" s="21"/>
      <c r="T533" s="21"/>
      <c r="U533" s="21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6"/>
      <c r="AQ533" s="27"/>
      <c r="AR533" s="21"/>
      <c r="AS533" s="28"/>
    </row>
    <row r="534" spans="1:45" x14ac:dyDescent="0.35">
      <c r="A534" s="24"/>
      <c r="B534" s="21"/>
      <c r="C534" s="21"/>
      <c r="D534" s="21"/>
      <c r="E534" s="21"/>
      <c r="F534" s="21"/>
      <c r="G534" s="21"/>
      <c r="H534" s="21"/>
      <c r="I534" s="21"/>
      <c r="J534" s="21"/>
      <c r="K534" s="21"/>
      <c r="L534" s="21"/>
      <c r="M534" s="25"/>
      <c r="N534" s="21"/>
      <c r="O534" s="21"/>
      <c r="P534" s="21"/>
      <c r="Q534" s="21"/>
      <c r="R534" s="21"/>
      <c r="S534" s="21"/>
      <c r="T534" s="21"/>
      <c r="U534" s="21"/>
      <c r="V534" s="2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6"/>
      <c r="AQ534" s="27"/>
      <c r="AR534" s="21"/>
      <c r="AS534" s="28"/>
    </row>
    <row r="535" spans="1:45" x14ac:dyDescent="0.35">
      <c r="A535" s="31"/>
      <c r="B535" s="32"/>
      <c r="C535" s="32"/>
      <c r="D535" s="32"/>
      <c r="E535" s="32"/>
      <c r="F535" s="32"/>
      <c r="G535" s="32"/>
      <c r="H535" s="32"/>
      <c r="I535" s="32"/>
      <c r="J535" s="32"/>
      <c r="K535" s="32"/>
      <c r="L535" s="32"/>
      <c r="M535" s="33"/>
      <c r="N535" s="32"/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21"/>
      <c r="AP535" s="26"/>
      <c r="AQ535" s="27"/>
      <c r="AR535" s="21"/>
      <c r="AS535" s="28"/>
    </row>
    <row r="536" spans="1:45" x14ac:dyDescent="0.35">
      <c r="A536" s="24"/>
      <c r="B536" s="21"/>
      <c r="C536" s="21"/>
      <c r="D536" s="21"/>
      <c r="E536" s="21"/>
      <c r="F536" s="21"/>
      <c r="G536" s="21"/>
      <c r="H536" s="21"/>
      <c r="I536" s="21"/>
      <c r="J536" s="21"/>
      <c r="K536" s="21"/>
      <c r="L536" s="21"/>
      <c r="M536" s="25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6"/>
      <c r="AQ536" s="27"/>
      <c r="AR536" s="21"/>
      <c r="AS536" s="28"/>
    </row>
    <row r="537" spans="1:45" x14ac:dyDescent="0.35">
      <c r="A537" s="24"/>
      <c r="B537" s="21"/>
      <c r="C537" s="21"/>
      <c r="D537" s="21"/>
      <c r="E537" s="21"/>
      <c r="F537" s="21"/>
      <c r="G537" s="21"/>
      <c r="H537" s="21"/>
      <c r="I537" s="21"/>
      <c r="J537" s="21"/>
      <c r="K537" s="24"/>
      <c r="L537" s="21"/>
      <c r="M537" s="25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6"/>
      <c r="AQ537" s="27"/>
      <c r="AR537" s="21"/>
      <c r="AS537" s="28"/>
    </row>
    <row r="538" spans="1:45" x14ac:dyDescent="0.35">
      <c r="A538" s="24"/>
      <c r="B538" s="21"/>
      <c r="C538" s="21"/>
      <c r="D538" s="21"/>
      <c r="E538" s="21"/>
      <c r="F538" s="21"/>
      <c r="G538" s="21"/>
      <c r="H538" s="21"/>
      <c r="I538" s="21"/>
      <c r="J538" s="21"/>
      <c r="K538" s="24"/>
      <c r="L538" s="21"/>
      <c r="M538" s="25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6"/>
      <c r="AQ538" s="27"/>
      <c r="AR538" s="21"/>
      <c r="AS538" s="28"/>
    </row>
    <row r="539" spans="1:45" x14ac:dyDescent="0.35">
      <c r="A539" s="24"/>
      <c r="B539" s="21"/>
      <c r="C539" s="21"/>
      <c r="D539" s="21"/>
      <c r="E539" s="21"/>
      <c r="F539" s="21"/>
      <c r="G539" s="21"/>
      <c r="H539" s="21"/>
      <c r="I539" s="21"/>
      <c r="J539" s="21"/>
      <c r="K539" s="24"/>
      <c r="L539" s="21"/>
      <c r="M539" s="25"/>
      <c r="N539" s="21"/>
      <c r="O539" s="21"/>
      <c r="P539" s="21"/>
      <c r="Q539" s="21"/>
      <c r="R539" s="21"/>
      <c r="S539" s="21"/>
      <c r="T539" s="21"/>
      <c r="U539" s="21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6"/>
      <c r="AQ539" s="27"/>
      <c r="AR539" s="21"/>
      <c r="AS539" s="28"/>
    </row>
    <row r="540" spans="1:45" x14ac:dyDescent="0.35">
      <c r="A540" s="24"/>
      <c r="B540" s="21"/>
      <c r="C540" s="21"/>
      <c r="D540" s="21"/>
      <c r="E540" s="21"/>
      <c r="F540" s="21"/>
      <c r="G540" s="21"/>
      <c r="H540" s="21"/>
      <c r="I540" s="21"/>
      <c r="J540" s="21"/>
      <c r="K540" s="21"/>
      <c r="L540" s="21"/>
      <c r="M540" s="25"/>
      <c r="N540" s="21"/>
      <c r="O540" s="21"/>
      <c r="P540" s="21"/>
      <c r="Q540" s="21"/>
      <c r="R540" s="21"/>
      <c r="S540" s="21"/>
      <c r="T540" s="21"/>
      <c r="U540" s="21"/>
      <c r="V540" s="21"/>
      <c r="W540" s="21"/>
      <c r="X540" s="21"/>
      <c r="Y540" s="21"/>
      <c r="Z540" s="21"/>
      <c r="AA540" s="21"/>
      <c r="AB540" s="21"/>
      <c r="AC540" s="21"/>
      <c r="AD540" s="21"/>
      <c r="AE540" s="21"/>
      <c r="AF540" s="21"/>
      <c r="AG540" s="21"/>
      <c r="AH540" s="21"/>
      <c r="AI540" s="21"/>
      <c r="AJ540" s="21"/>
      <c r="AK540" s="21"/>
      <c r="AL540" s="21"/>
      <c r="AM540" s="21"/>
      <c r="AN540" s="21"/>
      <c r="AO540" s="21"/>
      <c r="AP540" s="26"/>
      <c r="AQ540" s="27"/>
      <c r="AR540" s="21"/>
      <c r="AS540" s="28"/>
    </row>
    <row r="541" spans="1:45" x14ac:dyDescent="0.35">
      <c r="A541" s="29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30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22"/>
      <c r="AM541" s="22"/>
      <c r="AN541" s="22"/>
      <c r="AO541" s="21"/>
      <c r="AP541" s="26"/>
      <c r="AQ541" s="27"/>
      <c r="AR541" s="21"/>
      <c r="AS541" s="28"/>
    </row>
    <row r="542" spans="1:45" x14ac:dyDescent="0.35">
      <c r="A542" s="24"/>
      <c r="B542" s="21"/>
      <c r="C542" s="21"/>
      <c r="D542" s="21"/>
      <c r="E542" s="21"/>
      <c r="F542" s="21"/>
      <c r="G542" s="21"/>
      <c r="H542" s="21"/>
      <c r="I542" s="21"/>
      <c r="J542" s="21"/>
      <c r="K542" s="21"/>
      <c r="L542" s="21"/>
      <c r="M542" s="25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6"/>
      <c r="AQ542" s="27"/>
      <c r="AR542" s="21"/>
      <c r="AS542" s="28"/>
    </row>
    <row r="543" spans="1:45" x14ac:dyDescent="0.35">
      <c r="A543" s="24"/>
      <c r="B543" s="21"/>
      <c r="C543" s="21"/>
      <c r="D543" s="21"/>
      <c r="E543" s="21"/>
      <c r="F543" s="21"/>
      <c r="G543" s="21"/>
      <c r="H543" s="21"/>
      <c r="I543" s="21"/>
      <c r="J543" s="21"/>
      <c r="K543" s="24"/>
      <c r="L543" s="21"/>
      <c r="M543" s="25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6"/>
      <c r="AQ543" s="27"/>
      <c r="AR543" s="21"/>
      <c r="AS543" s="28"/>
    </row>
    <row r="544" spans="1:45" x14ac:dyDescent="0.35">
      <c r="A544" s="24"/>
      <c r="B544" s="21"/>
      <c r="C544" s="21"/>
      <c r="D544" s="21"/>
      <c r="E544" s="21"/>
      <c r="F544" s="21"/>
      <c r="G544" s="21"/>
      <c r="H544" s="21"/>
      <c r="I544" s="21"/>
      <c r="J544" s="21"/>
      <c r="K544" s="24"/>
      <c r="L544" s="21"/>
      <c r="M544" s="25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6"/>
      <c r="AQ544" s="27"/>
      <c r="AR544" s="21"/>
      <c r="AS544" s="28"/>
    </row>
    <row r="545" spans="1:45" x14ac:dyDescent="0.35">
      <c r="A545" s="24"/>
      <c r="B545" s="21"/>
      <c r="C545" s="21"/>
      <c r="D545" s="21"/>
      <c r="E545" s="21"/>
      <c r="F545" s="21"/>
      <c r="G545" s="21"/>
      <c r="H545" s="21"/>
      <c r="I545" s="21"/>
      <c r="J545" s="21"/>
      <c r="K545" s="21"/>
      <c r="L545" s="21"/>
      <c r="M545" s="25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6"/>
      <c r="AQ545" s="27"/>
      <c r="AR545" s="21"/>
      <c r="AS545" s="28"/>
    </row>
    <row r="546" spans="1:45" x14ac:dyDescent="0.35">
      <c r="A546" s="24"/>
      <c r="B546" s="21"/>
      <c r="C546" s="21"/>
      <c r="D546" s="21"/>
      <c r="E546" s="21"/>
      <c r="F546" s="21"/>
      <c r="G546" s="21"/>
      <c r="H546" s="21"/>
      <c r="I546" s="21"/>
      <c r="J546" s="21"/>
      <c r="K546" s="24"/>
      <c r="L546" s="21"/>
      <c r="M546" s="25"/>
      <c r="N546" s="21"/>
      <c r="O546" s="21"/>
      <c r="P546" s="21"/>
      <c r="Q546" s="21"/>
      <c r="R546" s="21"/>
      <c r="S546" s="21"/>
      <c r="T546" s="21"/>
      <c r="U546" s="21"/>
      <c r="V546" s="2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1"/>
      <c r="AI546" s="21"/>
      <c r="AJ546" s="21"/>
      <c r="AK546" s="21"/>
      <c r="AL546" s="21"/>
      <c r="AM546" s="21"/>
      <c r="AN546" s="21"/>
      <c r="AO546" s="21"/>
      <c r="AP546" s="26"/>
      <c r="AQ546" s="27"/>
      <c r="AR546" s="21"/>
      <c r="AS546" s="28"/>
    </row>
    <row r="547" spans="1:45" x14ac:dyDescent="0.35">
      <c r="A547" s="29"/>
      <c r="B547" s="22"/>
      <c r="C547" s="22"/>
      <c r="D547" s="22"/>
      <c r="E547" s="22"/>
      <c r="F547" s="22"/>
      <c r="G547" s="22"/>
      <c r="H547" s="22"/>
      <c r="I547" s="22"/>
      <c r="J547" s="22"/>
      <c r="K547" s="29"/>
      <c r="L547" s="22"/>
      <c r="M547" s="30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22"/>
      <c r="AM547" s="22"/>
      <c r="AN547" s="22"/>
      <c r="AO547" s="21"/>
      <c r="AP547" s="26"/>
      <c r="AQ547" s="27"/>
      <c r="AR547" s="21"/>
      <c r="AS547" s="28"/>
    </row>
    <row r="548" spans="1:45" x14ac:dyDescent="0.35">
      <c r="A548" s="24"/>
      <c r="B548" s="21"/>
      <c r="C548" s="21"/>
      <c r="D548" s="21"/>
      <c r="E548" s="21"/>
      <c r="F548" s="21"/>
      <c r="G548" s="21"/>
      <c r="H548" s="21"/>
      <c r="I548" s="21"/>
      <c r="J548" s="21"/>
      <c r="K548" s="24"/>
      <c r="L548" s="21"/>
      <c r="M548" s="25"/>
      <c r="N548" s="21"/>
      <c r="O548" s="21"/>
      <c r="P548" s="21"/>
      <c r="Q548" s="21"/>
      <c r="R548" s="21"/>
      <c r="S548" s="21"/>
      <c r="T548" s="21"/>
      <c r="U548" s="21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6"/>
      <c r="AQ548" s="27"/>
      <c r="AR548" s="21"/>
      <c r="AS548" s="28"/>
    </row>
    <row r="549" spans="1:45" x14ac:dyDescent="0.35">
      <c r="A549" s="24"/>
      <c r="B549" s="21"/>
      <c r="C549" s="21"/>
      <c r="D549" s="21"/>
      <c r="E549" s="21"/>
      <c r="F549" s="21"/>
      <c r="G549" s="21"/>
      <c r="H549" s="21"/>
      <c r="I549" s="21"/>
      <c r="J549" s="21"/>
      <c r="K549" s="24"/>
      <c r="L549" s="21"/>
      <c r="M549" s="25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6"/>
      <c r="AQ549" s="27"/>
      <c r="AR549" s="21"/>
      <c r="AS549" s="28"/>
    </row>
    <row r="550" spans="1:45" x14ac:dyDescent="0.35">
      <c r="A550" s="24"/>
      <c r="B550" s="21"/>
      <c r="C550" s="21"/>
      <c r="D550" s="21"/>
      <c r="E550" s="21"/>
      <c r="F550" s="21"/>
      <c r="G550" s="21"/>
      <c r="H550" s="21"/>
      <c r="I550" s="21"/>
      <c r="J550" s="21"/>
      <c r="K550" s="24"/>
      <c r="L550" s="21"/>
      <c r="M550" s="25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6"/>
      <c r="AQ550" s="27"/>
      <c r="AR550" s="21"/>
      <c r="AS550" s="28"/>
    </row>
    <row r="551" spans="1:45" x14ac:dyDescent="0.35">
      <c r="A551" s="24"/>
      <c r="B551" s="21"/>
      <c r="C551" s="21"/>
      <c r="D551" s="21"/>
      <c r="E551" s="21"/>
      <c r="F551" s="21"/>
      <c r="G551" s="21"/>
      <c r="H551" s="21"/>
      <c r="I551" s="21"/>
      <c r="J551" s="21"/>
      <c r="K551" s="24"/>
      <c r="L551" s="21"/>
      <c r="M551" s="25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6"/>
      <c r="AQ551" s="27"/>
      <c r="AR551" s="21"/>
      <c r="AS551" s="28"/>
    </row>
    <row r="552" spans="1:45" x14ac:dyDescent="0.35">
      <c r="A552" s="24"/>
      <c r="B552" s="21"/>
      <c r="C552" s="21"/>
      <c r="D552" s="21"/>
      <c r="E552" s="21"/>
      <c r="F552" s="21"/>
      <c r="G552" s="21"/>
      <c r="H552" s="21"/>
      <c r="I552" s="21"/>
      <c r="J552" s="21"/>
      <c r="K552" s="24"/>
      <c r="L552" s="21"/>
      <c r="M552" s="25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6"/>
      <c r="AQ552" s="27"/>
      <c r="AR552" s="21"/>
      <c r="AS552" s="28"/>
    </row>
    <row r="553" spans="1:45" x14ac:dyDescent="0.35">
      <c r="A553" s="29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30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22"/>
      <c r="AM553" s="22"/>
      <c r="AN553" s="22"/>
      <c r="AO553" s="21"/>
      <c r="AP553" s="26"/>
      <c r="AQ553" s="27"/>
      <c r="AR553" s="21"/>
      <c r="AS553" s="28"/>
    </row>
    <row r="554" spans="1:45" x14ac:dyDescent="0.35">
      <c r="A554" s="24"/>
      <c r="B554" s="21"/>
      <c r="C554" s="21"/>
      <c r="D554" s="21"/>
      <c r="E554" s="21"/>
      <c r="F554" s="21"/>
      <c r="G554" s="21"/>
      <c r="H554" s="21"/>
      <c r="I554" s="21"/>
      <c r="J554" s="21"/>
      <c r="K554" s="21"/>
      <c r="L554" s="21"/>
      <c r="M554" s="25"/>
      <c r="N554" s="21"/>
      <c r="O554" s="21"/>
      <c r="P554" s="21"/>
      <c r="Q554" s="21"/>
      <c r="R554" s="21"/>
      <c r="S554" s="21"/>
      <c r="T554" s="21"/>
      <c r="U554" s="21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6"/>
      <c r="AQ554" s="27"/>
      <c r="AR554" s="21"/>
      <c r="AS554" s="28"/>
    </row>
    <row r="555" spans="1:45" x14ac:dyDescent="0.35">
      <c r="A555" s="24"/>
      <c r="B555" s="21"/>
      <c r="C555" s="21"/>
      <c r="D555" s="21"/>
      <c r="E555" s="21"/>
      <c r="F555" s="21"/>
      <c r="G555" s="21"/>
      <c r="H555" s="21"/>
      <c r="I555" s="21"/>
      <c r="J555" s="21"/>
      <c r="K555" s="24"/>
      <c r="L555" s="21"/>
      <c r="M555" s="25"/>
      <c r="N555" s="21"/>
      <c r="O555" s="21"/>
      <c r="P555" s="21"/>
      <c r="Q555" s="21"/>
      <c r="R555" s="21"/>
      <c r="S555" s="21"/>
      <c r="T555" s="21"/>
      <c r="U555" s="21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6"/>
      <c r="AQ555" s="27"/>
      <c r="AR555" s="21"/>
      <c r="AS555" s="28"/>
    </row>
    <row r="556" spans="1:45" x14ac:dyDescent="0.35">
      <c r="A556" s="24"/>
      <c r="B556" s="21"/>
      <c r="C556" s="21"/>
      <c r="D556" s="21"/>
      <c r="E556" s="21"/>
      <c r="F556" s="21"/>
      <c r="G556" s="21"/>
      <c r="H556" s="21"/>
      <c r="I556" s="21"/>
      <c r="J556" s="21"/>
      <c r="K556" s="24"/>
      <c r="L556" s="21"/>
      <c r="M556" s="25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6"/>
      <c r="AQ556" s="27"/>
      <c r="AR556" s="21"/>
      <c r="AS556" s="28"/>
    </row>
    <row r="557" spans="1:45" x14ac:dyDescent="0.35">
      <c r="A557" s="24"/>
      <c r="B557" s="21"/>
      <c r="C557" s="21"/>
      <c r="D557" s="21"/>
      <c r="E557" s="21"/>
      <c r="F557" s="21"/>
      <c r="G557" s="21"/>
      <c r="H557" s="21"/>
      <c r="I557" s="21"/>
      <c r="J557" s="21"/>
      <c r="K557" s="24"/>
      <c r="L557" s="21"/>
      <c r="M557" s="25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6"/>
      <c r="AQ557" s="27"/>
      <c r="AR557" s="21"/>
      <c r="AS557" s="28"/>
    </row>
    <row r="558" spans="1:45" x14ac:dyDescent="0.35">
      <c r="A558" s="31"/>
      <c r="B558" s="32"/>
      <c r="C558" s="32"/>
      <c r="D558" s="32"/>
      <c r="E558" s="32"/>
      <c r="F558" s="32"/>
      <c r="G558" s="32"/>
      <c r="H558" s="32"/>
      <c r="I558" s="32"/>
      <c r="J558" s="32"/>
      <c r="K558" s="32"/>
      <c r="L558" s="32"/>
      <c r="M558" s="33"/>
      <c r="N558" s="32"/>
      <c r="O558" s="32"/>
      <c r="P558" s="32"/>
      <c r="Q558" s="32"/>
      <c r="R558" s="32"/>
      <c r="S558" s="32"/>
      <c r="T558" s="32"/>
      <c r="U558" s="32"/>
      <c r="V558" s="32"/>
      <c r="W558" s="32"/>
      <c r="X558" s="32"/>
      <c r="Y558" s="32"/>
      <c r="Z558" s="32"/>
      <c r="AA558" s="32"/>
      <c r="AB558" s="32"/>
      <c r="AC558" s="32"/>
      <c r="AD558" s="32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21"/>
      <c r="AP558" s="26"/>
      <c r="AQ558" s="27"/>
      <c r="AR558" s="21"/>
      <c r="AS558" s="28"/>
    </row>
    <row r="559" spans="1:45" x14ac:dyDescent="0.35">
      <c r="A559" s="31"/>
      <c r="B559" s="32"/>
      <c r="C559" s="32"/>
      <c r="D559" s="32"/>
      <c r="E559" s="32"/>
      <c r="F559" s="32"/>
      <c r="G559" s="32"/>
      <c r="H559" s="32"/>
      <c r="I559" s="32"/>
      <c r="J559" s="32"/>
      <c r="K559" s="32"/>
      <c r="L559" s="32"/>
      <c r="M559" s="33"/>
      <c r="N559" s="32"/>
      <c r="O559" s="32"/>
      <c r="P559" s="32"/>
      <c r="Q559" s="32"/>
      <c r="R559" s="32"/>
      <c r="S559" s="32"/>
      <c r="T559" s="32"/>
      <c r="U559" s="32"/>
      <c r="V559" s="32"/>
      <c r="W559" s="32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21"/>
      <c r="AP559" s="26"/>
      <c r="AQ559" s="27"/>
      <c r="AR559" s="21"/>
      <c r="AS559" s="28"/>
    </row>
    <row r="560" spans="1:45" x14ac:dyDescent="0.35">
      <c r="A560" s="24"/>
      <c r="B560" s="21"/>
      <c r="C560" s="21"/>
      <c r="D560" s="21"/>
      <c r="E560" s="21"/>
      <c r="F560" s="21"/>
      <c r="G560" s="21"/>
      <c r="H560" s="21"/>
      <c r="I560" s="21"/>
      <c r="J560" s="21"/>
      <c r="K560" s="24"/>
      <c r="L560" s="21"/>
      <c r="M560" s="25"/>
      <c r="N560" s="21"/>
      <c r="O560" s="21"/>
      <c r="P560" s="21"/>
      <c r="Q560" s="21"/>
      <c r="R560" s="21"/>
      <c r="S560" s="21"/>
      <c r="T560" s="21"/>
      <c r="U560" s="21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6"/>
      <c r="AQ560" s="27"/>
      <c r="AR560" s="21"/>
      <c r="AS560" s="28"/>
    </row>
    <row r="561" spans="1:45" x14ac:dyDescent="0.35">
      <c r="A561" s="24"/>
      <c r="B561" s="21"/>
      <c r="C561" s="21"/>
      <c r="D561" s="21"/>
      <c r="E561" s="21"/>
      <c r="F561" s="21"/>
      <c r="G561" s="21"/>
      <c r="H561" s="21"/>
      <c r="I561" s="21"/>
      <c r="J561" s="21"/>
      <c r="K561" s="24"/>
      <c r="L561" s="21"/>
      <c r="M561" s="25"/>
      <c r="N561" s="21"/>
      <c r="O561" s="21"/>
      <c r="P561" s="21"/>
      <c r="Q561" s="21"/>
      <c r="R561" s="21"/>
      <c r="S561" s="21"/>
      <c r="T561" s="21"/>
      <c r="U561" s="21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1"/>
      <c r="AI561" s="21"/>
      <c r="AJ561" s="21"/>
      <c r="AK561" s="21"/>
      <c r="AL561" s="21"/>
      <c r="AM561" s="21"/>
      <c r="AN561" s="21"/>
      <c r="AO561" s="21"/>
      <c r="AP561" s="26"/>
      <c r="AQ561" s="27"/>
      <c r="AR561" s="21"/>
      <c r="AS561" s="28"/>
    </row>
    <row r="562" spans="1:45" x14ac:dyDescent="0.35">
      <c r="A562" s="24"/>
      <c r="B562" s="21"/>
      <c r="C562" s="21"/>
      <c r="D562" s="21"/>
      <c r="E562" s="21"/>
      <c r="F562" s="21"/>
      <c r="G562" s="21"/>
      <c r="H562" s="21"/>
      <c r="I562" s="21"/>
      <c r="J562" s="21"/>
      <c r="K562" s="21"/>
      <c r="L562" s="21"/>
      <c r="M562" s="25"/>
      <c r="N562" s="21"/>
      <c r="O562" s="21"/>
      <c r="P562" s="21"/>
      <c r="Q562" s="21"/>
      <c r="R562" s="21"/>
      <c r="S562" s="21"/>
      <c r="T562" s="21"/>
      <c r="U562" s="21"/>
      <c r="V562" s="2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6"/>
      <c r="AQ562" s="27"/>
      <c r="AR562" s="21"/>
      <c r="AS562" s="28"/>
    </row>
    <row r="563" spans="1:45" x14ac:dyDescent="0.35">
      <c r="A563" s="24"/>
      <c r="B563" s="21"/>
      <c r="C563" s="21"/>
      <c r="D563" s="21"/>
      <c r="E563" s="21"/>
      <c r="F563" s="21"/>
      <c r="G563" s="21"/>
      <c r="H563" s="21"/>
      <c r="I563" s="21"/>
      <c r="J563" s="21"/>
      <c r="K563" s="24"/>
      <c r="L563" s="21"/>
      <c r="M563" s="25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6"/>
      <c r="AQ563" s="27"/>
      <c r="AR563" s="21"/>
      <c r="AS563" s="28"/>
    </row>
    <row r="564" spans="1:45" x14ac:dyDescent="0.35">
      <c r="A564" s="24"/>
      <c r="B564" s="21"/>
      <c r="C564" s="21"/>
      <c r="D564" s="21"/>
      <c r="E564" s="21"/>
      <c r="F564" s="21"/>
      <c r="G564" s="21"/>
      <c r="H564" s="21"/>
      <c r="I564" s="21"/>
      <c r="J564" s="21"/>
      <c r="K564" s="21"/>
      <c r="L564" s="21"/>
      <c r="M564" s="25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6"/>
      <c r="AQ564" s="27"/>
      <c r="AR564" s="21"/>
      <c r="AS564" s="28"/>
    </row>
    <row r="565" spans="1:45" x14ac:dyDescent="0.35">
      <c r="A565" s="24"/>
      <c r="B565" s="21"/>
      <c r="C565" s="21"/>
      <c r="D565" s="21"/>
      <c r="E565" s="21"/>
      <c r="F565" s="21"/>
      <c r="G565" s="21"/>
      <c r="H565" s="21"/>
      <c r="I565" s="21"/>
      <c r="J565" s="21"/>
      <c r="K565" s="24"/>
      <c r="L565" s="21"/>
      <c r="M565" s="25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6"/>
      <c r="AQ565" s="27"/>
      <c r="AR565" s="21"/>
      <c r="AS565" s="28"/>
    </row>
    <row r="566" spans="1:45" x14ac:dyDescent="0.35">
      <c r="A566" s="29"/>
      <c r="B566" s="22"/>
      <c r="C566" s="22"/>
      <c r="D566" s="22"/>
      <c r="E566" s="22"/>
      <c r="F566" s="22"/>
      <c r="G566" s="22"/>
      <c r="H566" s="22"/>
      <c r="I566" s="22"/>
      <c r="J566" s="22"/>
      <c r="K566" s="29"/>
      <c r="L566" s="22"/>
      <c r="M566" s="30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22"/>
      <c r="AM566" s="22"/>
      <c r="AN566" s="22"/>
      <c r="AO566" s="21"/>
      <c r="AP566" s="26"/>
      <c r="AQ566" s="27"/>
      <c r="AR566" s="21"/>
      <c r="AS566" s="28"/>
    </row>
    <row r="567" spans="1:45" x14ac:dyDescent="0.35">
      <c r="A567" s="24"/>
      <c r="B567" s="21"/>
      <c r="C567" s="21"/>
      <c r="D567" s="21"/>
      <c r="E567" s="21"/>
      <c r="F567" s="21"/>
      <c r="G567" s="21"/>
      <c r="H567" s="21"/>
      <c r="I567" s="21"/>
      <c r="J567" s="21"/>
      <c r="K567" s="24"/>
      <c r="L567" s="21"/>
      <c r="M567" s="25"/>
      <c r="N567" s="21"/>
      <c r="O567" s="21"/>
      <c r="P567" s="21"/>
      <c r="Q567" s="21"/>
      <c r="R567" s="21"/>
      <c r="S567" s="21"/>
      <c r="T567" s="21"/>
      <c r="U567" s="21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6"/>
      <c r="AQ567" s="27"/>
      <c r="AR567" s="21"/>
      <c r="AS567" s="28"/>
    </row>
    <row r="568" spans="1:45" x14ac:dyDescent="0.35">
      <c r="A568" s="29"/>
      <c r="B568" s="22"/>
      <c r="C568" s="22"/>
      <c r="D568" s="22"/>
      <c r="E568" s="22"/>
      <c r="F568" s="22"/>
      <c r="G568" s="22"/>
      <c r="H568" s="22"/>
      <c r="I568" s="22"/>
      <c r="J568" s="22"/>
      <c r="K568" s="29"/>
      <c r="L568" s="22"/>
      <c r="M568" s="30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22"/>
      <c r="AM568" s="22"/>
      <c r="AN568" s="22"/>
      <c r="AO568" s="21"/>
      <c r="AP568" s="26"/>
      <c r="AQ568" s="27"/>
      <c r="AR568" s="21"/>
      <c r="AS568" s="28"/>
    </row>
    <row r="569" spans="1:45" x14ac:dyDescent="0.35">
      <c r="A569" s="24"/>
      <c r="B569" s="21"/>
      <c r="C569" s="21"/>
      <c r="D569" s="21"/>
      <c r="E569" s="21"/>
      <c r="F569" s="21"/>
      <c r="G569" s="21"/>
      <c r="H569" s="21"/>
      <c r="I569" s="21"/>
      <c r="J569" s="21"/>
      <c r="K569" s="24"/>
      <c r="L569" s="21"/>
      <c r="M569" s="25"/>
      <c r="N569" s="21"/>
      <c r="O569" s="21"/>
      <c r="P569" s="21"/>
      <c r="Q569" s="21"/>
      <c r="R569" s="21"/>
      <c r="S569" s="21"/>
      <c r="T569" s="21"/>
      <c r="U569" s="21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6"/>
      <c r="AQ569" s="27"/>
      <c r="AR569" s="21"/>
      <c r="AS569" s="28"/>
    </row>
    <row r="570" spans="1:45" x14ac:dyDescent="0.35">
      <c r="A570" s="24"/>
      <c r="B570" s="21"/>
      <c r="C570" s="21"/>
      <c r="D570" s="21"/>
      <c r="E570" s="21"/>
      <c r="F570" s="21"/>
      <c r="G570" s="21"/>
      <c r="H570" s="21"/>
      <c r="I570" s="21"/>
      <c r="J570" s="21"/>
      <c r="K570" s="21"/>
      <c r="L570" s="21"/>
      <c r="M570" s="25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6"/>
      <c r="AQ570" s="27"/>
      <c r="AR570" s="21"/>
      <c r="AS570" s="28"/>
    </row>
    <row r="571" spans="1:45" x14ac:dyDescent="0.35">
      <c r="A571" s="24"/>
      <c r="B571" s="21"/>
      <c r="C571" s="21"/>
      <c r="D571" s="21"/>
      <c r="E571" s="21"/>
      <c r="F571" s="21"/>
      <c r="G571" s="21"/>
      <c r="H571" s="21"/>
      <c r="I571" s="21"/>
      <c r="J571" s="21"/>
      <c r="K571" s="21"/>
      <c r="L571" s="21"/>
      <c r="M571" s="25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6"/>
      <c r="AQ571" s="27"/>
      <c r="AR571" s="21"/>
      <c r="AS571" s="28"/>
    </row>
    <row r="572" spans="1:45" x14ac:dyDescent="0.35">
      <c r="A572" s="24"/>
      <c r="B572" s="21"/>
      <c r="C572" s="21"/>
      <c r="D572" s="21"/>
      <c r="E572" s="21"/>
      <c r="F572" s="21"/>
      <c r="G572" s="21"/>
      <c r="H572" s="21"/>
      <c r="I572" s="21"/>
      <c r="J572" s="21"/>
      <c r="K572" s="21"/>
      <c r="L572" s="21"/>
      <c r="M572" s="25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6"/>
      <c r="AQ572" s="27"/>
      <c r="AR572" s="21"/>
      <c r="AS572" s="28"/>
    </row>
    <row r="573" spans="1:45" x14ac:dyDescent="0.35">
      <c r="A573" s="24"/>
      <c r="B573" s="21"/>
      <c r="C573" s="21"/>
      <c r="D573" s="21"/>
      <c r="E573" s="21"/>
      <c r="F573" s="21"/>
      <c r="G573" s="21"/>
      <c r="H573" s="21"/>
      <c r="I573" s="21"/>
      <c r="J573" s="21"/>
      <c r="K573" s="21"/>
      <c r="L573" s="21"/>
      <c r="M573" s="25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6"/>
      <c r="AQ573" s="27"/>
      <c r="AR573" s="21"/>
      <c r="AS573" s="28"/>
    </row>
    <row r="574" spans="1:45" x14ac:dyDescent="0.35">
      <c r="A574" s="24"/>
      <c r="B574" s="21"/>
      <c r="C574" s="21"/>
      <c r="D574" s="21"/>
      <c r="E574" s="21"/>
      <c r="F574" s="21"/>
      <c r="G574" s="21"/>
      <c r="H574" s="21"/>
      <c r="I574" s="21"/>
      <c r="J574" s="21"/>
      <c r="K574" s="21"/>
      <c r="L574" s="21"/>
      <c r="M574" s="25"/>
      <c r="N574" s="21"/>
      <c r="O574" s="21"/>
      <c r="P574" s="21"/>
      <c r="Q574" s="21"/>
      <c r="R574" s="21"/>
      <c r="S574" s="21"/>
      <c r="T574" s="21"/>
      <c r="U574" s="21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6"/>
      <c r="AQ574" s="27"/>
      <c r="AR574" s="21"/>
      <c r="AS574" s="28"/>
    </row>
  </sheetData>
  <conditionalFormatting sqref="B130:C135">
    <cfRule type="expression" dxfId="2" priority="1">
      <formula>$B$130=MIN($B$130,$C$130)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SeleccionarMaterialesYAbrirProveedor">
                <anchor moveWithCells="1" sizeWithCells="1">
                  <from>
                    <xdr:col>1</xdr:col>
                    <xdr:colOff>565150</xdr:colOff>
                    <xdr:row>281</xdr:row>
                    <xdr:rowOff>107950</xdr:rowOff>
                  </from>
                  <to>
                    <xdr:col>4</xdr:col>
                    <xdr:colOff>514350</xdr:colOff>
                    <xdr:row>284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9915C-934C-4083-8E23-89624B1B3E31}">
  <sheetPr codeName="Hoja2"/>
  <dimension ref="D5:N38"/>
  <sheetViews>
    <sheetView topLeftCell="C32" workbookViewId="0">
      <selection activeCell="G33" sqref="G33"/>
    </sheetView>
  </sheetViews>
  <sheetFormatPr baseColWidth="10" defaultRowHeight="14.5" x14ac:dyDescent="0.35"/>
  <sheetData>
    <row r="5" spans="4:13" x14ac:dyDescent="0.35">
      <c r="D5" t="s">
        <v>224</v>
      </c>
      <c r="F5">
        <v>14042026</v>
      </c>
      <c r="H5">
        <v>3</v>
      </c>
      <c r="I5">
        <v>4500900490</v>
      </c>
      <c r="J5">
        <v>14042026</v>
      </c>
    </row>
    <row r="11" spans="4:13" ht="29" x14ac:dyDescent="0.35">
      <c r="D11" s="14" t="s">
        <v>426</v>
      </c>
      <c r="E11" s="14" t="s">
        <v>427</v>
      </c>
      <c r="F11" s="14" t="s">
        <v>3</v>
      </c>
      <c r="G11" s="14" t="s">
        <v>428</v>
      </c>
      <c r="H11" s="14" t="s">
        <v>7</v>
      </c>
      <c r="I11" s="14" t="s">
        <v>429</v>
      </c>
      <c r="J11" s="14" t="s">
        <v>9</v>
      </c>
      <c r="K11" s="14" t="s">
        <v>430</v>
      </c>
      <c r="L11" s="14" t="s">
        <v>431</v>
      </c>
      <c r="M11" s="14" t="s">
        <v>432</v>
      </c>
    </row>
    <row r="12" spans="4:13" ht="29" x14ac:dyDescent="0.35">
      <c r="D12" s="15">
        <v>10566358</v>
      </c>
      <c r="E12" s="15">
        <v>40</v>
      </c>
      <c r="F12" s="15">
        <v>14101769</v>
      </c>
      <c r="G12" s="15" t="s">
        <v>433</v>
      </c>
      <c r="H12" s="15">
        <v>1301</v>
      </c>
      <c r="I12" s="15">
        <v>1</v>
      </c>
      <c r="J12" s="15" t="s">
        <v>434</v>
      </c>
      <c r="K12" s="15">
        <v>477.59</v>
      </c>
      <c r="L12" s="15">
        <v>563.55999999999995</v>
      </c>
      <c r="M12" s="15">
        <v>563.55999999999995</v>
      </c>
    </row>
    <row r="13" spans="4:13" ht="29" x14ac:dyDescent="0.35">
      <c r="D13" s="15">
        <v>10566358</v>
      </c>
      <c r="E13" s="15">
        <v>50</v>
      </c>
      <c r="F13" s="15">
        <v>14101770</v>
      </c>
      <c r="G13" s="15" t="s">
        <v>435</v>
      </c>
      <c r="H13" s="15">
        <v>1207</v>
      </c>
      <c r="I13" s="15">
        <v>1</v>
      </c>
      <c r="J13" s="15" t="s">
        <v>434</v>
      </c>
      <c r="K13" s="15">
        <v>192.34</v>
      </c>
      <c r="L13" s="15">
        <v>226.96</v>
      </c>
      <c r="M13" s="15">
        <v>226.96</v>
      </c>
    </row>
    <row r="14" spans="4:13" ht="29" x14ac:dyDescent="0.35">
      <c r="D14" s="15">
        <v>10566358</v>
      </c>
      <c r="E14" s="15">
        <v>110</v>
      </c>
      <c r="F14" s="15">
        <v>14101589</v>
      </c>
      <c r="G14" s="15" t="s">
        <v>436</v>
      </c>
      <c r="H14" s="15">
        <v>1301</v>
      </c>
      <c r="I14" s="15">
        <v>1</v>
      </c>
      <c r="J14" s="15" t="s">
        <v>437</v>
      </c>
      <c r="K14" s="15">
        <v>30.59</v>
      </c>
      <c r="L14" s="15">
        <v>36.1</v>
      </c>
      <c r="M14" s="15">
        <v>36.1</v>
      </c>
    </row>
    <row r="15" spans="4:13" ht="29" x14ac:dyDescent="0.35">
      <c r="D15" s="15">
        <v>10566245</v>
      </c>
      <c r="E15" s="15">
        <v>10</v>
      </c>
      <c r="F15" s="15">
        <v>14905873</v>
      </c>
      <c r="G15" s="15" t="s">
        <v>438</v>
      </c>
      <c r="H15" s="15">
        <v>1301</v>
      </c>
      <c r="I15" s="15">
        <v>3</v>
      </c>
      <c r="J15" s="15" t="s">
        <v>437</v>
      </c>
      <c r="K15" s="15">
        <v>450.53</v>
      </c>
      <c r="L15" s="15">
        <v>531.63</v>
      </c>
      <c r="M15" s="16">
        <v>1594.89</v>
      </c>
    </row>
    <row r="16" spans="4:13" ht="29" x14ac:dyDescent="0.35">
      <c r="D16" s="15">
        <v>10566358</v>
      </c>
      <c r="E16" s="15">
        <v>80</v>
      </c>
      <c r="F16" s="15">
        <v>14906304</v>
      </c>
      <c r="G16" s="15" t="s">
        <v>439</v>
      </c>
      <c r="H16" s="15">
        <v>1301</v>
      </c>
      <c r="I16" s="15">
        <v>10</v>
      </c>
      <c r="J16" s="15" t="s">
        <v>434</v>
      </c>
      <c r="K16" s="15">
        <v>90.59</v>
      </c>
      <c r="L16" s="15">
        <v>106.9</v>
      </c>
      <c r="M16" s="16">
        <v>1069</v>
      </c>
    </row>
    <row r="17" spans="4:14" ht="29" x14ac:dyDescent="0.35">
      <c r="D17" s="15">
        <v>10566358</v>
      </c>
      <c r="E17" s="15">
        <v>90</v>
      </c>
      <c r="F17" s="15">
        <v>14101771</v>
      </c>
      <c r="G17" s="15" t="s">
        <v>440</v>
      </c>
      <c r="H17" s="15">
        <v>1301</v>
      </c>
      <c r="I17" s="15">
        <v>5</v>
      </c>
      <c r="J17" s="15" t="s">
        <v>434</v>
      </c>
      <c r="K17" s="15">
        <v>264.70999999999998</v>
      </c>
      <c r="L17" s="15">
        <v>312.36</v>
      </c>
      <c r="M17" s="16">
        <v>1561.8</v>
      </c>
    </row>
    <row r="18" spans="4:14" x14ac:dyDescent="0.35">
      <c r="D18" s="15">
        <v>10566358</v>
      </c>
      <c r="E18" s="15">
        <v>100</v>
      </c>
      <c r="F18" s="15">
        <v>14905308</v>
      </c>
      <c r="G18" s="15" t="s">
        <v>441</v>
      </c>
      <c r="H18" s="15">
        <v>1301</v>
      </c>
      <c r="I18" s="15">
        <v>2</v>
      </c>
      <c r="J18" s="15" t="s">
        <v>434</v>
      </c>
      <c r="K18" s="16">
        <v>1028.1500000000001</v>
      </c>
      <c r="L18" s="16">
        <v>1213.22</v>
      </c>
      <c r="M18" s="16">
        <v>2426.44</v>
      </c>
    </row>
    <row r="19" spans="4:14" ht="29" x14ac:dyDescent="0.35">
      <c r="D19" s="15">
        <v>10566358</v>
      </c>
      <c r="E19" s="15">
        <v>10</v>
      </c>
      <c r="F19" s="15">
        <v>14906688</v>
      </c>
      <c r="G19" s="15" t="s">
        <v>442</v>
      </c>
      <c r="H19" s="15">
        <v>1102</v>
      </c>
      <c r="I19" s="15">
        <v>1</v>
      </c>
      <c r="J19" s="15" t="s">
        <v>437</v>
      </c>
      <c r="K19" s="15">
        <v>239.36</v>
      </c>
      <c r="L19" s="15">
        <v>282.44</v>
      </c>
      <c r="M19" s="15">
        <v>282.44</v>
      </c>
    </row>
    <row r="20" spans="4:14" ht="29" x14ac:dyDescent="0.35">
      <c r="D20" s="15">
        <v>10566358</v>
      </c>
      <c r="E20" s="15">
        <v>20</v>
      </c>
      <c r="F20" s="15">
        <v>14906688</v>
      </c>
      <c r="G20" s="15" t="s">
        <v>442</v>
      </c>
      <c r="H20" s="15">
        <v>1208</v>
      </c>
      <c r="I20" s="15">
        <v>1</v>
      </c>
      <c r="J20" s="15" t="s">
        <v>437</v>
      </c>
      <c r="K20" s="15">
        <v>239.36</v>
      </c>
      <c r="L20" s="15">
        <v>282.44</v>
      </c>
      <c r="M20" s="15">
        <v>282.44</v>
      </c>
    </row>
    <row r="21" spans="4:14" ht="29" x14ac:dyDescent="0.35">
      <c r="D21" s="15">
        <v>10566358</v>
      </c>
      <c r="E21" s="15">
        <v>30</v>
      </c>
      <c r="F21" s="15">
        <v>14906688</v>
      </c>
      <c r="G21" s="15" t="s">
        <v>442</v>
      </c>
      <c r="H21" s="15">
        <v>1601</v>
      </c>
      <c r="I21" s="15">
        <v>1</v>
      </c>
      <c r="J21" s="15" t="s">
        <v>437</v>
      </c>
      <c r="K21" s="15">
        <v>239.36</v>
      </c>
      <c r="L21" s="15">
        <v>282.44</v>
      </c>
      <c r="M21" s="15">
        <v>282.44</v>
      </c>
    </row>
    <row r="22" spans="4:14" x14ac:dyDescent="0.35">
      <c r="D22" s="15">
        <v>10566358</v>
      </c>
      <c r="E22" s="15">
        <v>60</v>
      </c>
      <c r="F22" s="15">
        <v>14906190</v>
      </c>
      <c r="G22" s="15" t="s">
        <v>443</v>
      </c>
      <c r="H22" s="15">
        <v>1101</v>
      </c>
      <c r="I22" s="15">
        <v>1</v>
      </c>
      <c r="J22" s="15" t="s">
        <v>434</v>
      </c>
      <c r="K22" s="16">
        <v>1401.86</v>
      </c>
      <c r="L22" s="16">
        <v>1654.19</v>
      </c>
      <c r="M22" s="16">
        <v>1654.19</v>
      </c>
    </row>
    <row r="23" spans="4:14" x14ac:dyDescent="0.35">
      <c r="D23" s="15">
        <v>10566358</v>
      </c>
      <c r="E23" s="15">
        <v>70</v>
      </c>
      <c r="F23" s="15">
        <v>14906190</v>
      </c>
      <c r="G23" s="15" t="s">
        <v>443</v>
      </c>
      <c r="H23" s="15">
        <v>1601</v>
      </c>
      <c r="I23" s="15">
        <v>1</v>
      </c>
      <c r="J23" s="15" t="s">
        <v>434</v>
      </c>
      <c r="K23" s="16">
        <v>1401.86</v>
      </c>
      <c r="L23" s="16">
        <v>1654.19</v>
      </c>
      <c r="M23" s="16">
        <v>1654.19</v>
      </c>
    </row>
    <row r="26" spans="4:14" ht="29" x14ac:dyDescent="0.35">
      <c r="D26" s="14" t="s">
        <v>426</v>
      </c>
      <c r="E26" s="14" t="s">
        <v>427</v>
      </c>
      <c r="F26" s="14" t="s">
        <v>3</v>
      </c>
      <c r="G26" s="14" t="s">
        <v>428</v>
      </c>
      <c r="H26" s="14" t="s">
        <v>7</v>
      </c>
      <c r="I26" s="14" t="s">
        <v>429</v>
      </c>
      <c r="J26" s="49" t="s">
        <v>434</v>
      </c>
      <c r="K26" s="49" t="s">
        <v>437</v>
      </c>
      <c r="L26" s="49" t="s">
        <v>488</v>
      </c>
      <c r="M26" s="14" t="s">
        <v>489</v>
      </c>
      <c r="N26" s="14" t="s">
        <v>490</v>
      </c>
    </row>
    <row r="27" spans="4:14" ht="87" x14ac:dyDescent="0.35">
      <c r="D27" s="15">
        <v>10566358</v>
      </c>
      <c r="E27" s="15">
        <v>40</v>
      </c>
      <c r="F27" s="15">
        <v>14101769</v>
      </c>
      <c r="G27" s="15" t="s">
        <v>433</v>
      </c>
      <c r="H27" s="15">
        <v>1301</v>
      </c>
      <c r="I27" s="15">
        <v>1</v>
      </c>
      <c r="J27" s="50">
        <v>563.55999999999995</v>
      </c>
      <c r="K27" s="50" t="s">
        <v>491</v>
      </c>
      <c r="L27" s="51">
        <v>307.89999999999998</v>
      </c>
      <c r="M27" s="15" t="s">
        <v>488</v>
      </c>
      <c r="N27" s="15" t="s">
        <v>492</v>
      </c>
    </row>
    <row r="28" spans="4:14" ht="72.5" x14ac:dyDescent="0.35">
      <c r="D28" s="15">
        <v>10566358</v>
      </c>
      <c r="E28" s="15">
        <v>50</v>
      </c>
      <c r="F28" s="15">
        <v>14101770</v>
      </c>
      <c r="G28" s="15" t="s">
        <v>435</v>
      </c>
      <c r="H28" s="15">
        <v>1207</v>
      </c>
      <c r="I28" s="15">
        <v>1</v>
      </c>
      <c r="J28" s="50">
        <v>226.96</v>
      </c>
      <c r="K28" s="50" t="s">
        <v>491</v>
      </c>
      <c r="L28" s="51">
        <v>223.66</v>
      </c>
      <c r="M28" s="15" t="s">
        <v>488</v>
      </c>
      <c r="N28" s="15" t="s">
        <v>493</v>
      </c>
    </row>
    <row r="29" spans="4:14" ht="58" x14ac:dyDescent="0.35">
      <c r="D29" s="15">
        <v>10566358</v>
      </c>
      <c r="E29" s="15">
        <v>110</v>
      </c>
      <c r="F29" s="15">
        <v>14101589</v>
      </c>
      <c r="G29" s="15" t="s">
        <v>436</v>
      </c>
      <c r="H29" s="15">
        <v>1301</v>
      </c>
      <c r="I29" s="15">
        <v>1</v>
      </c>
      <c r="J29" s="51">
        <v>33.369999999999997</v>
      </c>
      <c r="K29" s="50">
        <v>36.1</v>
      </c>
      <c r="L29" s="50">
        <v>49.09</v>
      </c>
      <c r="M29" s="15" t="s">
        <v>434</v>
      </c>
      <c r="N29" s="15" t="s">
        <v>494</v>
      </c>
    </row>
    <row r="30" spans="4:14" ht="58" x14ac:dyDescent="0.35">
      <c r="D30" s="15">
        <v>10566245</v>
      </c>
      <c r="E30" s="15">
        <v>10</v>
      </c>
      <c r="F30" s="15">
        <v>14905873</v>
      </c>
      <c r="G30" s="15" t="s">
        <v>438</v>
      </c>
      <c r="H30" s="15">
        <v>1301</v>
      </c>
      <c r="I30" s="15">
        <v>3</v>
      </c>
      <c r="J30" s="50">
        <v>541</v>
      </c>
      <c r="K30" s="51">
        <v>531.63</v>
      </c>
      <c r="L30" s="52">
        <v>1205.3699999999999</v>
      </c>
      <c r="M30" s="15" t="s">
        <v>437</v>
      </c>
      <c r="N30" s="15" t="s">
        <v>495</v>
      </c>
    </row>
    <row r="31" spans="4:14" ht="43.5" x14ac:dyDescent="0.35">
      <c r="D31" s="15">
        <v>10566358</v>
      </c>
      <c r="E31" s="15">
        <v>80</v>
      </c>
      <c r="F31" s="15">
        <v>14906304</v>
      </c>
      <c r="G31" s="15" t="s">
        <v>439</v>
      </c>
      <c r="H31" s="15">
        <v>1301</v>
      </c>
      <c r="I31" s="15">
        <v>10</v>
      </c>
      <c r="J31" s="50">
        <v>106.9</v>
      </c>
      <c r="K31" s="50">
        <v>178.9</v>
      </c>
      <c r="L31" s="51">
        <v>95.58</v>
      </c>
      <c r="M31" s="15" t="s">
        <v>488</v>
      </c>
      <c r="N31" s="15" t="s">
        <v>496</v>
      </c>
    </row>
    <row r="32" spans="4:14" ht="58" x14ac:dyDescent="0.35">
      <c r="D32" s="15">
        <v>10566358</v>
      </c>
      <c r="E32" s="15">
        <v>90</v>
      </c>
      <c r="F32" s="15">
        <v>14101771</v>
      </c>
      <c r="G32" s="15" t="s">
        <v>440</v>
      </c>
      <c r="H32" s="15">
        <v>1301</v>
      </c>
      <c r="I32" s="15">
        <v>5</v>
      </c>
      <c r="J32" s="50">
        <v>312.36</v>
      </c>
      <c r="K32" s="50" t="s">
        <v>491</v>
      </c>
      <c r="L32" s="51">
        <v>285.47000000000003</v>
      </c>
      <c r="M32" s="15" t="s">
        <v>488</v>
      </c>
      <c r="N32" s="15" t="s">
        <v>497</v>
      </c>
    </row>
    <row r="33" spans="4:14" ht="43.5" x14ac:dyDescent="0.35">
      <c r="D33" s="15">
        <v>10566358</v>
      </c>
      <c r="E33" s="15">
        <v>100</v>
      </c>
      <c r="F33" s="15">
        <v>14905308</v>
      </c>
      <c r="G33" s="15" t="s">
        <v>441</v>
      </c>
      <c r="H33" s="15">
        <v>1301</v>
      </c>
      <c r="I33" s="15">
        <v>2</v>
      </c>
      <c r="J33" s="53">
        <v>1213.22</v>
      </c>
      <c r="K33" s="50" t="s">
        <v>491</v>
      </c>
      <c r="L33" s="52">
        <v>1494.02</v>
      </c>
      <c r="M33" s="15" t="s">
        <v>434</v>
      </c>
      <c r="N33" s="15" t="s">
        <v>498</v>
      </c>
    </row>
    <row r="34" spans="4:14" ht="58" x14ac:dyDescent="0.35">
      <c r="D34" s="15">
        <v>10566358</v>
      </c>
      <c r="E34" s="15">
        <v>10</v>
      </c>
      <c r="F34" s="15">
        <v>14906688</v>
      </c>
      <c r="G34" s="15" t="s">
        <v>442</v>
      </c>
      <c r="H34" s="15">
        <v>1102</v>
      </c>
      <c r="I34" s="15">
        <v>1</v>
      </c>
      <c r="J34" s="50">
        <v>313.74</v>
      </c>
      <c r="K34" s="51">
        <v>282.44</v>
      </c>
      <c r="L34" s="50">
        <v>286.74</v>
      </c>
      <c r="M34" s="15" t="s">
        <v>437</v>
      </c>
      <c r="N34" s="15" t="s">
        <v>499</v>
      </c>
    </row>
    <row r="35" spans="4:14" ht="29" x14ac:dyDescent="0.35">
      <c r="D35" s="15">
        <v>10566358</v>
      </c>
      <c r="E35" s="15">
        <v>20</v>
      </c>
      <c r="F35" s="15">
        <v>14906688</v>
      </c>
      <c r="G35" s="15" t="s">
        <v>442</v>
      </c>
      <c r="H35" s="15">
        <v>1208</v>
      </c>
      <c r="I35" s="15">
        <v>1</v>
      </c>
      <c r="J35" s="50">
        <v>313.74</v>
      </c>
      <c r="K35" s="51">
        <v>282.44</v>
      </c>
      <c r="L35" s="50">
        <v>286.74</v>
      </c>
      <c r="M35" s="15" t="s">
        <v>437</v>
      </c>
      <c r="N35" s="15" t="s">
        <v>500</v>
      </c>
    </row>
    <row r="36" spans="4:14" ht="29" x14ac:dyDescent="0.35">
      <c r="D36" s="15">
        <v>10566358</v>
      </c>
      <c r="E36" s="15">
        <v>30</v>
      </c>
      <c r="F36" s="15">
        <v>14906688</v>
      </c>
      <c r="G36" s="15" t="s">
        <v>442</v>
      </c>
      <c r="H36" s="15">
        <v>1601</v>
      </c>
      <c r="I36" s="15">
        <v>1</v>
      </c>
      <c r="J36" s="50">
        <v>313.74</v>
      </c>
      <c r="K36" s="51">
        <v>282.44</v>
      </c>
      <c r="L36" s="50">
        <v>286.74</v>
      </c>
      <c r="M36" s="15" t="s">
        <v>437</v>
      </c>
      <c r="N36" s="15" t="s">
        <v>501</v>
      </c>
    </row>
    <row r="37" spans="4:14" ht="58" x14ac:dyDescent="0.35">
      <c r="D37" s="15">
        <v>10566358</v>
      </c>
      <c r="E37" s="15">
        <v>60</v>
      </c>
      <c r="F37" s="15">
        <v>14906190</v>
      </c>
      <c r="G37" s="15" t="s">
        <v>443</v>
      </c>
      <c r="H37" s="15">
        <v>1101</v>
      </c>
      <c r="I37" s="15">
        <v>1</v>
      </c>
      <c r="J37" s="52">
        <v>1654.19</v>
      </c>
      <c r="K37" s="52">
        <v>1080.6300000000001</v>
      </c>
      <c r="L37" s="51">
        <v>772.29</v>
      </c>
      <c r="M37" s="15" t="s">
        <v>488</v>
      </c>
      <c r="N37" s="15" t="s">
        <v>502</v>
      </c>
    </row>
    <row r="38" spans="4:14" ht="29" x14ac:dyDescent="0.35">
      <c r="D38" s="15">
        <v>10566358</v>
      </c>
      <c r="E38" s="15">
        <v>70</v>
      </c>
      <c r="F38" s="15">
        <v>14906190</v>
      </c>
      <c r="G38" s="15" t="s">
        <v>443</v>
      </c>
      <c r="H38" s="15">
        <v>1601</v>
      </c>
      <c r="I38" s="15">
        <v>1</v>
      </c>
      <c r="J38" s="52">
        <v>1654.19</v>
      </c>
      <c r="K38" s="52">
        <v>1080.6300000000001</v>
      </c>
      <c r="L38" s="51">
        <v>772.29</v>
      </c>
      <c r="M38" s="15" t="s">
        <v>488</v>
      </c>
      <c r="N38" s="15" t="s">
        <v>503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7B0BC-A0E0-46E0-8041-F1A394C7F39E}">
  <sheetPr codeName="Hoja1"/>
  <dimension ref="C2:F21"/>
  <sheetViews>
    <sheetView workbookViewId="0">
      <selection activeCell="D3" sqref="D3"/>
    </sheetView>
  </sheetViews>
  <sheetFormatPr baseColWidth="10" defaultRowHeight="14.5" x14ac:dyDescent="0.35"/>
  <cols>
    <col min="4" max="4" width="39.26953125" bestFit="1" customWidth="1"/>
    <col min="6" max="6" width="21.36328125" bestFit="1" customWidth="1"/>
  </cols>
  <sheetData>
    <row r="2" spans="3:6" x14ac:dyDescent="0.35">
      <c r="C2" s="1"/>
      <c r="D2" s="1" t="s">
        <v>223</v>
      </c>
      <c r="E2" s="1" t="s">
        <v>222</v>
      </c>
      <c r="F2" s="1"/>
    </row>
    <row r="3" spans="3:6" x14ac:dyDescent="0.35">
      <c r="C3" s="1"/>
      <c r="D3" s="1" t="s">
        <v>208</v>
      </c>
      <c r="E3" s="1">
        <v>14076036</v>
      </c>
      <c r="F3" s="1"/>
    </row>
    <row r="4" spans="3:6" x14ac:dyDescent="0.35">
      <c r="C4" s="1"/>
      <c r="D4" s="1" t="s">
        <v>209</v>
      </c>
      <c r="E4" s="1">
        <v>14080104</v>
      </c>
      <c r="F4" s="1"/>
    </row>
    <row r="5" spans="3:6" x14ac:dyDescent="0.35">
      <c r="C5" s="1"/>
      <c r="D5" s="1" t="s">
        <v>210</v>
      </c>
      <c r="E5" s="1">
        <v>14075915</v>
      </c>
      <c r="F5" s="1"/>
    </row>
    <row r="6" spans="3:6" x14ac:dyDescent="0.35">
      <c r="C6" s="1"/>
      <c r="D6" s="1" t="s">
        <v>211</v>
      </c>
      <c r="E6" s="1">
        <v>14075528</v>
      </c>
      <c r="F6" s="1"/>
    </row>
    <row r="7" spans="3:6" x14ac:dyDescent="0.35">
      <c r="C7" s="1"/>
      <c r="D7" s="1" t="s">
        <v>212</v>
      </c>
      <c r="E7" s="1">
        <v>14026543</v>
      </c>
      <c r="F7" s="1"/>
    </row>
    <row r="8" spans="3:6" x14ac:dyDescent="0.35">
      <c r="C8" s="1"/>
      <c r="D8" s="1" t="s">
        <v>213</v>
      </c>
      <c r="E8" s="1">
        <v>14079605</v>
      </c>
      <c r="F8" s="1"/>
    </row>
    <row r="9" spans="3:6" x14ac:dyDescent="0.35">
      <c r="C9" s="1"/>
      <c r="D9" s="1" t="s">
        <v>214</v>
      </c>
      <c r="E9" s="1">
        <v>14074258</v>
      </c>
      <c r="F9" s="1"/>
    </row>
    <row r="10" spans="3:6" x14ac:dyDescent="0.35">
      <c r="C10" s="1"/>
      <c r="D10" s="4" t="s">
        <v>129</v>
      </c>
      <c r="E10" s="4">
        <v>14077711</v>
      </c>
      <c r="F10" s="1" t="s">
        <v>220</v>
      </c>
    </row>
    <row r="11" spans="3:6" x14ac:dyDescent="0.35">
      <c r="C11" s="1"/>
      <c r="D11" s="4" t="s">
        <v>129</v>
      </c>
      <c r="E11" s="4">
        <v>14080877</v>
      </c>
      <c r="F11" s="1" t="s">
        <v>220</v>
      </c>
    </row>
    <row r="12" spans="3:6" x14ac:dyDescent="0.35">
      <c r="C12" s="1"/>
      <c r="D12" s="5" t="s">
        <v>183</v>
      </c>
      <c r="E12" s="5">
        <v>14079295</v>
      </c>
      <c r="F12" s="1" t="s">
        <v>221</v>
      </c>
    </row>
    <row r="13" spans="3:6" x14ac:dyDescent="0.35">
      <c r="C13" s="1"/>
      <c r="D13" s="5" t="s">
        <v>215</v>
      </c>
      <c r="E13" s="5">
        <v>14075837</v>
      </c>
      <c r="F13" s="1" t="s">
        <v>221</v>
      </c>
    </row>
    <row r="14" spans="3:6" x14ac:dyDescent="0.35">
      <c r="C14" s="1"/>
      <c r="D14" s="1" t="s">
        <v>130</v>
      </c>
      <c r="E14" s="1">
        <v>14074172</v>
      </c>
      <c r="F14" s="1"/>
    </row>
    <row r="15" spans="3:6" x14ac:dyDescent="0.35">
      <c r="C15" s="1"/>
      <c r="D15" s="1" t="s">
        <v>216</v>
      </c>
      <c r="E15" s="1">
        <v>14099238</v>
      </c>
      <c r="F15" s="1"/>
    </row>
    <row r="16" spans="3:6" x14ac:dyDescent="0.35">
      <c r="C16" s="1"/>
      <c r="D16" s="1" t="s">
        <v>217</v>
      </c>
      <c r="E16" s="1">
        <v>14092065</v>
      </c>
      <c r="F16" s="1"/>
    </row>
    <row r="17" spans="3:6" x14ac:dyDescent="0.35">
      <c r="C17" s="1"/>
      <c r="D17" s="1" t="s">
        <v>207</v>
      </c>
      <c r="E17" s="1">
        <v>14079007</v>
      </c>
      <c r="F17" s="1"/>
    </row>
    <row r="18" spans="3:6" x14ac:dyDescent="0.35">
      <c r="C18" s="1"/>
      <c r="D18" s="1" t="s">
        <v>218</v>
      </c>
      <c r="E18" s="1">
        <v>14090108</v>
      </c>
      <c r="F18" s="1"/>
    </row>
    <row r="19" spans="3:6" x14ac:dyDescent="0.35">
      <c r="C19" s="1"/>
      <c r="D19" s="1" t="s">
        <v>219</v>
      </c>
      <c r="E19" s="1">
        <v>14085173</v>
      </c>
      <c r="F19" s="1"/>
    </row>
    <row r="20" spans="3:6" x14ac:dyDescent="0.35">
      <c r="C20" s="1"/>
      <c r="D20" s="1" t="s">
        <v>166</v>
      </c>
      <c r="E20" s="1">
        <v>14017759</v>
      </c>
      <c r="F20" s="1"/>
    </row>
    <row r="21" spans="3:6" x14ac:dyDescent="0.35">
      <c r="C21" s="1"/>
      <c r="D21" s="1"/>
      <c r="E21" s="1"/>
      <c r="F21" s="1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917EA-6DF4-4EB4-9C3B-A79B9C3669FD}">
  <sheetPr codeName="Hoja3"/>
  <dimension ref="A2:K16"/>
  <sheetViews>
    <sheetView zoomScale="115" zoomScaleNormal="115" workbookViewId="0">
      <selection activeCell="H8" sqref="H8"/>
    </sheetView>
  </sheetViews>
  <sheetFormatPr baseColWidth="10" defaultRowHeight="14.5" x14ac:dyDescent="0.35"/>
  <cols>
    <col min="1" max="1" width="11.7265625" bestFit="1" customWidth="1"/>
    <col min="2" max="2" width="45" bestFit="1" customWidth="1"/>
    <col min="3" max="3" width="38.90625" bestFit="1" customWidth="1"/>
    <col min="4" max="4" width="24.54296875" bestFit="1" customWidth="1"/>
    <col min="5" max="5" width="2.08984375" bestFit="1" customWidth="1"/>
    <col min="6" max="6" width="17.6328125" customWidth="1"/>
    <col min="7" max="7" width="14.90625" customWidth="1"/>
    <col min="8" max="8" width="11.453125" customWidth="1"/>
    <col min="9" max="9" width="13.54296875" bestFit="1" customWidth="1"/>
    <col min="10" max="10" width="9.90625" bestFit="1" customWidth="1"/>
    <col min="11" max="11" width="4" bestFit="1" customWidth="1"/>
    <col min="12" max="24" width="3.08984375" bestFit="1" customWidth="1"/>
    <col min="25" max="25" width="6" bestFit="1" customWidth="1"/>
    <col min="26" max="26" width="3.08984375" bestFit="1" customWidth="1"/>
    <col min="27" max="35" width="4.08984375" bestFit="1" customWidth="1"/>
    <col min="36" max="38" width="5.08984375" bestFit="1" customWidth="1"/>
    <col min="39" max="40" width="6" bestFit="1" customWidth="1"/>
    <col min="41" max="41" width="11.81640625" bestFit="1" customWidth="1"/>
  </cols>
  <sheetData>
    <row r="2" spans="1:11" x14ac:dyDescent="0.35">
      <c r="A2" s="2" t="s">
        <v>3</v>
      </c>
      <c r="B2" s="2" t="s">
        <v>4</v>
      </c>
      <c r="C2" t="s">
        <v>176</v>
      </c>
      <c r="F2" t="s">
        <v>177</v>
      </c>
      <c r="G2" t="s">
        <v>178</v>
      </c>
      <c r="H2" t="s">
        <v>179</v>
      </c>
      <c r="I2" t="s">
        <v>180</v>
      </c>
      <c r="J2" t="s">
        <v>181</v>
      </c>
    </row>
    <row r="3" spans="1:11" x14ac:dyDescent="0.35">
      <c r="A3">
        <v>14904458</v>
      </c>
      <c r="B3" t="s">
        <v>132</v>
      </c>
      <c r="C3">
        <v>3</v>
      </c>
      <c r="F3">
        <v>5</v>
      </c>
      <c r="H3">
        <v>5</v>
      </c>
      <c r="I3" s="3">
        <v>466.1</v>
      </c>
      <c r="J3" s="3">
        <v>408.39</v>
      </c>
    </row>
    <row r="4" spans="1:11" x14ac:dyDescent="0.35">
      <c r="A4">
        <v>14904755</v>
      </c>
      <c r="B4" t="s">
        <v>127</v>
      </c>
      <c r="C4">
        <v>66</v>
      </c>
      <c r="F4">
        <v>131</v>
      </c>
      <c r="G4">
        <v>24</v>
      </c>
      <c r="H4">
        <f>F4+G4</f>
        <v>155</v>
      </c>
      <c r="I4" s="3">
        <v>406.78</v>
      </c>
      <c r="J4" s="3">
        <v>375.9</v>
      </c>
    </row>
    <row r="5" spans="1:11" x14ac:dyDescent="0.35">
      <c r="A5">
        <v>14904912</v>
      </c>
      <c r="B5" t="s">
        <v>126</v>
      </c>
      <c r="C5">
        <v>3</v>
      </c>
      <c r="F5">
        <v>3</v>
      </c>
      <c r="H5">
        <f>F5</f>
        <v>3</v>
      </c>
      <c r="J5" s="3">
        <v>448.99</v>
      </c>
      <c r="K5" s="3">
        <v>635.59</v>
      </c>
    </row>
    <row r="6" spans="1:11" x14ac:dyDescent="0.35">
      <c r="A6" t="s">
        <v>175</v>
      </c>
      <c r="C6">
        <v>72</v>
      </c>
    </row>
    <row r="12" spans="1:11" x14ac:dyDescent="0.35">
      <c r="B12" s="2" t="s">
        <v>3</v>
      </c>
      <c r="C12" s="2" t="s">
        <v>4</v>
      </c>
      <c r="D12" t="s">
        <v>176</v>
      </c>
    </row>
    <row r="13" spans="1:11" x14ac:dyDescent="0.35">
      <c r="B13">
        <v>14904458</v>
      </c>
      <c r="C13" t="s">
        <v>132</v>
      </c>
      <c r="D13">
        <v>6</v>
      </c>
    </row>
    <row r="14" spans="1:11" x14ac:dyDescent="0.35">
      <c r="B14">
        <v>14904755</v>
      </c>
      <c r="C14" t="s">
        <v>127</v>
      </c>
      <c r="D14">
        <v>104</v>
      </c>
    </row>
    <row r="15" spans="1:11" x14ac:dyDescent="0.35">
      <c r="B15">
        <v>14904912</v>
      </c>
      <c r="C15" t="s">
        <v>126</v>
      </c>
      <c r="D15">
        <v>3</v>
      </c>
    </row>
    <row r="16" spans="1:11" x14ac:dyDescent="0.35">
      <c r="B16">
        <v>14905383</v>
      </c>
      <c r="C16" t="s">
        <v>243</v>
      </c>
      <c r="D16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5CA57-D9B5-4B68-BFBB-AD993CEE4DAD}">
  <sheetPr codeName="Hoja5"/>
  <dimension ref="A1:D10"/>
  <sheetViews>
    <sheetView topLeftCell="A22" zoomScale="85" zoomScaleNormal="85" workbookViewId="0">
      <selection activeCell="I31" sqref="I31"/>
    </sheetView>
  </sheetViews>
  <sheetFormatPr baseColWidth="10" defaultRowHeight="14.5" x14ac:dyDescent="0.35"/>
  <cols>
    <col min="1" max="1" width="29.08984375" customWidth="1"/>
    <col min="2" max="2" width="21.81640625" customWidth="1"/>
    <col min="3" max="4" width="18.1796875" customWidth="1"/>
  </cols>
  <sheetData>
    <row r="1" spans="1:4" x14ac:dyDescent="0.35">
      <c r="A1" s="18" t="s">
        <v>428</v>
      </c>
      <c r="B1" s="18" t="s">
        <v>432</v>
      </c>
      <c r="C1" s="18" t="s">
        <v>444</v>
      </c>
      <c r="D1" s="18" t="s">
        <v>445</v>
      </c>
    </row>
    <row r="2" spans="1:4" x14ac:dyDescent="0.35">
      <c r="A2" s="1" t="s">
        <v>443</v>
      </c>
      <c r="B2" s="6">
        <f>SUMIFS(jvega!M12:M23,jvega!G12:G23,A2)</f>
        <v>3308.38</v>
      </c>
      <c r="C2" s="17">
        <f t="shared" ref="C2:C10" si="0">B2/SUM($B$2:$B$10)</f>
        <v>0.28436067025084988</v>
      </c>
      <c r="D2" s="17">
        <f>C2</f>
        <v>0.28436067025084988</v>
      </c>
    </row>
    <row r="3" spans="1:4" x14ac:dyDescent="0.35">
      <c r="A3" s="1" t="s">
        <v>441</v>
      </c>
      <c r="B3" s="6">
        <f>SUMIFS(jvega!M12:M23,jvega!G12:G23,A3)</f>
        <v>2426.44</v>
      </c>
      <c r="C3" s="17">
        <f t="shared" si="0"/>
        <v>0.208556485265741</v>
      </c>
      <c r="D3" s="17">
        <f t="shared" ref="D3:D10" si="1">D2+C3</f>
        <v>0.49291715551659088</v>
      </c>
    </row>
    <row r="4" spans="1:4" x14ac:dyDescent="0.35">
      <c r="A4" s="1" t="s">
        <v>438</v>
      </c>
      <c r="B4" s="6">
        <f>SUMIFS(jvega!M12:M23,jvega!G12:G23,A4)</f>
        <v>1594.89</v>
      </c>
      <c r="C4" s="17">
        <f t="shared" si="0"/>
        <v>0.1370834031690368</v>
      </c>
      <c r="D4" s="17">
        <f t="shared" si="1"/>
        <v>0.63000055868562765</v>
      </c>
    </row>
    <row r="5" spans="1:4" x14ac:dyDescent="0.35">
      <c r="A5" s="1" t="s">
        <v>440</v>
      </c>
      <c r="B5" s="6">
        <f>SUMIFS(jvega!M12:M23,jvega!G12:G23,A5)</f>
        <v>1561.8</v>
      </c>
      <c r="C5" s="17">
        <f t="shared" si="0"/>
        <v>0.13423926356639121</v>
      </c>
      <c r="D5" s="17">
        <f t="shared" si="1"/>
        <v>0.76423982225201881</v>
      </c>
    </row>
    <row r="6" spans="1:4" x14ac:dyDescent="0.35">
      <c r="A6" s="1" t="s">
        <v>439</v>
      </c>
      <c r="B6" s="6">
        <f>SUMIFS(jvega!M12:M23,jvega!G12:G23,A6)</f>
        <v>1069</v>
      </c>
      <c r="C6" s="17">
        <f t="shared" si="0"/>
        <v>9.1882297831010498E-2</v>
      </c>
      <c r="D6" s="17">
        <f t="shared" si="1"/>
        <v>0.85612212008302935</v>
      </c>
    </row>
    <row r="7" spans="1:4" x14ac:dyDescent="0.35">
      <c r="A7" s="1" t="s">
        <v>442</v>
      </c>
      <c r="B7" s="6">
        <f>SUMIFS(jvega!M12:M23,jvega!G12:G23,A7)</f>
        <v>847.31999999999994</v>
      </c>
      <c r="C7" s="17">
        <f t="shared" si="0"/>
        <v>7.2828539380890372E-2</v>
      </c>
      <c r="D7" s="17">
        <f t="shared" si="1"/>
        <v>0.92895065946391975</v>
      </c>
    </row>
    <row r="8" spans="1:4" x14ac:dyDescent="0.35">
      <c r="A8" s="1" t="s">
        <v>433</v>
      </c>
      <c r="B8" s="6">
        <f>SUMIFS(jvega!M12:M23,jvega!G12:G23,A8)</f>
        <v>563.55999999999995</v>
      </c>
      <c r="C8" s="17">
        <f t="shared" si="0"/>
        <v>4.8438903429040482E-2</v>
      </c>
      <c r="D8" s="17">
        <f t="shared" si="1"/>
        <v>0.9773895628929602</v>
      </c>
    </row>
    <row r="9" spans="1:4" x14ac:dyDescent="0.35">
      <c r="A9" s="1" t="s">
        <v>435</v>
      </c>
      <c r="B9" s="6">
        <f>SUMIFS(jvega!M12:M23,jvega!G12:G23,A9)</f>
        <v>226.96</v>
      </c>
      <c r="C9" s="17">
        <f t="shared" si="0"/>
        <v>1.95075830829992E-2</v>
      </c>
      <c r="D9" s="17">
        <f t="shared" si="1"/>
        <v>0.99689714597595935</v>
      </c>
    </row>
    <row r="10" spans="1:4" x14ac:dyDescent="0.35">
      <c r="A10" s="1" t="s">
        <v>436</v>
      </c>
      <c r="B10" s="6">
        <f>SUMIFS(jvega!M12:M23,jvega!G12:G23,A10)</f>
        <v>36.1</v>
      </c>
      <c r="C10" s="17">
        <f t="shared" si="0"/>
        <v>3.1028540240406726E-3</v>
      </c>
      <c r="D10" s="17">
        <f t="shared" si="1"/>
        <v>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87C-756E-429B-83C6-5301A220014E}">
  <sheetPr codeName="Solped2"/>
  <dimension ref="A1:XFD574"/>
  <sheetViews>
    <sheetView zoomScale="85" zoomScaleNormal="85" workbookViewId="0">
      <pane ySplit="1" topLeftCell="A13" activePane="bottomLeft" state="frozen"/>
      <selection activeCell="Y1" sqref="Y1"/>
      <selection pane="bottomLeft" activeCell="AW26" sqref="A26:AW28"/>
    </sheetView>
  </sheetViews>
  <sheetFormatPr baseColWidth="10" defaultColWidth="8.7265625" defaultRowHeight="14.5" x14ac:dyDescent="0.35"/>
  <cols>
    <col min="1" max="1" width="15.81640625" style="20" bestFit="1" customWidth="1"/>
    <col min="2" max="2" width="11.36328125" style="20" customWidth="1"/>
    <col min="3" max="3" width="8.7265625" style="20"/>
    <col min="4" max="4" width="16.81640625" style="20" customWidth="1"/>
    <col min="5" max="5" width="45.08984375" style="20" bestFit="1" customWidth="1"/>
    <col min="6" max="6" width="8.90625" style="20" bestFit="1" customWidth="1"/>
    <col min="7" max="10" width="8.7265625" style="20"/>
    <col min="11" max="11" width="23.36328125" style="20" bestFit="1" customWidth="1"/>
    <col min="12" max="12" width="45" style="20" bestFit="1" customWidth="1"/>
    <col min="13" max="13" width="13.6328125" style="34" customWidth="1"/>
    <col min="14" max="14" width="8.7265625" style="20"/>
    <col min="15" max="15" width="8.90625" style="20" bestFit="1" customWidth="1"/>
    <col min="16" max="16" width="8.7265625" style="20"/>
    <col min="17" max="18" width="8.90625" style="20" bestFit="1" customWidth="1"/>
    <col min="19" max="19" width="11.54296875" style="20" bestFit="1" customWidth="1"/>
    <col min="20" max="24" width="8.7265625" style="20"/>
    <col min="25" max="25" width="8.90625" style="20" bestFit="1" customWidth="1"/>
    <col min="26" max="31" width="8.7265625" style="20"/>
    <col min="32" max="36" width="8.90625" style="20" bestFit="1" customWidth="1"/>
    <col min="37" max="37" width="8.7265625" style="20"/>
    <col min="38" max="38" width="8.90625" style="20" bestFit="1" customWidth="1"/>
    <col min="39" max="39" width="50.26953125" style="20" bestFit="1" customWidth="1"/>
    <col min="40" max="40" width="21.453125" style="20" bestFit="1" customWidth="1"/>
    <col min="41" max="41" width="10" style="20" bestFit="1" customWidth="1"/>
    <col min="42" max="42" width="12.36328125" style="20" bestFit="1" customWidth="1"/>
    <col min="43" max="43" width="8.81640625" style="20" bestFit="1" customWidth="1"/>
    <col min="44" max="44" width="10.1796875" style="20" bestFit="1" customWidth="1"/>
    <col min="45" max="45" width="10.36328125" style="20" bestFit="1" customWidth="1"/>
    <col min="46" max="46" width="11.6328125" style="28" bestFit="1" customWidth="1"/>
    <col min="47" max="47" width="14.1796875" style="21" bestFit="1" customWidth="1"/>
    <col min="48" max="48" width="16.26953125" style="21" bestFit="1" customWidth="1"/>
    <col min="49" max="49" width="92.36328125" style="21" bestFit="1" customWidth="1"/>
    <col min="50" max="16384" width="8.7265625" style="20"/>
  </cols>
  <sheetData>
    <row r="1" spans="1:49 16384:16384" x14ac:dyDescent="0.35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7</v>
      </c>
      <c r="R1" s="8" t="s">
        <v>16</v>
      </c>
      <c r="S1" s="8" t="s">
        <v>17</v>
      </c>
      <c r="T1" s="8" t="s">
        <v>18</v>
      </c>
      <c r="U1" s="8" t="s">
        <v>19</v>
      </c>
      <c r="V1" s="8" t="s">
        <v>20</v>
      </c>
      <c r="W1" s="8" t="s">
        <v>21</v>
      </c>
      <c r="X1" s="8" t="s">
        <v>22</v>
      </c>
      <c r="Y1" s="8" t="s">
        <v>23</v>
      </c>
      <c r="Z1" s="8" t="s">
        <v>24</v>
      </c>
      <c r="AA1" s="8" t="s">
        <v>25</v>
      </c>
      <c r="AB1" s="8" t="s">
        <v>26</v>
      </c>
      <c r="AC1" s="8" t="s">
        <v>27</v>
      </c>
      <c r="AD1" s="8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8" t="s">
        <v>33</v>
      </c>
      <c r="AJ1" s="8" t="s">
        <v>34</v>
      </c>
      <c r="AK1" s="8" t="s">
        <v>13</v>
      </c>
      <c r="AL1" s="8" t="s">
        <v>35</v>
      </c>
      <c r="AM1" s="8" t="s">
        <v>36</v>
      </c>
      <c r="AN1" s="8" t="s">
        <v>37</v>
      </c>
      <c r="AO1" s="8" t="s">
        <v>169</v>
      </c>
      <c r="AP1" s="9" t="s">
        <v>38</v>
      </c>
      <c r="AQ1" s="10" t="s">
        <v>39</v>
      </c>
      <c r="AR1" s="8" t="s">
        <v>40</v>
      </c>
      <c r="AS1" s="8" t="s">
        <v>41</v>
      </c>
      <c r="AT1" s="19" t="s">
        <v>513</v>
      </c>
      <c r="AU1" s="21" t="s">
        <v>40</v>
      </c>
      <c r="AV1" s="21" t="s">
        <v>514</v>
      </c>
      <c r="AW1" s="21" t="s">
        <v>515</v>
      </c>
      <c r="XFD1" s="20">
        <v>5</v>
      </c>
    </row>
    <row r="2" spans="1:49 16384:16384" x14ac:dyDescent="0.35">
      <c r="A2" s="57">
        <v>46121</v>
      </c>
      <c r="B2" s="58" t="s">
        <v>315</v>
      </c>
      <c r="C2" s="58" t="s">
        <v>63</v>
      </c>
      <c r="D2" s="58">
        <v>14904346</v>
      </c>
      <c r="E2" s="58" t="s">
        <v>316</v>
      </c>
      <c r="F2" s="58">
        <v>1</v>
      </c>
      <c r="G2" s="58" t="s">
        <v>43</v>
      </c>
      <c r="H2" s="58" t="s">
        <v>44</v>
      </c>
      <c r="I2" s="58" t="s">
        <v>45</v>
      </c>
      <c r="J2" s="58" t="s">
        <v>45</v>
      </c>
      <c r="K2" s="57">
        <v>46132</v>
      </c>
      <c r="L2" s="58" t="s">
        <v>317</v>
      </c>
      <c r="M2" s="58">
        <v>422.4</v>
      </c>
      <c r="N2" s="58" t="s">
        <v>56</v>
      </c>
      <c r="O2" s="58">
        <v>1</v>
      </c>
      <c r="P2" s="58" t="s">
        <v>43</v>
      </c>
      <c r="Q2" s="58">
        <v>1207</v>
      </c>
      <c r="R2" s="58">
        <v>1</v>
      </c>
      <c r="S2" s="58">
        <v>4500901987</v>
      </c>
      <c r="T2" s="58" t="s">
        <v>225</v>
      </c>
      <c r="U2" s="58" t="s">
        <v>86</v>
      </c>
      <c r="V2" s="58" t="s">
        <v>70</v>
      </c>
      <c r="W2" s="58" t="s">
        <v>84</v>
      </c>
      <c r="X2" s="58" t="s">
        <v>49</v>
      </c>
      <c r="Y2" s="58">
        <v>0</v>
      </c>
      <c r="Z2" s="58" t="s">
        <v>131</v>
      </c>
      <c r="AA2" s="58" t="s">
        <v>85</v>
      </c>
      <c r="AB2" s="58" t="s">
        <v>61</v>
      </c>
      <c r="AC2" s="58" t="s">
        <v>318</v>
      </c>
      <c r="AD2" s="58" t="s">
        <v>64</v>
      </c>
      <c r="AE2" s="58">
        <v>46122</v>
      </c>
      <c r="AF2" s="58">
        <v>46121</v>
      </c>
      <c r="AG2" s="58">
        <v>46121</v>
      </c>
      <c r="AH2" s="58">
        <v>46122</v>
      </c>
      <c r="AI2" s="58">
        <v>0</v>
      </c>
      <c r="AJ2" s="58">
        <v>1447.39</v>
      </c>
      <c r="AK2" s="58" t="s">
        <v>46</v>
      </c>
      <c r="AL2" s="58">
        <v>1447.39</v>
      </c>
      <c r="AM2" s="58" t="s">
        <v>319</v>
      </c>
      <c r="AN2" s="58">
        <v>4210997</v>
      </c>
      <c r="AO2" s="58" t="s">
        <v>446</v>
      </c>
      <c r="AP2" s="59" t="s">
        <v>320</v>
      </c>
      <c r="AQ2" s="60">
        <v>-16</v>
      </c>
      <c r="AR2" s="58" t="s">
        <v>53</v>
      </c>
      <c r="AS2" s="58" t="s">
        <v>54</v>
      </c>
      <c r="AT2" s="28">
        <v>4500903719</v>
      </c>
    </row>
    <row r="3" spans="1:49 16384:16384" x14ac:dyDescent="0.35">
      <c r="A3" s="11">
        <v>46127</v>
      </c>
      <c r="B3" s="1" t="s">
        <v>235</v>
      </c>
      <c r="C3" s="1" t="s">
        <v>42</v>
      </c>
      <c r="D3" s="1">
        <v>14906677</v>
      </c>
      <c r="E3" s="1" t="s">
        <v>236</v>
      </c>
      <c r="F3" s="1">
        <v>1</v>
      </c>
      <c r="G3" s="1" t="s">
        <v>43</v>
      </c>
      <c r="H3" s="1" t="s">
        <v>44</v>
      </c>
      <c r="I3" s="1" t="s">
        <v>45</v>
      </c>
      <c r="J3" s="1" t="s">
        <v>45</v>
      </c>
      <c r="K3" s="1"/>
      <c r="L3" s="1"/>
      <c r="M3" s="1"/>
      <c r="N3" s="1"/>
      <c r="O3" s="1"/>
      <c r="P3" s="1"/>
      <c r="Q3" s="1"/>
      <c r="R3" s="1"/>
      <c r="S3" s="1"/>
      <c r="T3" s="1" t="s">
        <v>225</v>
      </c>
      <c r="U3" s="1" t="s">
        <v>237</v>
      </c>
      <c r="V3" s="1" t="s">
        <v>70</v>
      </c>
      <c r="W3" s="1" t="s">
        <v>84</v>
      </c>
      <c r="X3" s="1" t="s">
        <v>49</v>
      </c>
      <c r="Y3" s="1">
        <v>0</v>
      </c>
      <c r="Z3" s="1" t="s">
        <v>131</v>
      </c>
      <c r="AA3" s="1" t="s">
        <v>85</v>
      </c>
      <c r="AB3" s="1" t="s">
        <v>61</v>
      </c>
      <c r="AC3" s="1" t="s">
        <v>271</v>
      </c>
      <c r="AD3" s="1" t="s">
        <v>42</v>
      </c>
      <c r="AE3" s="1">
        <v>46133</v>
      </c>
      <c r="AF3" s="1">
        <v>46127</v>
      </c>
      <c r="AG3" s="1">
        <v>46127</v>
      </c>
      <c r="AH3" s="1">
        <v>46128</v>
      </c>
      <c r="AI3" s="1">
        <v>0</v>
      </c>
      <c r="AJ3" s="1">
        <v>1162.04</v>
      </c>
      <c r="AK3" s="1" t="s">
        <v>46</v>
      </c>
      <c r="AL3" s="1">
        <v>1162.04</v>
      </c>
      <c r="AM3" s="1" t="s">
        <v>238</v>
      </c>
      <c r="AN3" s="1">
        <v>4214850</v>
      </c>
      <c r="AO3" s="1"/>
      <c r="AP3" s="12" t="s">
        <v>239</v>
      </c>
      <c r="AQ3" s="13">
        <v>-10</v>
      </c>
      <c r="AR3" s="1" t="s">
        <v>53</v>
      </c>
      <c r="AS3" s="1" t="s">
        <v>54</v>
      </c>
    </row>
    <row r="4" spans="1:49 16384:16384" ht="14" customHeight="1" x14ac:dyDescent="0.35">
      <c r="A4" s="11">
        <v>46135</v>
      </c>
      <c r="B4" s="1" t="s">
        <v>321</v>
      </c>
      <c r="C4" s="1" t="s">
        <v>42</v>
      </c>
      <c r="D4" s="1">
        <v>14902733</v>
      </c>
      <c r="E4" s="1" t="s">
        <v>322</v>
      </c>
      <c r="F4" s="1">
        <v>1</v>
      </c>
      <c r="G4" s="1" t="s">
        <v>43</v>
      </c>
      <c r="H4" s="1" t="s">
        <v>44</v>
      </c>
      <c r="I4" s="1" t="s">
        <v>45</v>
      </c>
      <c r="J4" s="1" t="s">
        <v>45</v>
      </c>
      <c r="K4" s="11">
        <v>46122</v>
      </c>
      <c r="L4" s="1" t="s">
        <v>317</v>
      </c>
      <c r="M4" s="1">
        <v>387</v>
      </c>
      <c r="N4" s="1" t="s">
        <v>56</v>
      </c>
      <c r="O4" s="1">
        <v>1</v>
      </c>
      <c r="P4" s="1" t="s">
        <v>43</v>
      </c>
      <c r="Q4" s="1">
        <v>1207</v>
      </c>
      <c r="R4" s="1">
        <v>1</v>
      </c>
      <c r="S4" s="1">
        <v>4500899918</v>
      </c>
      <c r="T4" s="1" t="s">
        <v>225</v>
      </c>
      <c r="U4" s="1" t="s">
        <v>323</v>
      </c>
      <c r="V4" s="1" t="s">
        <v>70</v>
      </c>
      <c r="W4" s="1" t="s">
        <v>84</v>
      </c>
      <c r="X4" s="1" t="s">
        <v>49</v>
      </c>
      <c r="Y4" s="1">
        <v>0</v>
      </c>
      <c r="Z4" s="1" t="s">
        <v>50</v>
      </c>
      <c r="AA4" s="1" t="s">
        <v>87</v>
      </c>
      <c r="AB4" s="1" t="s">
        <v>61</v>
      </c>
      <c r="AC4" s="1"/>
      <c r="AD4" s="1" t="s">
        <v>52</v>
      </c>
      <c r="AE4" s="1"/>
      <c r="AF4" s="1">
        <v>46135</v>
      </c>
      <c r="AG4" s="1">
        <v>46135</v>
      </c>
      <c r="AH4" s="1">
        <v>46136</v>
      </c>
      <c r="AI4" s="1">
        <v>0</v>
      </c>
      <c r="AJ4" s="1">
        <v>1332.05</v>
      </c>
      <c r="AK4" s="1" t="s">
        <v>46</v>
      </c>
      <c r="AL4" s="1">
        <v>1332.05</v>
      </c>
      <c r="AM4" s="1" t="s">
        <v>324</v>
      </c>
      <c r="AN4" s="1">
        <v>4215864</v>
      </c>
      <c r="AO4" s="1"/>
      <c r="AP4" s="12" t="s">
        <v>325</v>
      </c>
      <c r="AQ4" s="13">
        <v>-2</v>
      </c>
      <c r="AR4" s="1" t="s">
        <v>53</v>
      </c>
      <c r="AS4" s="1" t="s">
        <v>54</v>
      </c>
    </row>
    <row r="5" spans="1:49 16384:16384" x14ac:dyDescent="0.35">
      <c r="A5" s="11">
        <v>46135</v>
      </c>
      <c r="B5" s="1" t="s">
        <v>326</v>
      </c>
      <c r="C5" s="1" t="s">
        <v>42</v>
      </c>
      <c r="D5" s="61">
        <v>14904175</v>
      </c>
      <c r="E5" s="1" t="s">
        <v>327</v>
      </c>
      <c r="F5" s="1">
        <v>1</v>
      </c>
      <c r="G5" s="1" t="s">
        <v>43</v>
      </c>
      <c r="H5" s="1" t="s">
        <v>44</v>
      </c>
      <c r="I5" s="1" t="s">
        <v>45</v>
      </c>
      <c r="J5" s="1" t="s">
        <v>45</v>
      </c>
      <c r="K5" s="11">
        <v>46017</v>
      </c>
      <c r="L5" s="1" t="s">
        <v>317</v>
      </c>
      <c r="M5" s="1">
        <v>207.68</v>
      </c>
      <c r="N5" s="1" t="s">
        <v>56</v>
      </c>
      <c r="O5" s="1">
        <v>1</v>
      </c>
      <c r="P5" s="1" t="s">
        <v>43</v>
      </c>
      <c r="Q5" s="1">
        <v>1207</v>
      </c>
      <c r="R5" s="1">
        <v>1</v>
      </c>
      <c r="S5" s="1">
        <v>4500882483</v>
      </c>
      <c r="T5" s="1" t="s">
        <v>225</v>
      </c>
      <c r="U5" s="1" t="s">
        <v>323</v>
      </c>
      <c r="V5" s="1" t="s">
        <v>70</v>
      </c>
      <c r="W5" s="1" t="s">
        <v>84</v>
      </c>
      <c r="X5" s="1" t="s">
        <v>49</v>
      </c>
      <c r="Y5" s="1">
        <v>0</v>
      </c>
      <c r="Z5" s="1" t="s">
        <v>50</v>
      </c>
      <c r="AA5" s="1" t="s">
        <v>87</v>
      </c>
      <c r="AB5" s="1" t="s">
        <v>61</v>
      </c>
      <c r="AC5" s="1"/>
      <c r="AD5" s="1" t="s">
        <v>52</v>
      </c>
      <c r="AE5" s="1"/>
      <c r="AF5" s="1">
        <v>46135</v>
      </c>
      <c r="AG5" s="1">
        <v>46135</v>
      </c>
      <c r="AH5" s="1">
        <v>46136</v>
      </c>
      <c r="AI5" s="1">
        <v>0</v>
      </c>
      <c r="AJ5" s="1">
        <v>690.93</v>
      </c>
      <c r="AK5" s="1" t="s">
        <v>46</v>
      </c>
      <c r="AL5" s="1">
        <v>690.93</v>
      </c>
      <c r="AM5" s="1" t="s">
        <v>328</v>
      </c>
      <c r="AN5" s="1">
        <v>4215865</v>
      </c>
      <c r="AO5" s="1"/>
      <c r="AP5" s="12" t="s">
        <v>329</v>
      </c>
      <c r="AQ5" s="13">
        <v>-2</v>
      </c>
      <c r="AR5" s="1" t="s">
        <v>53</v>
      </c>
      <c r="AS5" s="1" t="s">
        <v>54</v>
      </c>
    </row>
    <row r="6" spans="1:49 16384:16384" s="48" customFormat="1" x14ac:dyDescent="0.35">
      <c r="A6" s="43">
        <v>46139</v>
      </c>
      <c r="B6" s="44" t="s">
        <v>447</v>
      </c>
      <c r="C6" s="44" t="s">
        <v>42</v>
      </c>
      <c r="D6" s="44">
        <v>14905046</v>
      </c>
      <c r="E6" s="44" t="s">
        <v>448</v>
      </c>
      <c r="F6" s="44">
        <v>1</v>
      </c>
      <c r="G6" s="44" t="s">
        <v>43</v>
      </c>
      <c r="H6" s="44" t="s">
        <v>264</v>
      </c>
      <c r="I6" s="44" t="s">
        <v>45</v>
      </c>
      <c r="J6" s="44" t="s">
        <v>45</v>
      </c>
      <c r="K6" s="43">
        <v>46127</v>
      </c>
      <c r="L6" s="44" t="s">
        <v>487</v>
      </c>
      <c r="M6" s="44">
        <v>684</v>
      </c>
      <c r="N6" s="44" t="s">
        <v>56</v>
      </c>
      <c r="O6" s="44">
        <v>1</v>
      </c>
      <c r="P6" s="44" t="s">
        <v>43</v>
      </c>
      <c r="Q6" s="44">
        <v>1301</v>
      </c>
      <c r="R6" s="44">
        <v>1</v>
      </c>
      <c r="S6" s="44">
        <v>4500901098</v>
      </c>
      <c r="T6" s="44" t="s">
        <v>225</v>
      </c>
      <c r="U6" s="44" t="s">
        <v>265</v>
      </c>
      <c r="V6" s="44" t="s">
        <v>135</v>
      </c>
      <c r="W6" s="44" t="s">
        <v>97</v>
      </c>
      <c r="X6" s="44" t="s">
        <v>49</v>
      </c>
      <c r="Y6" s="44">
        <v>0</v>
      </c>
      <c r="Z6" s="44" t="s">
        <v>50</v>
      </c>
      <c r="AA6" s="44"/>
      <c r="AB6" s="44" t="s">
        <v>51</v>
      </c>
      <c r="AC6" s="44"/>
      <c r="AD6" s="44" t="s">
        <v>52</v>
      </c>
      <c r="AE6" s="44"/>
      <c r="AF6" s="44">
        <v>46139</v>
      </c>
      <c r="AG6" s="44">
        <v>46139</v>
      </c>
      <c r="AH6" s="44">
        <v>46139</v>
      </c>
      <c r="AI6" s="44">
        <v>0</v>
      </c>
      <c r="AJ6" s="44">
        <v>2357.6</v>
      </c>
      <c r="AK6" s="44" t="s">
        <v>46</v>
      </c>
      <c r="AL6" s="44">
        <v>2357.6</v>
      </c>
      <c r="AM6" s="44"/>
      <c r="AN6" s="44"/>
      <c r="AO6" s="44"/>
      <c r="AP6" s="45" t="s">
        <v>449</v>
      </c>
      <c r="AQ6" s="46">
        <v>2</v>
      </c>
      <c r="AR6" s="44" t="s">
        <v>62</v>
      </c>
      <c r="AS6" s="44" t="s">
        <v>54</v>
      </c>
      <c r="AT6" s="62">
        <v>4500903642</v>
      </c>
      <c r="AU6" s="47"/>
      <c r="AV6" s="47"/>
      <c r="AW6" s="47"/>
    </row>
    <row r="7" spans="1:49 16384:16384" ht="13" x14ac:dyDescent="0.35">
      <c r="A7" s="39">
        <v>46139</v>
      </c>
      <c r="B7" s="40" t="s">
        <v>450</v>
      </c>
      <c r="C7" s="40" t="s">
        <v>63</v>
      </c>
      <c r="D7" s="40">
        <v>14091435</v>
      </c>
      <c r="E7" s="40" t="s">
        <v>368</v>
      </c>
      <c r="F7" s="40">
        <v>1</v>
      </c>
      <c r="G7" s="40" t="s">
        <v>43</v>
      </c>
      <c r="H7" s="40" t="s">
        <v>44</v>
      </c>
      <c r="I7" s="40" t="s">
        <v>45</v>
      </c>
      <c r="J7" s="40" t="s">
        <v>45</v>
      </c>
      <c r="K7" s="39">
        <v>46139</v>
      </c>
      <c r="L7" s="40" t="s">
        <v>241</v>
      </c>
      <c r="M7" s="40">
        <v>25.8</v>
      </c>
      <c r="N7" s="40" t="s">
        <v>46</v>
      </c>
      <c r="O7" s="40">
        <v>1</v>
      </c>
      <c r="P7" s="40" t="s">
        <v>43</v>
      </c>
      <c r="Q7" s="40">
        <v>1207</v>
      </c>
      <c r="R7" s="40">
        <v>1</v>
      </c>
      <c r="S7" s="40">
        <v>4500903428</v>
      </c>
      <c r="T7" s="40" t="s">
        <v>369</v>
      </c>
      <c r="U7" s="40" t="s">
        <v>128</v>
      </c>
      <c r="V7" s="40" t="s">
        <v>70</v>
      </c>
      <c r="W7" s="40" t="s">
        <v>84</v>
      </c>
      <c r="X7" s="40" t="s">
        <v>49</v>
      </c>
      <c r="Y7" s="40">
        <v>0</v>
      </c>
      <c r="Z7" s="40" t="s">
        <v>50</v>
      </c>
      <c r="AA7" s="40" t="s">
        <v>87</v>
      </c>
      <c r="AB7" s="40" t="s">
        <v>61</v>
      </c>
      <c r="AC7" s="40"/>
      <c r="AD7" s="40" t="s">
        <v>52</v>
      </c>
      <c r="AE7" s="40"/>
      <c r="AF7" s="40">
        <v>46139</v>
      </c>
      <c r="AG7" s="40">
        <v>46139</v>
      </c>
      <c r="AH7" s="40">
        <v>46140</v>
      </c>
      <c r="AI7" s="40">
        <v>0</v>
      </c>
      <c r="AJ7" s="40">
        <v>25.63</v>
      </c>
      <c r="AK7" s="40" t="s">
        <v>46</v>
      </c>
      <c r="AL7" s="40">
        <v>25.63</v>
      </c>
      <c r="AM7" s="40" t="s">
        <v>451</v>
      </c>
      <c r="AN7" s="40">
        <v>4214420</v>
      </c>
      <c r="AO7" s="40"/>
      <c r="AP7" s="41" t="s">
        <v>452</v>
      </c>
      <c r="AQ7" s="42">
        <v>2</v>
      </c>
      <c r="AR7" s="40" t="s">
        <v>62</v>
      </c>
      <c r="AS7" s="40" t="s">
        <v>54</v>
      </c>
      <c r="AT7" s="28">
        <v>4500903721</v>
      </c>
    </row>
    <row r="8" spans="1:49 16384:16384" s="56" customFormat="1" x14ac:dyDescent="0.35">
      <c r="A8" s="39">
        <v>46133</v>
      </c>
      <c r="B8" s="40" t="s">
        <v>272</v>
      </c>
      <c r="C8" s="40" t="s">
        <v>91</v>
      </c>
      <c r="D8" s="40">
        <v>14906190</v>
      </c>
      <c r="E8" s="40" t="s">
        <v>295</v>
      </c>
      <c r="F8" s="40">
        <v>1</v>
      </c>
      <c r="G8" s="40" t="s">
        <v>43</v>
      </c>
      <c r="H8" s="40" t="s">
        <v>65</v>
      </c>
      <c r="I8" s="40" t="s">
        <v>45</v>
      </c>
      <c r="J8" s="40" t="s">
        <v>45</v>
      </c>
      <c r="K8" s="40"/>
      <c r="L8" s="40" t="s">
        <v>504</v>
      </c>
      <c r="M8" s="40">
        <v>654.48</v>
      </c>
      <c r="N8" s="40" t="s">
        <v>56</v>
      </c>
      <c r="O8" s="40"/>
      <c r="P8" s="40"/>
      <c r="Q8" s="40"/>
      <c r="R8" s="40"/>
      <c r="S8" s="40"/>
      <c r="T8" s="40" t="s">
        <v>296</v>
      </c>
      <c r="U8" s="40" t="s">
        <v>265</v>
      </c>
      <c r="V8" s="40" t="s">
        <v>135</v>
      </c>
      <c r="W8" s="40" t="s">
        <v>266</v>
      </c>
      <c r="X8" s="40" t="s">
        <v>49</v>
      </c>
      <c r="Y8" s="40">
        <v>0</v>
      </c>
      <c r="Z8" s="40" t="s">
        <v>50</v>
      </c>
      <c r="AA8" s="40" t="s">
        <v>67</v>
      </c>
      <c r="AB8" s="40" t="s">
        <v>51</v>
      </c>
      <c r="AC8" s="40"/>
      <c r="AD8" s="40" t="s">
        <v>52</v>
      </c>
      <c r="AE8" s="40"/>
      <c r="AF8" s="40">
        <v>46133</v>
      </c>
      <c r="AG8" s="40">
        <v>46133</v>
      </c>
      <c r="AH8" s="40">
        <v>46133</v>
      </c>
      <c r="AI8" s="40">
        <v>0</v>
      </c>
      <c r="AJ8" s="40">
        <v>1852.29</v>
      </c>
      <c r="AK8" s="40" t="s">
        <v>46</v>
      </c>
      <c r="AL8" s="40">
        <v>1852.29</v>
      </c>
      <c r="AM8" s="40"/>
      <c r="AN8" s="40"/>
      <c r="AO8" s="40"/>
      <c r="AP8" s="41" t="s">
        <v>297</v>
      </c>
      <c r="AQ8" s="42">
        <v>-4</v>
      </c>
      <c r="AR8" s="40" t="s">
        <v>53</v>
      </c>
      <c r="AS8" s="40" t="s">
        <v>54</v>
      </c>
      <c r="AT8" s="63">
        <v>4500903709</v>
      </c>
      <c r="AU8" s="55"/>
      <c r="AV8" s="55"/>
      <c r="AW8" s="55"/>
    </row>
    <row r="9" spans="1:49 16384:16384" s="56" customFormat="1" x14ac:dyDescent="0.35">
      <c r="A9" s="39">
        <v>46133</v>
      </c>
      <c r="B9" s="40" t="s">
        <v>272</v>
      </c>
      <c r="C9" s="40" t="s">
        <v>42</v>
      </c>
      <c r="D9" s="40">
        <v>14906688</v>
      </c>
      <c r="E9" s="40" t="s">
        <v>289</v>
      </c>
      <c r="F9" s="40">
        <v>1</v>
      </c>
      <c r="G9" s="40" t="s">
        <v>43</v>
      </c>
      <c r="H9" s="40" t="s">
        <v>71</v>
      </c>
      <c r="I9" s="40" t="s">
        <v>45</v>
      </c>
      <c r="J9" s="40" t="s">
        <v>45</v>
      </c>
      <c r="K9" s="40"/>
      <c r="L9" s="40" t="s">
        <v>504</v>
      </c>
      <c r="M9" s="40">
        <v>243</v>
      </c>
      <c r="N9" s="40" t="s">
        <v>56</v>
      </c>
      <c r="O9" s="40"/>
      <c r="P9" s="40"/>
      <c r="Q9" s="40"/>
      <c r="R9" s="40"/>
      <c r="S9" s="40"/>
      <c r="T9" s="40" t="s">
        <v>290</v>
      </c>
      <c r="U9" s="40" t="s">
        <v>265</v>
      </c>
      <c r="V9" s="40" t="s">
        <v>135</v>
      </c>
      <c r="W9" s="40" t="s">
        <v>266</v>
      </c>
      <c r="X9" s="40" t="s">
        <v>49</v>
      </c>
      <c r="Y9" s="40">
        <v>0</v>
      </c>
      <c r="Z9" s="40" t="s">
        <v>50</v>
      </c>
      <c r="AA9" s="40" t="s">
        <v>74</v>
      </c>
      <c r="AB9" s="40" t="s">
        <v>51</v>
      </c>
      <c r="AC9" s="40"/>
      <c r="AD9" s="40" t="s">
        <v>52</v>
      </c>
      <c r="AE9" s="40"/>
      <c r="AF9" s="40">
        <v>46133</v>
      </c>
      <c r="AG9" s="40">
        <v>46133</v>
      </c>
      <c r="AH9" s="40">
        <v>46135</v>
      </c>
      <c r="AI9" s="40">
        <v>0</v>
      </c>
      <c r="AJ9" s="40">
        <v>1105</v>
      </c>
      <c r="AK9" s="40" t="s">
        <v>46</v>
      </c>
      <c r="AL9" s="40">
        <v>1105</v>
      </c>
      <c r="AM9" s="40"/>
      <c r="AN9" s="40"/>
      <c r="AO9" s="40"/>
      <c r="AP9" s="41" t="s">
        <v>291</v>
      </c>
      <c r="AQ9" s="42">
        <v>-4</v>
      </c>
      <c r="AR9" s="40" t="s">
        <v>53</v>
      </c>
      <c r="AS9" s="40" t="s">
        <v>54</v>
      </c>
      <c r="AT9" s="63">
        <v>4500903709</v>
      </c>
      <c r="AU9" s="55"/>
      <c r="AV9" s="55"/>
      <c r="AW9" s="55"/>
    </row>
    <row r="10" spans="1:49 16384:16384" s="56" customFormat="1" ht="20.5" customHeight="1" x14ac:dyDescent="0.35">
      <c r="A10" s="39">
        <v>46133</v>
      </c>
      <c r="B10" s="40" t="s">
        <v>272</v>
      </c>
      <c r="C10" s="40" t="s">
        <v>276</v>
      </c>
      <c r="D10" s="40">
        <v>14101770</v>
      </c>
      <c r="E10" s="40" t="s">
        <v>277</v>
      </c>
      <c r="F10" s="40">
        <v>1</v>
      </c>
      <c r="G10" s="40" t="s">
        <v>43</v>
      </c>
      <c r="H10" s="40" t="s">
        <v>44</v>
      </c>
      <c r="I10" s="40" t="s">
        <v>45</v>
      </c>
      <c r="J10" s="40" t="s">
        <v>45</v>
      </c>
      <c r="K10" s="40"/>
      <c r="L10" s="40" t="s">
        <v>504</v>
      </c>
      <c r="M10" s="40">
        <v>189.54</v>
      </c>
      <c r="N10" s="40" t="s">
        <v>56</v>
      </c>
      <c r="O10" s="40"/>
      <c r="P10" s="40"/>
      <c r="Q10" s="40"/>
      <c r="R10" s="40"/>
      <c r="S10" s="40"/>
      <c r="T10" s="40" t="s">
        <v>274</v>
      </c>
      <c r="U10" s="40" t="s">
        <v>265</v>
      </c>
      <c r="V10" s="40" t="s">
        <v>135</v>
      </c>
      <c r="W10" s="40" t="s">
        <v>266</v>
      </c>
      <c r="X10" s="40" t="s">
        <v>49</v>
      </c>
      <c r="Y10" s="40">
        <v>0</v>
      </c>
      <c r="Z10" s="40" t="s">
        <v>50</v>
      </c>
      <c r="AA10" s="40"/>
      <c r="AB10" s="40" t="s">
        <v>51</v>
      </c>
      <c r="AC10" s="40"/>
      <c r="AD10" s="40" t="s">
        <v>52</v>
      </c>
      <c r="AE10" s="40"/>
      <c r="AF10" s="40">
        <v>46133</v>
      </c>
      <c r="AG10" s="40">
        <v>46133</v>
      </c>
      <c r="AH10" s="40">
        <v>46133</v>
      </c>
      <c r="AI10" s="40">
        <v>0</v>
      </c>
      <c r="AJ10" s="40">
        <v>700</v>
      </c>
      <c r="AK10" s="40" t="s">
        <v>46</v>
      </c>
      <c r="AL10" s="40">
        <v>700</v>
      </c>
      <c r="AM10" s="40"/>
      <c r="AN10" s="40"/>
      <c r="AO10" s="40"/>
      <c r="AP10" s="41" t="s">
        <v>278</v>
      </c>
      <c r="AQ10" s="42">
        <v>-4</v>
      </c>
      <c r="AR10" s="40" t="s">
        <v>53</v>
      </c>
      <c r="AS10" s="40" t="s">
        <v>54</v>
      </c>
      <c r="AT10" s="63">
        <v>4500903709</v>
      </c>
      <c r="AU10" s="55"/>
      <c r="AV10" s="55"/>
      <c r="AW10" s="55"/>
    </row>
    <row r="11" spans="1:49 16384:16384" x14ac:dyDescent="0.35">
      <c r="A11" s="11">
        <v>46112</v>
      </c>
      <c r="B11" s="1" t="s">
        <v>137</v>
      </c>
      <c r="C11" s="1" t="s">
        <v>42</v>
      </c>
      <c r="D11" s="73">
        <v>14092062</v>
      </c>
      <c r="E11" s="1" t="s">
        <v>138</v>
      </c>
      <c r="F11" s="1">
        <v>1</v>
      </c>
      <c r="G11" s="1" t="s">
        <v>43</v>
      </c>
      <c r="H11" s="1" t="s">
        <v>92</v>
      </c>
      <c r="I11" s="1" t="s">
        <v>45</v>
      </c>
      <c r="J11" s="1" t="s">
        <v>45</v>
      </c>
      <c r="K11" s="1"/>
      <c r="L11" s="1"/>
      <c r="M11" s="1"/>
      <c r="N11" s="1"/>
      <c r="O11" s="1"/>
      <c r="P11" s="1"/>
      <c r="Q11" s="1"/>
      <c r="R11" s="1"/>
      <c r="S11" s="1"/>
      <c r="T11" s="1" t="s">
        <v>139</v>
      </c>
      <c r="U11" s="1" t="s">
        <v>140</v>
      </c>
      <c r="V11" s="1" t="s">
        <v>135</v>
      </c>
      <c r="W11" s="1" t="s">
        <v>93</v>
      </c>
      <c r="X11" s="1" t="s">
        <v>59</v>
      </c>
      <c r="Y11" s="1">
        <v>0</v>
      </c>
      <c r="Z11" s="1" t="s">
        <v>50</v>
      </c>
      <c r="AA11" s="1" t="s">
        <v>94</v>
      </c>
      <c r="AB11" s="1" t="s">
        <v>61</v>
      </c>
      <c r="AC11" s="1"/>
      <c r="AD11" s="1" t="s">
        <v>52</v>
      </c>
      <c r="AE11" s="1"/>
      <c r="AF11" s="1">
        <v>46112</v>
      </c>
      <c r="AG11" s="1">
        <v>46112</v>
      </c>
      <c r="AH11" s="1">
        <v>46113</v>
      </c>
      <c r="AI11" s="1">
        <v>29</v>
      </c>
      <c r="AJ11" s="1">
        <v>108.75</v>
      </c>
      <c r="AK11" s="1" t="s">
        <v>46</v>
      </c>
      <c r="AL11" s="1">
        <v>108.75</v>
      </c>
      <c r="AM11" s="1" t="s">
        <v>141</v>
      </c>
      <c r="AN11" s="1">
        <v>2017463</v>
      </c>
      <c r="AO11" s="1"/>
      <c r="AP11" s="12" t="s">
        <v>142</v>
      </c>
      <c r="AQ11" s="13">
        <v>-25</v>
      </c>
      <c r="AR11" s="1" t="s">
        <v>53</v>
      </c>
      <c r="AS11" s="1" t="s">
        <v>54</v>
      </c>
      <c r="AV11" s="65"/>
    </row>
    <row r="12" spans="1:49 16384:16384" s="56" customFormat="1" x14ac:dyDescent="0.35">
      <c r="A12" s="39">
        <v>46133</v>
      </c>
      <c r="B12" s="40" t="s">
        <v>272</v>
      </c>
      <c r="C12" s="40" t="s">
        <v>63</v>
      </c>
      <c r="D12" s="40">
        <v>14906688</v>
      </c>
      <c r="E12" s="40" t="s">
        <v>289</v>
      </c>
      <c r="F12" s="40">
        <v>1</v>
      </c>
      <c r="G12" s="40" t="s">
        <v>43</v>
      </c>
      <c r="H12" s="40" t="s">
        <v>92</v>
      </c>
      <c r="I12" s="40" t="s">
        <v>45</v>
      </c>
      <c r="J12" s="40" t="s">
        <v>45</v>
      </c>
      <c r="K12" s="40"/>
      <c r="L12" s="40" t="s">
        <v>504</v>
      </c>
      <c r="M12" s="40">
        <v>243</v>
      </c>
      <c r="N12" s="40" t="s">
        <v>56</v>
      </c>
      <c r="O12" s="40"/>
      <c r="P12" s="40"/>
      <c r="Q12" s="40"/>
      <c r="R12" s="40"/>
      <c r="S12" s="40"/>
      <c r="T12" s="40" t="s">
        <v>290</v>
      </c>
      <c r="U12" s="40" t="s">
        <v>265</v>
      </c>
      <c r="V12" s="40" t="s">
        <v>135</v>
      </c>
      <c r="W12" s="40" t="s">
        <v>266</v>
      </c>
      <c r="X12" s="40" t="s">
        <v>49</v>
      </c>
      <c r="Y12" s="40">
        <v>0</v>
      </c>
      <c r="Z12" s="40" t="s">
        <v>50</v>
      </c>
      <c r="AA12" s="40" t="s">
        <v>94</v>
      </c>
      <c r="AB12" s="40" t="s">
        <v>51</v>
      </c>
      <c r="AC12" s="40"/>
      <c r="AD12" s="40" t="s">
        <v>52</v>
      </c>
      <c r="AE12" s="40"/>
      <c r="AF12" s="40">
        <v>46133</v>
      </c>
      <c r="AG12" s="40">
        <v>46133</v>
      </c>
      <c r="AH12" s="40">
        <v>46133</v>
      </c>
      <c r="AI12" s="40">
        <v>0</v>
      </c>
      <c r="AJ12" s="40">
        <v>1105</v>
      </c>
      <c r="AK12" s="40" t="s">
        <v>46</v>
      </c>
      <c r="AL12" s="40">
        <v>1105</v>
      </c>
      <c r="AM12" s="40"/>
      <c r="AN12" s="40"/>
      <c r="AO12" s="40"/>
      <c r="AP12" s="41" t="s">
        <v>292</v>
      </c>
      <c r="AQ12" s="42">
        <v>-4</v>
      </c>
      <c r="AR12" s="40" t="s">
        <v>53</v>
      </c>
      <c r="AS12" s="40" t="s">
        <v>54</v>
      </c>
      <c r="AT12" s="63">
        <v>4500903709</v>
      </c>
      <c r="AU12" s="55"/>
      <c r="AV12" s="55"/>
      <c r="AW12" s="55"/>
    </row>
    <row r="13" spans="1:49 16384:16384" s="56" customFormat="1" x14ac:dyDescent="0.35">
      <c r="A13" s="39">
        <v>46133</v>
      </c>
      <c r="B13" s="40" t="s">
        <v>272</v>
      </c>
      <c r="C13" s="40" t="s">
        <v>105</v>
      </c>
      <c r="D13" s="40">
        <v>14101769</v>
      </c>
      <c r="E13" s="40" t="s">
        <v>273</v>
      </c>
      <c r="F13" s="40">
        <v>1</v>
      </c>
      <c r="G13" s="40" t="s">
        <v>43</v>
      </c>
      <c r="H13" s="40" t="s">
        <v>264</v>
      </c>
      <c r="I13" s="40" t="s">
        <v>45</v>
      </c>
      <c r="J13" s="40" t="s">
        <v>45</v>
      </c>
      <c r="K13" s="40"/>
      <c r="L13" s="40" t="s">
        <v>504</v>
      </c>
      <c r="M13" s="40">
        <v>260.93</v>
      </c>
      <c r="N13" s="40" t="s">
        <v>56</v>
      </c>
      <c r="O13" s="40"/>
      <c r="P13" s="40"/>
      <c r="Q13" s="40"/>
      <c r="R13" s="40"/>
      <c r="S13" s="40"/>
      <c r="T13" s="40" t="s">
        <v>274</v>
      </c>
      <c r="U13" s="40" t="s">
        <v>265</v>
      </c>
      <c r="V13" s="40" t="s">
        <v>135</v>
      </c>
      <c r="W13" s="40" t="s">
        <v>266</v>
      </c>
      <c r="X13" s="40" t="s">
        <v>267</v>
      </c>
      <c r="Y13" s="40">
        <v>0</v>
      </c>
      <c r="Z13" s="40" t="s">
        <v>50</v>
      </c>
      <c r="AA13" s="40"/>
      <c r="AB13" s="40" t="s">
        <v>51</v>
      </c>
      <c r="AC13" s="40"/>
      <c r="AD13" s="40" t="s">
        <v>52</v>
      </c>
      <c r="AE13" s="40"/>
      <c r="AF13" s="40">
        <v>46133</v>
      </c>
      <c r="AG13" s="40">
        <v>46133</v>
      </c>
      <c r="AH13" s="40">
        <v>46133</v>
      </c>
      <c r="AI13" s="40">
        <v>0</v>
      </c>
      <c r="AJ13" s="40">
        <v>1000</v>
      </c>
      <c r="AK13" s="40" t="s">
        <v>46</v>
      </c>
      <c r="AL13" s="40">
        <v>1000</v>
      </c>
      <c r="AM13" s="40"/>
      <c r="AN13" s="40"/>
      <c r="AO13" s="40"/>
      <c r="AP13" s="41" t="s">
        <v>275</v>
      </c>
      <c r="AQ13" s="42">
        <v>-4</v>
      </c>
      <c r="AR13" s="40" t="s">
        <v>53</v>
      </c>
      <c r="AS13" s="40" t="s">
        <v>54</v>
      </c>
      <c r="AT13" s="63">
        <v>4500903713</v>
      </c>
      <c r="AU13" s="55"/>
      <c r="AV13" s="55"/>
      <c r="AW13" s="55"/>
    </row>
    <row r="14" spans="1:49 16384:16384" s="56" customFormat="1" x14ac:dyDescent="0.35">
      <c r="A14" s="39">
        <v>46133</v>
      </c>
      <c r="B14" s="40" t="s">
        <v>272</v>
      </c>
      <c r="C14" s="40" t="s">
        <v>279</v>
      </c>
      <c r="D14" s="40">
        <v>14101589</v>
      </c>
      <c r="E14" s="40" t="s">
        <v>280</v>
      </c>
      <c r="F14" s="40">
        <v>1</v>
      </c>
      <c r="G14" s="40" t="s">
        <v>43</v>
      </c>
      <c r="H14" s="40" t="s">
        <v>264</v>
      </c>
      <c r="I14" s="40" t="s">
        <v>45</v>
      </c>
      <c r="J14" s="40" t="s">
        <v>45</v>
      </c>
      <c r="K14" s="39">
        <v>46121</v>
      </c>
      <c r="L14" s="40" t="s">
        <v>504</v>
      </c>
      <c r="M14" s="40">
        <v>41.6</v>
      </c>
      <c r="N14" s="40" t="s">
        <v>56</v>
      </c>
      <c r="O14" s="40">
        <v>1</v>
      </c>
      <c r="P14" s="40" t="s">
        <v>43</v>
      </c>
      <c r="Q14" s="40">
        <v>1207</v>
      </c>
      <c r="R14" s="40">
        <v>1</v>
      </c>
      <c r="S14" s="40">
        <v>4500899518</v>
      </c>
      <c r="T14" s="40" t="s">
        <v>274</v>
      </c>
      <c r="U14" s="40" t="s">
        <v>265</v>
      </c>
      <c r="V14" s="40" t="s">
        <v>135</v>
      </c>
      <c r="W14" s="40" t="s">
        <v>266</v>
      </c>
      <c r="X14" s="40" t="s">
        <v>267</v>
      </c>
      <c r="Y14" s="40">
        <v>0</v>
      </c>
      <c r="Z14" s="40" t="s">
        <v>50</v>
      </c>
      <c r="AA14" s="40"/>
      <c r="AB14" s="40" t="s">
        <v>51</v>
      </c>
      <c r="AC14" s="40"/>
      <c r="AD14" s="40" t="s">
        <v>52</v>
      </c>
      <c r="AE14" s="40"/>
      <c r="AF14" s="40">
        <v>46133</v>
      </c>
      <c r="AG14" s="40">
        <v>46133</v>
      </c>
      <c r="AH14" s="40">
        <v>46133</v>
      </c>
      <c r="AI14" s="40">
        <v>0</v>
      </c>
      <c r="AJ14" s="40">
        <v>105.93</v>
      </c>
      <c r="AK14" s="40" t="s">
        <v>46</v>
      </c>
      <c r="AL14" s="40">
        <v>105.93</v>
      </c>
      <c r="AM14" s="40"/>
      <c r="AN14" s="40"/>
      <c r="AO14" s="40"/>
      <c r="AP14" s="41" t="s">
        <v>281</v>
      </c>
      <c r="AQ14" s="42">
        <v>-4</v>
      </c>
      <c r="AR14" s="40" t="s">
        <v>53</v>
      </c>
      <c r="AS14" s="40" t="s">
        <v>54</v>
      </c>
      <c r="AT14" s="63">
        <v>4500903713</v>
      </c>
      <c r="AU14" s="55"/>
      <c r="AV14" s="55"/>
      <c r="AW14" s="55"/>
    </row>
    <row r="15" spans="1:49 16384:16384" x14ac:dyDescent="0.35">
      <c r="A15" s="39">
        <v>46133</v>
      </c>
      <c r="B15" s="40" t="s">
        <v>262</v>
      </c>
      <c r="C15" s="40" t="s">
        <v>42</v>
      </c>
      <c r="D15" s="40">
        <v>14905873</v>
      </c>
      <c r="E15" s="40" t="s">
        <v>263</v>
      </c>
      <c r="F15" s="40">
        <v>3</v>
      </c>
      <c r="G15" s="40" t="s">
        <v>43</v>
      </c>
      <c r="H15" s="40" t="s">
        <v>264</v>
      </c>
      <c r="I15" s="40" t="s">
        <v>45</v>
      </c>
      <c r="J15" s="40" t="s">
        <v>45</v>
      </c>
      <c r="K15" s="40"/>
      <c r="L15" s="40" t="s">
        <v>505</v>
      </c>
      <c r="M15" s="40">
        <v>450.53</v>
      </c>
      <c r="N15" s="40" t="s">
        <v>56</v>
      </c>
      <c r="O15" s="40"/>
      <c r="P15" s="40"/>
      <c r="Q15" s="40"/>
      <c r="R15" s="40"/>
      <c r="S15" s="40"/>
      <c r="T15" s="40" t="s">
        <v>139</v>
      </c>
      <c r="U15" s="40" t="s">
        <v>265</v>
      </c>
      <c r="V15" s="40" t="s">
        <v>135</v>
      </c>
      <c r="W15" s="40" t="s">
        <v>266</v>
      </c>
      <c r="X15" s="40" t="s">
        <v>267</v>
      </c>
      <c r="Y15" s="40">
        <v>0</v>
      </c>
      <c r="Z15" s="40" t="s">
        <v>50</v>
      </c>
      <c r="AA15" s="40"/>
      <c r="AB15" s="40" t="s">
        <v>51</v>
      </c>
      <c r="AC15" s="40"/>
      <c r="AD15" s="40" t="s">
        <v>52</v>
      </c>
      <c r="AE15" s="40"/>
      <c r="AF15" s="40">
        <v>46133</v>
      </c>
      <c r="AG15" s="40">
        <v>46133</v>
      </c>
      <c r="AH15" s="40">
        <v>46133</v>
      </c>
      <c r="AI15" s="40">
        <v>0</v>
      </c>
      <c r="AJ15" s="40">
        <v>3188.16</v>
      </c>
      <c r="AK15" s="40" t="s">
        <v>46</v>
      </c>
      <c r="AL15" s="40">
        <v>9564.48</v>
      </c>
      <c r="AM15" s="40"/>
      <c r="AN15" s="40"/>
      <c r="AO15" s="40"/>
      <c r="AP15" s="41" t="s">
        <v>268</v>
      </c>
      <c r="AQ15" s="42">
        <v>-4</v>
      </c>
      <c r="AR15" s="40" t="s">
        <v>53</v>
      </c>
      <c r="AS15" s="40" t="s">
        <v>54</v>
      </c>
      <c r="AT15" s="28">
        <v>4500903710</v>
      </c>
    </row>
    <row r="16" spans="1:49 16384:16384" s="56" customFormat="1" x14ac:dyDescent="0.35">
      <c r="A16" s="39">
        <v>46133</v>
      </c>
      <c r="B16" s="40" t="s">
        <v>272</v>
      </c>
      <c r="C16" s="40" t="s">
        <v>79</v>
      </c>
      <c r="D16" s="40">
        <v>14906304</v>
      </c>
      <c r="E16" s="40" t="s">
        <v>282</v>
      </c>
      <c r="F16" s="40">
        <v>10</v>
      </c>
      <c r="G16" s="40" t="s">
        <v>43</v>
      </c>
      <c r="H16" s="40" t="s">
        <v>264</v>
      </c>
      <c r="I16" s="40" t="s">
        <v>45</v>
      </c>
      <c r="J16" s="40" t="s">
        <v>45</v>
      </c>
      <c r="K16" s="40"/>
      <c r="L16" s="40" t="s">
        <v>504</v>
      </c>
      <c r="M16" s="40">
        <v>81</v>
      </c>
      <c r="N16" s="40" t="s">
        <v>56</v>
      </c>
      <c r="O16" s="40"/>
      <c r="P16" s="40"/>
      <c r="Q16" s="40"/>
      <c r="R16" s="40"/>
      <c r="S16" s="40"/>
      <c r="T16" s="40" t="s">
        <v>139</v>
      </c>
      <c r="U16" s="40" t="s">
        <v>265</v>
      </c>
      <c r="V16" s="40" t="s">
        <v>135</v>
      </c>
      <c r="W16" s="40" t="s">
        <v>266</v>
      </c>
      <c r="X16" s="40" t="s">
        <v>267</v>
      </c>
      <c r="Y16" s="40">
        <v>0</v>
      </c>
      <c r="Z16" s="40" t="s">
        <v>50</v>
      </c>
      <c r="AA16" s="40"/>
      <c r="AB16" s="40" t="s">
        <v>51</v>
      </c>
      <c r="AC16" s="40"/>
      <c r="AD16" s="40" t="s">
        <v>52</v>
      </c>
      <c r="AE16" s="40"/>
      <c r="AF16" s="40">
        <v>46133</v>
      </c>
      <c r="AG16" s="40">
        <v>46133</v>
      </c>
      <c r="AH16" s="40">
        <v>46133</v>
      </c>
      <c r="AI16" s="40">
        <v>0</v>
      </c>
      <c r="AJ16" s="40">
        <v>338.06</v>
      </c>
      <c r="AK16" s="40" t="s">
        <v>46</v>
      </c>
      <c r="AL16" s="40">
        <v>3380.6</v>
      </c>
      <c r="AM16" s="40"/>
      <c r="AN16" s="40"/>
      <c r="AO16" s="40"/>
      <c r="AP16" s="41" t="s">
        <v>283</v>
      </c>
      <c r="AQ16" s="42">
        <v>-4</v>
      </c>
      <c r="AR16" s="40" t="s">
        <v>53</v>
      </c>
      <c r="AS16" s="40" t="s">
        <v>54</v>
      </c>
      <c r="AT16" s="63">
        <v>4500903713</v>
      </c>
      <c r="AU16" s="55"/>
      <c r="AV16" s="55"/>
      <c r="AW16" s="55"/>
    </row>
    <row r="17" spans="1:49" s="56" customFormat="1" x14ac:dyDescent="0.35">
      <c r="A17" s="39">
        <v>46133</v>
      </c>
      <c r="B17" s="40" t="s">
        <v>272</v>
      </c>
      <c r="C17" s="40" t="s">
        <v>252</v>
      </c>
      <c r="D17" s="40">
        <v>14101771</v>
      </c>
      <c r="E17" s="40" t="s">
        <v>284</v>
      </c>
      <c r="F17" s="40">
        <v>5</v>
      </c>
      <c r="G17" s="40" t="s">
        <v>43</v>
      </c>
      <c r="H17" s="40" t="s">
        <v>264</v>
      </c>
      <c r="I17" s="40" t="s">
        <v>45</v>
      </c>
      <c r="J17" s="40" t="s">
        <v>45</v>
      </c>
      <c r="K17" s="40"/>
      <c r="L17" s="40" t="s">
        <v>504</v>
      </c>
      <c r="M17" s="40">
        <v>241.92</v>
      </c>
      <c r="N17" s="40" t="s">
        <v>56</v>
      </c>
      <c r="O17" s="40"/>
      <c r="P17" s="40"/>
      <c r="Q17" s="40"/>
      <c r="R17" s="40"/>
      <c r="S17" s="40"/>
      <c r="T17" s="40" t="s">
        <v>139</v>
      </c>
      <c r="U17" s="40" t="s">
        <v>265</v>
      </c>
      <c r="V17" s="40" t="s">
        <v>135</v>
      </c>
      <c r="W17" s="40" t="s">
        <v>266</v>
      </c>
      <c r="X17" s="40" t="s">
        <v>267</v>
      </c>
      <c r="Y17" s="40">
        <v>0</v>
      </c>
      <c r="Z17" s="40" t="s">
        <v>50</v>
      </c>
      <c r="AA17" s="40"/>
      <c r="AB17" s="40" t="s">
        <v>51</v>
      </c>
      <c r="AC17" s="40"/>
      <c r="AD17" s="40" t="s">
        <v>52</v>
      </c>
      <c r="AE17" s="40"/>
      <c r="AF17" s="40">
        <v>46133</v>
      </c>
      <c r="AG17" s="40">
        <v>46133</v>
      </c>
      <c r="AH17" s="40">
        <v>46133</v>
      </c>
      <c r="AI17" s="40">
        <v>0</v>
      </c>
      <c r="AJ17" s="40">
        <v>690</v>
      </c>
      <c r="AK17" s="40" t="s">
        <v>46</v>
      </c>
      <c r="AL17" s="40">
        <v>3450</v>
      </c>
      <c r="AM17" s="40"/>
      <c r="AN17" s="40"/>
      <c r="AO17" s="40"/>
      <c r="AP17" s="41" t="s">
        <v>285</v>
      </c>
      <c r="AQ17" s="42">
        <v>-4</v>
      </c>
      <c r="AR17" s="40" t="s">
        <v>53</v>
      </c>
      <c r="AS17" s="40" t="s">
        <v>54</v>
      </c>
      <c r="AT17" s="63">
        <v>4500903713</v>
      </c>
      <c r="AU17" s="55"/>
      <c r="AV17" s="55"/>
      <c r="AW17" s="55"/>
    </row>
    <row r="18" spans="1:49" s="56" customFormat="1" x14ac:dyDescent="0.35">
      <c r="A18" s="39">
        <v>46133</v>
      </c>
      <c r="B18" s="40" t="s">
        <v>272</v>
      </c>
      <c r="C18" s="40" t="s">
        <v>286</v>
      </c>
      <c r="D18" s="40">
        <v>14905308</v>
      </c>
      <c r="E18" s="40" t="s">
        <v>287</v>
      </c>
      <c r="F18" s="40">
        <v>2</v>
      </c>
      <c r="G18" s="40" t="s">
        <v>43</v>
      </c>
      <c r="H18" s="40" t="s">
        <v>264</v>
      </c>
      <c r="I18" s="40" t="s">
        <v>45</v>
      </c>
      <c r="J18" s="40" t="s">
        <v>45</v>
      </c>
      <c r="K18" s="40"/>
      <c r="L18" s="40" t="s">
        <v>504</v>
      </c>
      <c r="M18" s="54">
        <v>1266.1199999999999</v>
      </c>
      <c r="N18" s="40" t="s">
        <v>56</v>
      </c>
      <c r="O18" s="40"/>
      <c r="P18" s="40"/>
      <c r="Q18" s="40"/>
      <c r="R18" s="40"/>
      <c r="S18" s="40"/>
      <c r="T18" s="40" t="s">
        <v>139</v>
      </c>
      <c r="U18" s="40" t="s">
        <v>265</v>
      </c>
      <c r="V18" s="40" t="s">
        <v>135</v>
      </c>
      <c r="W18" s="40" t="s">
        <v>266</v>
      </c>
      <c r="X18" s="40" t="s">
        <v>267</v>
      </c>
      <c r="Y18" s="40">
        <v>0</v>
      </c>
      <c r="Z18" s="40" t="s">
        <v>50</v>
      </c>
      <c r="AA18" s="40"/>
      <c r="AB18" s="40" t="s">
        <v>51</v>
      </c>
      <c r="AC18" s="40"/>
      <c r="AD18" s="40" t="s">
        <v>52</v>
      </c>
      <c r="AE18" s="40"/>
      <c r="AF18" s="40">
        <v>46133</v>
      </c>
      <c r="AG18" s="40">
        <v>46133</v>
      </c>
      <c r="AH18" s="40">
        <v>46133</v>
      </c>
      <c r="AI18" s="40">
        <v>0</v>
      </c>
      <c r="AJ18" s="40">
        <v>2965.6</v>
      </c>
      <c r="AK18" s="40" t="s">
        <v>46</v>
      </c>
      <c r="AL18" s="40">
        <v>5931.2</v>
      </c>
      <c r="AM18" s="40"/>
      <c r="AN18" s="40"/>
      <c r="AO18" s="40"/>
      <c r="AP18" s="41" t="s">
        <v>288</v>
      </c>
      <c r="AQ18" s="42">
        <v>-4</v>
      </c>
      <c r="AR18" s="40" t="s">
        <v>53</v>
      </c>
      <c r="AS18" s="40" t="s">
        <v>54</v>
      </c>
      <c r="AT18" s="63">
        <v>4500903713</v>
      </c>
      <c r="AU18" s="55"/>
      <c r="AV18" s="55"/>
      <c r="AW18" s="55"/>
    </row>
    <row r="19" spans="1:49" s="56" customFormat="1" x14ac:dyDescent="0.35">
      <c r="A19" s="39">
        <v>46136</v>
      </c>
      <c r="B19" s="40" t="s">
        <v>370</v>
      </c>
      <c r="C19" s="40" t="s">
        <v>64</v>
      </c>
      <c r="D19" s="40">
        <v>14075090</v>
      </c>
      <c r="E19" s="40" t="s">
        <v>379</v>
      </c>
      <c r="F19" s="40">
        <v>50</v>
      </c>
      <c r="G19" s="40" t="s">
        <v>43</v>
      </c>
      <c r="H19" s="40" t="s">
        <v>71</v>
      </c>
      <c r="I19" s="40" t="s">
        <v>45</v>
      </c>
      <c r="J19" s="40" t="s">
        <v>45</v>
      </c>
      <c r="K19" s="39">
        <v>46058</v>
      </c>
      <c r="L19" s="40" t="s">
        <v>80</v>
      </c>
      <c r="M19" s="40">
        <v>0.08</v>
      </c>
      <c r="N19" s="40" t="s">
        <v>56</v>
      </c>
      <c r="O19" s="40">
        <v>1</v>
      </c>
      <c r="P19" s="40" t="s">
        <v>43</v>
      </c>
      <c r="Q19" s="40">
        <v>1102</v>
      </c>
      <c r="R19" s="40">
        <v>200</v>
      </c>
      <c r="S19" s="40">
        <v>4500889647</v>
      </c>
      <c r="T19" s="40" t="s">
        <v>380</v>
      </c>
      <c r="U19" s="40" t="s">
        <v>69</v>
      </c>
      <c r="V19" s="40" t="s">
        <v>70</v>
      </c>
      <c r="W19" s="40" t="s">
        <v>73</v>
      </c>
      <c r="X19" s="40" t="s">
        <v>59</v>
      </c>
      <c r="Y19" s="40">
        <v>0</v>
      </c>
      <c r="Z19" s="40" t="s">
        <v>50</v>
      </c>
      <c r="AA19" s="40" t="s">
        <v>74</v>
      </c>
      <c r="AB19" s="40" t="s">
        <v>61</v>
      </c>
      <c r="AC19" s="40"/>
      <c r="AD19" s="40" t="s">
        <v>52</v>
      </c>
      <c r="AE19" s="40"/>
      <c r="AF19" s="40">
        <v>46136</v>
      </c>
      <c r="AG19" s="40">
        <v>46136</v>
      </c>
      <c r="AH19" s="40">
        <v>46137</v>
      </c>
      <c r="AI19" s="40">
        <v>0</v>
      </c>
      <c r="AJ19" s="40">
        <v>0.27</v>
      </c>
      <c r="AK19" s="40" t="s">
        <v>46</v>
      </c>
      <c r="AL19" s="40">
        <v>13.5</v>
      </c>
      <c r="AM19" s="40" t="s">
        <v>381</v>
      </c>
      <c r="AN19" s="40">
        <v>4215984</v>
      </c>
      <c r="AO19" s="40"/>
      <c r="AP19" s="41" t="s">
        <v>382</v>
      </c>
      <c r="AQ19" s="42">
        <v>-1</v>
      </c>
      <c r="AR19" s="40" t="s">
        <v>53</v>
      </c>
      <c r="AS19" s="40" t="s">
        <v>54</v>
      </c>
      <c r="AT19" s="63"/>
      <c r="AU19" s="55"/>
      <c r="AV19" s="55"/>
      <c r="AW19" s="55"/>
    </row>
    <row r="20" spans="1:49" s="56" customFormat="1" x14ac:dyDescent="0.35">
      <c r="A20" s="39">
        <v>46136</v>
      </c>
      <c r="B20" s="40" t="s">
        <v>370</v>
      </c>
      <c r="C20" s="40" t="s">
        <v>276</v>
      </c>
      <c r="D20" s="40">
        <v>14087675</v>
      </c>
      <c r="E20" s="40" t="s">
        <v>383</v>
      </c>
      <c r="F20" s="40">
        <v>50</v>
      </c>
      <c r="G20" s="40" t="s">
        <v>43</v>
      </c>
      <c r="H20" s="40" t="s">
        <v>71</v>
      </c>
      <c r="I20" s="40" t="s">
        <v>45</v>
      </c>
      <c r="J20" s="40" t="s">
        <v>45</v>
      </c>
      <c r="K20" s="40"/>
      <c r="L20" s="40" t="s">
        <v>80</v>
      </c>
      <c r="M20" s="40">
        <v>0.01</v>
      </c>
      <c r="N20" s="40" t="s">
        <v>56</v>
      </c>
      <c r="O20" s="40"/>
      <c r="P20" s="40"/>
      <c r="Q20" s="40"/>
      <c r="R20" s="40"/>
      <c r="S20" s="40"/>
      <c r="T20" s="40" t="s">
        <v>380</v>
      </c>
      <c r="U20" s="40" t="s">
        <v>69</v>
      </c>
      <c r="V20" s="40" t="s">
        <v>70</v>
      </c>
      <c r="W20" s="40" t="s">
        <v>73</v>
      </c>
      <c r="X20" s="40" t="s">
        <v>59</v>
      </c>
      <c r="Y20" s="40">
        <v>0</v>
      </c>
      <c r="Z20" s="40" t="s">
        <v>50</v>
      </c>
      <c r="AA20" s="40" t="s">
        <v>74</v>
      </c>
      <c r="AB20" s="40" t="s">
        <v>61</v>
      </c>
      <c r="AC20" s="40"/>
      <c r="AD20" s="40" t="s">
        <v>52</v>
      </c>
      <c r="AE20" s="40"/>
      <c r="AF20" s="40">
        <v>46136</v>
      </c>
      <c r="AG20" s="40">
        <v>46136</v>
      </c>
      <c r="AH20" s="40">
        <v>46137</v>
      </c>
      <c r="AI20" s="40">
        <v>0</v>
      </c>
      <c r="AJ20" s="40">
        <v>0.38</v>
      </c>
      <c r="AK20" s="40" t="s">
        <v>46</v>
      </c>
      <c r="AL20" s="40">
        <v>19</v>
      </c>
      <c r="AM20" s="40" t="s">
        <v>384</v>
      </c>
      <c r="AN20" s="40">
        <v>4215984</v>
      </c>
      <c r="AO20" s="40"/>
      <c r="AP20" s="41" t="s">
        <v>385</v>
      </c>
      <c r="AQ20" s="42">
        <v>-1</v>
      </c>
      <c r="AR20" s="40" t="s">
        <v>53</v>
      </c>
      <c r="AS20" s="40" t="s">
        <v>54</v>
      </c>
      <c r="AT20" s="63"/>
      <c r="AU20" s="55"/>
      <c r="AV20" s="55"/>
      <c r="AW20" s="55"/>
    </row>
    <row r="21" spans="1:49" x14ac:dyDescent="0.35">
      <c r="A21" s="11">
        <v>46137</v>
      </c>
      <c r="B21" s="1" t="s">
        <v>374</v>
      </c>
      <c r="C21" s="1" t="s">
        <v>64</v>
      </c>
      <c r="D21" s="1">
        <v>14040824</v>
      </c>
      <c r="E21" s="1" t="s">
        <v>375</v>
      </c>
      <c r="F21" s="1">
        <v>5</v>
      </c>
      <c r="G21" s="1" t="s">
        <v>43</v>
      </c>
      <c r="H21" s="1" t="s">
        <v>71</v>
      </c>
      <c r="I21" s="1" t="s">
        <v>45</v>
      </c>
      <c r="J21" s="1" t="s">
        <v>45</v>
      </c>
      <c r="K21" s="11">
        <v>46048</v>
      </c>
      <c r="L21" s="1" t="s">
        <v>80</v>
      </c>
      <c r="M21" s="1">
        <v>440.65</v>
      </c>
      <c r="N21" s="1" t="s">
        <v>56</v>
      </c>
      <c r="O21" s="1">
        <v>1</v>
      </c>
      <c r="P21" s="1" t="s">
        <v>43</v>
      </c>
      <c r="Q21" s="1">
        <v>1102</v>
      </c>
      <c r="R21" s="1">
        <v>4</v>
      </c>
      <c r="S21" s="1">
        <v>4500887670</v>
      </c>
      <c r="T21" s="1" t="s">
        <v>376</v>
      </c>
      <c r="U21" s="1" t="s">
        <v>361</v>
      </c>
      <c r="V21" s="1" t="s">
        <v>70</v>
      </c>
      <c r="W21" s="1" t="s">
        <v>73</v>
      </c>
      <c r="X21" s="1" t="s">
        <v>59</v>
      </c>
      <c r="Y21" s="1">
        <v>0</v>
      </c>
      <c r="Z21" s="1" t="s">
        <v>50</v>
      </c>
      <c r="AA21" s="1" t="s">
        <v>74</v>
      </c>
      <c r="AB21" s="1" t="s">
        <v>61</v>
      </c>
      <c r="AC21" s="1"/>
      <c r="AD21" s="1" t="s">
        <v>52</v>
      </c>
      <c r="AE21" s="1"/>
      <c r="AF21" s="1">
        <v>46137</v>
      </c>
      <c r="AG21" s="1">
        <v>46137</v>
      </c>
      <c r="AH21" s="1">
        <v>46138</v>
      </c>
      <c r="AI21" s="1">
        <v>0</v>
      </c>
      <c r="AJ21" s="1">
        <v>1473.98</v>
      </c>
      <c r="AK21" s="1" t="s">
        <v>46</v>
      </c>
      <c r="AL21" s="1">
        <v>7369.9</v>
      </c>
      <c r="AM21" s="1" t="s">
        <v>377</v>
      </c>
      <c r="AN21" s="1">
        <v>4212177</v>
      </c>
      <c r="AO21" s="1"/>
      <c r="AP21" s="12" t="s">
        <v>378</v>
      </c>
      <c r="AQ21" s="13">
        <v>0</v>
      </c>
      <c r="AR21" s="1" t="s">
        <v>62</v>
      </c>
      <c r="AS21" s="1" t="s">
        <v>54</v>
      </c>
      <c r="AV21" s="65"/>
    </row>
    <row r="22" spans="1:49" s="56" customFormat="1" x14ac:dyDescent="0.35">
      <c r="A22" s="39">
        <v>46137</v>
      </c>
      <c r="B22" s="40" t="s">
        <v>371</v>
      </c>
      <c r="C22" s="40" t="s">
        <v>81</v>
      </c>
      <c r="D22" s="40">
        <v>14078545</v>
      </c>
      <c r="E22" s="40" t="s">
        <v>372</v>
      </c>
      <c r="F22" s="40">
        <v>6</v>
      </c>
      <c r="G22" s="40" t="s">
        <v>43</v>
      </c>
      <c r="H22" s="40" t="s">
        <v>44</v>
      </c>
      <c r="I22" s="40" t="s">
        <v>45</v>
      </c>
      <c r="J22" s="40" t="s">
        <v>45</v>
      </c>
      <c r="K22" s="39">
        <v>46132</v>
      </c>
      <c r="L22" s="40" t="s">
        <v>80</v>
      </c>
      <c r="M22" s="40">
        <v>2.15</v>
      </c>
      <c r="N22" s="40" t="s">
        <v>56</v>
      </c>
      <c r="O22" s="40">
        <v>1</v>
      </c>
      <c r="P22" s="40" t="s">
        <v>43</v>
      </c>
      <c r="Q22" s="40">
        <v>1207</v>
      </c>
      <c r="R22" s="40">
        <v>6</v>
      </c>
      <c r="S22" s="40">
        <v>4500902060</v>
      </c>
      <c r="T22" s="40" t="s">
        <v>145</v>
      </c>
      <c r="U22" s="40" t="s">
        <v>84</v>
      </c>
      <c r="V22" s="40" t="s">
        <v>47</v>
      </c>
      <c r="W22" s="40" t="s">
        <v>84</v>
      </c>
      <c r="X22" s="40" t="s">
        <v>49</v>
      </c>
      <c r="Y22" s="40">
        <v>0</v>
      </c>
      <c r="Z22" s="40" t="s">
        <v>50</v>
      </c>
      <c r="AA22" s="40" t="s">
        <v>96</v>
      </c>
      <c r="AB22" s="40" t="s">
        <v>83</v>
      </c>
      <c r="AC22" s="40"/>
      <c r="AD22" s="40" t="s">
        <v>52</v>
      </c>
      <c r="AE22" s="40"/>
      <c r="AF22" s="40">
        <v>46137</v>
      </c>
      <c r="AG22" s="40">
        <v>46137</v>
      </c>
      <c r="AH22" s="40">
        <v>46166</v>
      </c>
      <c r="AI22" s="40">
        <v>29</v>
      </c>
      <c r="AJ22" s="40">
        <v>7.71</v>
      </c>
      <c r="AK22" s="40" t="s">
        <v>46</v>
      </c>
      <c r="AL22" s="40">
        <v>46.26</v>
      </c>
      <c r="AM22" s="40"/>
      <c r="AN22" s="40"/>
      <c r="AO22" s="40"/>
      <c r="AP22" s="41" t="s">
        <v>373</v>
      </c>
      <c r="AQ22" s="42">
        <v>0</v>
      </c>
      <c r="AR22" s="40" t="s">
        <v>62</v>
      </c>
      <c r="AS22" s="40" t="s">
        <v>54</v>
      </c>
      <c r="AT22" s="63"/>
      <c r="AU22" s="55"/>
      <c r="AV22" s="55"/>
      <c r="AW22" s="55"/>
    </row>
    <row r="23" spans="1:49" x14ac:dyDescent="0.35">
      <c r="A23" s="11">
        <v>46136</v>
      </c>
      <c r="B23" s="1" t="s">
        <v>331</v>
      </c>
      <c r="C23" s="1" t="s">
        <v>81</v>
      </c>
      <c r="D23" s="1">
        <v>14076687</v>
      </c>
      <c r="E23" s="1" t="s">
        <v>332</v>
      </c>
      <c r="F23" s="1">
        <v>3</v>
      </c>
      <c r="G23" s="1" t="s">
        <v>43</v>
      </c>
      <c r="H23" s="1" t="s">
        <v>44</v>
      </c>
      <c r="I23" s="1" t="s">
        <v>45</v>
      </c>
      <c r="J23" s="1" t="s">
        <v>45</v>
      </c>
      <c r="K23" s="11">
        <v>46066</v>
      </c>
      <c r="L23" s="1" t="s">
        <v>82</v>
      </c>
      <c r="M23" s="1">
        <v>12.27</v>
      </c>
      <c r="N23" s="1" t="s">
        <v>56</v>
      </c>
      <c r="O23" s="1">
        <v>1</v>
      </c>
      <c r="P23" s="1" t="s">
        <v>43</v>
      </c>
      <c r="Q23" s="1">
        <v>1207</v>
      </c>
      <c r="R23" s="1">
        <v>2</v>
      </c>
      <c r="S23" s="1">
        <v>4500890771</v>
      </c>
      <c r="T23" s="1" t="s">
        <v>143</v>
      </c>
      <c r="U23" s="1" t="s">
        <v>84</v>
      </c>
      <c r="V23" s="1" t="s">
        <v>47</v>
      </c>
      <c r="W23" s="1" t="s">
        <v>84</v>
      </c>
      <c r="X23" s="1" t="s">
        <v>49</v>
      </c>
      <c r="Y23" s="1">
        <v>0</v>
      </c>
      <c r="Z23" s="1" t="s">
        <v>131</v>
      </c>
      <c r="AA23" s="1" t="s">
        <v>96</v>
      </c>
      <c r="AB23" s="1" t="s">
        <v>83</v>
      </c>
      <c r="AC23" s="1" t="s">
        <v>453</v>
      </c>
      <c r="AD23" s="1" t="s">
        <v>276</v>
      </c>
      <c r="AE23" s="1">
        <v>46139</v>
      </c>
      <c r="AF23" s="1">
        <v>46140</v>
      </c>
      <c r="AG23" s="1">
        <v>46136</v>
      </c>
      <c r="AH23" s="1">
        <v>46169</v>
      </c>
      <c r="AI23" s="1">
        <v>29</v>
      </c>
      <c r="AJ23" s="1">
        <v>41.49</v>
      </c>
      <c r="AK23" s="1" t="s">
        <v>46</v>
      </c>
      <c r="AL23" s="1">
        <v>124.47</v>
      </c>
      <c r="AM23" s="1"/>
      <c r="AN23" s="1"/>
      <c r="AO23" s="1"/>
      <c r="AP23" s="12" t="s">
        <v>333</v>
      </c>
      <c r="AQ23" s="13">
        <v>-1</v>
      </c>
      <c r="AR23" s="1" t="s">
        <v>53</v>
      </c>
      <c r="AS23" s="1" t="s">
        <v>54</v>
      </c>
    </row>
    <row r="24" spans="1:49" s="56" customFormat="1" x14ac:dyDescent="0.35">
      <c r="A24" s="39">
        <v>46133</v>
      </c>
      <c r="B24" s="40" t="s">
        <v>272</v>
      </c>
      <c r="C24" s="40" t="s">
        <v>64</v>
      </c>
      <c r="D24" s="40">
        <v>14906688</v>
      </c>
      <c r="E24" s="40" t="s">
        <v>289</v>
      </c>
      <c r="F24" s="40">
        <v>1</v>
      </c>
      <c r="G24" s="40" t="s">
        <v>43</v>
      </c>
      <c r="H24" s="40" t="s">
        <v>75</v>
      </c>
      <c r="I24" s="40" t="s">
        <v>45</v>
      </c>
      <c r="J24" s="40" t="s">
        <v>45</v>
      </c>
      <c r="K24" s="40"/>
      <c r="L24" s="40" t="s">
        <v>504</v>
      </c>
      <c r="M24" s="40">
        <v>243</v>
      </c>
      <c r="N24" s="40" t="s">
        <v>56</v>
      </c>
      <c r="O24" s="40"/>
      <c r="P24" s="40"/>
      <c r="Q24" s="40"/>
      <c r="R24" s="40"/>
      <c r="S24" s="40"/>
      <c r="T24" s="40" t="s">
        <v>290</v>
      </c>
      <c r="U24" s="40" t="s">
        <v>265</v>
      </c>
      <c r="V24" s="40" t="s">
        <v>135</v>
      </c>
      <c r="W24" s="40" t="s">
        <v>266</v>
      </c>
      <c r="X24" s="40" t="s">
        <v>293</v>
      </c>
      <c r="Y24" s="40">
        <v>0</v>
      </c>
      <c r="Z24" s="40" t="s">
        <v>50</v>
      </c>
      <c r="AA24" s="40" t="s">
        <v>78</v>
      </c>
      <c r="AB24" s="40" t="s">
        <v>51</v>
      </c>
      <c r="AC24" s="40"/>
      <c r="AD24" s="40" t="s">
        <v>52</v>
      </c>
      <c r="AE24" s="40"/>
      <c r="AF24" s="40">
        <v>46133</v>
      </c>
      <c r="AG24" s="40">
        <v>46133</v>
      </c>
      <c r="AH24" s="40">
        <v>46133</v>
      </c>
      <c r="AI24" s="40">
        <v>0</v>
      </c>
      <c r="AJ24" s="40">
        <v>1105</v>
      </c>
      <c r="AK24" s="40" t="s">
        <v>46</v>
      </c>
      <c r="AL24" s="40">
        <v>1105</v>
      </c>
      <c r="AM24" s="40"/>
      <c r="AN24" s="40"/>
      <c r="AO24" s="40"/>
      <c r="AP24" s="41" t="s">
        <v>294</v>
      </c>
      <c r="AQ24" s="42">
        <v>-4</v>
      </c>
      <c r="AR24" s="40" t="s">
        <v>53</v>
      </c>
      <c r="AS24" s="40" t="s">
        <v>54</v>
      </c>
      <c r="AT24" s="63">
        <v>4500903709</v>
      </c>
      <c r="AU24" s="55"/>
      <c r="AV24" s="55"/>
      <c r="AW24" s="55"/>
    </row>
    <row r="25" spans="1:49" s="56" customFormat="1" x14ac:dyDescent="0.35">
      <c r="A25" s="39">
        <v>46133</v>
      </c>
      <c r="B25" s="40" t="s">
        <v>272</v>
      </c>
      <c r="C25" s="40" t="s">
        <v>251</v>
      </c>
      <c r="D25" s="40">
        <v>14906190</v>
      </c>
      <c r="E25" s="40" t="s">
        <v>295</v>
      </c>
      <c r="F25" s="40">
        <v>1</v>
      </c>
      <c r="G25" s="40" t="s">
        <v>43</v>
      </c>
      <c r="H25" s="40" t="s">
        <v>75</v>
      </c>
      <c r="I25" s="40" t="s">
        <v>45</v>
      </c>
      <c r="J25" s="40" t="s">
        <v>45</v>
      </c>
      <c r="K25" s="40"/>
      <c r="L25" s="40" t="s">
        <v>504</v>
      </c>
      <c r="M25" s="40">
        <v>654.48</v>
      </c>
      <c r="N25" s="40" t="s">
        <v>56</v>
      </c>
      <c r="O25" s="40"/>
      <c r="P25" s="40"/>
      <c r="Q25" s="40"/>
      <c r="R25" s="40"/>
      <c r="S25" s="40"/>
      <c r="T25" s="40" t="s">
        <v>296</v>
      </c>
      <c r="U25" s="40" t="s">
        <v>265</v>
      </c>
      <c r="V25" s="40" t="s">
        <v>135</v>
      </c>
      <c r="W25" s="40" t="s">
        <v>266</v>
      </c>
      <c r="X25" s="40" t="s">
        <v>293</v>
      </c>
      <c r="Y25" s="40">
        <v>0</v>
      </c>
      <c r="Z25" s="40" t="s">
        <v>50</v>
      </c>
      <c r="AA25" s="40" t="s">
        <v>78</v>
      </c>
      <c r="AB25" s="40" t="s">
        <v>51</v>
      </c>
      <c r="AC25" s="40"/>
      <c r="AD25" s="40" t="s">
        <v>52</v>
      </c>
      <c r="AE25" s="40"/>
      <c r="AF25" s="40">
        <v>46133</v>
      </c>
      <c r="AG25" s="40">
        <v>46133</v>
      </c>
      <c r="AH25" s="40">
        <v>46133</v>
      </c>
      <c r="AI25" s="40">
        <v>0</v>
      </c>
      <c r="AJ25" s="40">
        <v>1852.29</v>
      </c>
      <c r="AK25" s="40" t="s">
        <v>46</v>
      </c>
      <c r="AL25" s="40">
        <v>1852.29</v>
      </c>
      <c r="AM25" s="40"/>
      <c r="AN25" s="40"/>
      <c r="AO25" s="40"/>
      <c r="AP25" s="41" t="s">
        <v>298</v>
      </c>
      <c r="AQ25" s="42">
        <v>-4</v>
      </c>
      <c r="AR25" s="40" t="s">
        <v>53</v>
      </c>
      <c r="AS25" s="40" t="s">
        <v>54</v>
      </c>
      <c r="AT25" s="63">
        <v>4500903709</v>
      </c>
      <c r="AU25" s="55"/>
      <c r="AV25" s="55"/>
      <c r="AW25" s="55"/>
    </row>
    <row r="26" spans="1:49" x14ac:dyDescent="0.35">
      <c r="A26" s="66">
        <v>46135</v>
      </c>
      <c r="B26" s="67" t="s">
        <v>334</v>
      </c>
      <c r="C26" s="67" t="s">
        <v>42</v>
      </c>
      <c r="D26" s="67">
        <v>14073808</v>
      </c>
      <c r="E26" s="67" t="s">
        <v>335</v>
      </c>
      <c r="F26" s="67">
        <v>1</v>
      </c>
      <c r="G26" s="67" t="s">
        <v>43</v>
      </c>
      <c r="H26" s="67" t="s">
        <v>92</v>
      </c>
      <c r="I26" s="67" t="s">
        <v>45</v>
      </c>
      <c r="J26" s="67" t="s">
        <v>45</v>
      </c>
      <c r="K26" s="66">
        <v>46126</v>
      </c>
      <c r="L26" s="67" t="s">
        <v>336</v>
      </c>
      <c r="M26" s="67">
        <v>10.72</v>
      </c>
      <c r="N26" s="67" t="s">
        <v>56</v>
      </c>
      <c r="O26" s="67">
        <v>1</v>
      </c>
      <c r="P26" s="67" t="s">
        <v>43</v>
      </c>
      <c r="Q26" s="67">
        <v>1101</v>
      </c>
      <c r="R26" s="67">
        <v>10</v>
      </c>
      <c r="S26" s="67">
        <v>4500900735</v>
      </c>
      <c r="T26" s="67" t="s">
        <v>337</v>
      </c>
      <c r="U26" s="67" t="s">
        <v>338</v>
      </c>
      <c r="V26" s="67" t="s">
        <v>70</v>
      </c>
      <c r="W26" s="67" t="s">
        <v>93</v>
      </c>
      <c r="X26" s="67" t="s">
        <v>59</v>
      </c>
      <c r="Y26" s="67">
        <v>0</v>
      </c>
      <c r="Z26" s="67" t="s">
        <v>50</v>
      </c>
      <c r="AA26" s="67" t="s">
        <v>94</v>
      </c>
      <c r="AB26" s="67" t="s">
        <v>61</v>
      </c>
      <c r="AC26" s="67"/>
      <c r="AD26" s="67" t="s">
        <v>52</v>
      </c>
      <c r="AE26" s="67"/>
      <c r="AF26" s="67">
        <v>46135</v>
      </c>
      <c r="AG26" s="67">
        <v>46135</v>
      </c>
      <c r="AH26" s="67">
        <v>46136</v>
      </c>
      <c r="AI26" s="67">
        <v>29</v>
      </c>
      <c r="AJ26" s="67">
        <v>36.729999999999997</v>
      </c>
      <c r="AK26" s="67" t="s">
        <v>46</v>
      </c>
      <c r="AL26" s="67">
        <v>36.729999999999997</v>
      </c>
      <c r="AM26" s="67" t="s">
        <v>339</v>
      </c>
      <c r="AN26" s="67">
        <v>2022879</v>
      </c>
      <c r="AO26" s="67"/>
      <c r="AP26" s="68" t="s">
        <v>340</v>
      </c>
      <c r="AQ26" s="69">
        <v>-2</v>
      </c>
      <c r="AR26" s="67" t="s">
        <v>53</v>
      </c>
      <c r="AS26" s="67" t="s">
        <v>54</v>
      </c>
      <c r="AT26" s="70"/>
      <c r="AU26" s="71" t="s">
        <v>510</v>
      </c>
      <c r="AV26" s="72">
        <v>46140.687395833331</v>
      </c>
      <c r="AW26" s="71" t="s">
        <v>511</v>
      </c>
    </row>
    <row r="27" spans="1:49" x14ac:dyDescent="0.35">
      <c r="A27" s="66">
        <v>46135</v>
      </c>
      <c r="B27" s="67" t="s">
        <v>341</v>
      </c>
      <c r="C27" s="67" t="s">
        <v>42</v>
      </c>
      <c r="D27" s="67">
        <v>14073812</v>
      </c>
      <c r="E27" s="67" t="s">
        <v>342</v>
      </c>
      <c r="F27" s="67">
        <v>1</v>
      </c>
      <c r="G27" s="67" t="s">
        <v>43</v>
      </c>
      <c r="H27" s="67" t="s">
        <v>71</v>
      </c>
      <c r="I27" s="67" t="s">
        <v>45</v>
      </c>
      <c r="J27" s="67" t="s">
        <v>45</v>
      </c>
      <c r="K27" s="66">
        <v>46059</v>
      </c>
      <c r="L27" s="67" t="s">
        <v>336</v>
      </c>
      <c r="M27" s="67">
        <v>10.72</v>
      </c>
      <c r="N27" s="67" t="s">
        <v>56</v>
      </c>
      <c r="O27" s="67">
        <v>1</v>
      </c>
      <c r="P27" s="67" t="s">
        <v>43</v>
      </c>
      <c r="Q27" s="67">
        <v>1101</v>
      </c>
      <c r="R27" s="67">
        <v>3</v>
      </c>
      <c r="S27" s="67">
        <v>4500889930</v>
      </c>
      <c r="T27" s="67" t="s">
        <v>337</v>
      </c>
      <c r="U27" s="67" t="s">
        <v>260</v>
      </c>
      <c r="V27" s="67" t="s">
        <v>70</v>
      </c>
      <c r="W27" s="67" t="s">
        <v>73</v>
      </c>
      <c r="X27" s="67" t="s">
        <v>59</v>
      </c>
      <c r="Y27" s="67">
        <v>0</v>
      </c>
      <c r="Z27" s="67" t="s">
        <v>50</v>
      </c>
      <c r="AA27" s="67" t="s">
        <v>74</v>
      </c>
      <c r="AB27" s="67" t="s">
        <v>61</v>
      </c>
      <c r="AC27" s="67"/>
      <c r="AD27" s="67" t="s">
        <v>52</v>
      </c>
      <c r="AE27" s="67"/>
      <c r="AF27" s="67">
        <v>46135</v>
      </c>
      <c r="AG27" s="67">
        <v>46135</v>
      </c>
      <c r="AH27" s="67">
        <v>46136</v>
      </c>
      <c r="AI27" s="67">
        <v>29</v>
      </c>
      <c r="AJ27" s="67">
        <v>36.74</v>
      </c>
      <c r="AK27" s="67" t="s">
        <v>46</v>
      </c>
      <c r="AL27" s="67">
        <v>36.74</v>
      </c>
      <c r="AM27" s="67" t="s">
        <v>343</v>
      </c>
      <c r="AN27" s="67">
        <v>2002882</v>
      </c>
      <c r="AO27" s="67"/>
      <c r="AP27" s="68" t="s">
        <v>344</v>
      </c>
      <c r="AQ27" s="69">
        <v>-2</v>
      </c>
      <c r="AR27" s="67" t="s">
        <v>53</v>
      </c>
      <c r="AS27" s="67" t="s">
        <v>54</v>
      </c>
      <c r="AT27" s="70"/>
      <c r="AU27" s="71" t="s">
        <v>510</v>
      </c>
      <c r="AV27" s="72">
        <v>46140.687395833331</v>
      </c>
      <c r="AW27" s="71" t="s">
        <v>511</v>
      </c>
    </row>
    <row r="28" spans="1:49" ht="27" customHeight="1" x14ac:dyDescent="0.35">
      <c r="A28" s="66">
        <v>46137</v>
      </c>
      <c r="B28" s="67" t="s">
        <v>386</v>
      </c>
      <c r="C28" s="67" t="s">
        <v>42</v>
      </c>
      <c r="D28" s="67">
        <v>14080870</v>
      </c>
      <c r="E28" s="67" t="s">
        <v>387</v>
      </c>
      <c r="F28" s="67">
        <v>1</v>
      </c>
      <c r="G28" s="67" t="s">
        <v>43</v>
      </c>
      <c r="H28" s="67" t="s">
        <v>92</v>
      </c>
      <c r="I28" s="67" t="s">
        <v>45</v>
      </c>
      <c r="J28" s="67" t="s">
        <v>45</v>
      </c>
      <c r="K28" s="66">
        <v>46129</v>
      </c>
      <c r="L28" s="67" t="s">
        <v>336</v>
      </c>
      <c r="M28" s="67">
        <v>10.72</v>
      </c>
      <c r="N28" s="67" t="s">
        <v>56</v>
      </c>
      <c r="O28" s="67">
        <v>1</v>
      </c>
      <c r="P28" s="67" t="s">
        <v>43</v>
      </c>
      <c r="Q28" s="67">
        <v>1208</v>
      </c>
      <c r="R28" s="67">
        <v>1</v>
      </c>
      <c r="S28" s="67">
        <v>4500901463</v>
      </c>
      <c r="T28" s="67" t="s">
        <v>337</v>
      </c>
      <c r="U28" s="67" t="s">
        <v>388</v>
      </c>
      <c r="V28" s="67" t="s">
        <v>70</v>
      </c>
      <c r="W28" s="67" t="s">
        <v>93</v>
      </c>
      <c r="X28" s="67" t="s">
        <v>59</v>
      </c>
      <c r="Y28" s="67">
        <v>0</v>
      </c>
      <c r="Z28" s="67" t="s">
        <v>50</v>
      </c>
      <c r="AA28" s="67" t="s">
        <v>94</v>
      </c>
      <c r="AB28" s="67" t="s">
        <v>61</v>
      </c>
      <c r="AC28" s="67"/>
      <c r="AD28" s="67" t="s">
        <v>52</v>
      </c>
      <c r="AE28" s="67"/>
      <c r="AF28" s="67">
        <v>46137</v>
      </c>
      <c r="AG28" s="67">
        <v>46137</v>
      </c>
      <c r="AH28" s="67">
        <v>46138</v>
      </c>
      <c r="AI28" s="67">
        <v>29</v>
      </c>
      <c r="AJ28" s="67">
        <v>37.04</v>
      </c>
      <c r="AK28" s="67" t="s">
        <v>46</v>
      </c>
      <c r="AL28" s="67">
        <v>37.04</v>
      </c>
      <c r="AM28" s="67" t="s">
        <v>389</v>
      </c>
      <c r="AN28" s="67">
        <v>2023336</v>
      </c>
      <c r="AO28" s="67"/>
      <c r="AP28" s="68" t="s">
        <v>390</v>
      </c>
      <c r="AQ28" s="69">
        <v>0</v>
      </c>
      <c r="AR28" s="67" t="s">
        <v>62</v>
      </c>
      <c r="AS28" s="67" t="s">
        <v>54</v>
      </c>
      <c r="AT28" s="70"/>
      <c r="AU28" s="71" t="s">
        <v>510</v>
      </c>
      <c r="AV28" s="72">
        <v>46140.687395833331</v>
      </c>
      <c r="AW28" s="71" t="s">
        <v>511</v>
      </c>
    </row>
    <row r="29" spans="1:49" x14ac:dyDescent="0.35">
      <c r="A29" s="39">
        <v>46140</v>
      </c>
      <c r="B29" s="40" t="s">
        <v>454</v>
      </c>
      <c r="C29" s="40" t="s">
        <v>81</v>
      </c>
      <c r="D29" s="40">
        <v>14099695</v>
      </c>
      <c r="E29" s="40" t="s">
        <v>455</v>
      </c>
      <c r="F29" s="40">
        <v>150</v>
      </c>
      <c r="G29" s="40" t="s">
        <v>95</v>
      </c>
      <c r="H29" s="40" t="s">
        <v>55</v>
      </c>
      <c r="I29" s="40" t="s">
        <v>45</v>
      </c>
      <c r="J29" s="40" t="s">
        <v>45</v>
      </c>
      <c r="K29" s="39">
        <v>46126</v>
      </c>
      <c r="L29" s="40" t="s">
        <v>336</v>
      </c>
      <c r="M29" s="40">
        <v>0.26</v>
      </c>
      <c r="N29" s="40" t="s">
        <v>56</v>
      </c>
      <c r="O29" s="40">
        <v>1</v>
      </c>
      <c r="P29" s="40" t="s">
        <v>95</v>
      </c>
      <c r="Q29" s="40">
        <v>1601</v>
      </c>
      <c r="R29" s="40">
        <v>300</v>
      </c>
      <c r="S29" s="40">
        <v>4500900735</v>
      </c>
      <c r="T29" s="40" t="s">
        <v>391</v>
      </c>
      <c r="U29" s="40" t="s">
        <v>58</v>
      </c>
      <c r="V29" s="40" t="s">
        <v>47</v>
      </c>
      <c r="W29" s="40" t="s">
        <v>58</v>
      </c>
      <c r="X29" s="40" t="s">
        <v>59</v>
      </c>
      <c r="Y29" s="40">
        <v>0</v>
      </c>
      <c r="Z29" s="40" t="s">
        <v>50</v>
      </c>
      <c r="AA29" s="40" t="s">
        <v>60</v>
      </c>
      <c r="AB29" s="40" t="s">
        <v>83</v>
      </c>
      <c r="AC29" s="40"/>
      <c r="AD29" s="40" t="s">
        <v>52</v>
      </c>
      <c r="AE29" s="40"/>
      <c r="AF29" s="40">
        <v>46140</v>
      </c>
      <c r="AG29" s="40">
        <v>46140</v>
      </c>
      <c r="AH29" s="40">
        <v>46169</v>
      </c>
      <c r="AI29" s="40">
        <v>29</v>
      </c>
      <c r="AJ29" s="40">
        <v>0.89</v>
      </c>
      <c r="AK29" s="40" t="s">
        <v>46</v>
      </c>
      <c r="AL29" s="40">
        <v>133.5</v>
      </c>
      <c r="AM29" s="40"/>
      <c r="AN29" s="40"/>
      <c r="AO29" s="40"/>
      <c r="AP29" s="41" t="s">
        <v>456</v>
      </c>
      <c r="AQ29" s="42">
        <v>3</v>
      </c>
      <c r="AR29" s="40" t="s">
        <v>62</v>
      </c>
      <c r="AS29" s="40" t="s">
        <v>54</v>
      </c>
      <c r="AT29" s="28">
        <v>4500903749</v>
      </c>
    </row>
    <row r="30" spans="1:49" x14ac:dyDescent="0.35">
      <c r="A30" s="39">
        <v>46136</v>
      </c>
      <c r="B30" s="40" t="s">
        <v>392</v>
      </c>
      <c r="C30" s="40" t="s">
        <v>42</v>
      </c>
      <c r="D30" s="40">
        <v>14100347</v>
      </c>
      <c r="E30" s="40" t="s">
        <v>393</v>
      </c>
      <c r="F30" s="40">
        <v>1</v>
      </c>
      <c r="G30" s="40" t="s">
        <v>43</v>
      </c>
      <c r="H30" s="40" t="s">
        <v>44</v>
      </c>
      <c r="I30" s="40" t="s">
        <v>45</v>
      </c>
      <c r="J30" s="40" t="s">
        <v>45</v>
      </c>
      <c r="K30" s="39">
        <v>46134</v>
      </c>
      <c r="L30" s="40" t="s">
        <v>336</v>
      </c>
      <c r="M30" s="40">
        <v>5.51</v>
      </c>
      <c r="N30" s="40" t="s">
        <v>56</v>
      </c>
      <c r="O30" s="40">
        <v>1</v>
      </c>
      <c r="P30" s="40" t="s">
        <v>43</v>
      </c>
      <c r="Q30" s="40">
        <v>1207</v>
      </c>
      <c r="R30" s="40">
        <v>1</v>
      </c>
      <c r="S30" s="40">
        <v>4500902749</v>
      </c>
      <c r="T30" s="40" t="s">
        <v>394</v>
      </c>
      <c r="U30" s="40" t="s">
        <v>226</v>
      </c>
      <c r="V30" s="40" t="s">
        <v>70</v>
      </c>
      <c r="W30" s="40" t="s">
        <v>84</v>
      </c>
      <c r="X30" s="40" t="s">
        <v>49</v>
      </c>
      <c r="Y30" s="40">
        <v>0</v>
      </c>
      <c r="Z30" s="40" t="s">
        <v>131</v>
      </c>
      <c r="AA30" s="40" t="s">
        <v>87</v>
      </c>
      <c r="AB30" s="40" t="s">
        <v>61</v>
      </c>
      <c r="AC30" s="40" t="s">
        <v>457</v>
      </c>
      <c r="AD30" s="40" t="s">
        <v>63</v>
      </c>
      <c r="AE30" s="40">
        <v>46139</v>
      </c>
      <c r="AF30" s="40">
        <v>46136</v>
      </c>
      <c r="AG30" s="40">
        <v>46136</v>
      </c>
      <c r="AH30" s="40">
        <v>46137</v>
      </c>
      <c r="AI30" s="40">
        <v>29</v>
      </c>
      <c r="AJ30" s="40">
        <v>19.059999999999999</v>
      </c>
      <c r="AK30" s="40" t="s">
        <v>46</v>
      </c>
      <c r="AL30" s="40">
        <v>19.059999999999999</v>
      </c>
      <c r="AM30" s="40" t="s">
        <v>395</v>
      </c>
      <c r="AN30" s="40">
        <v>2023120</v>
      </c>
      <c r="AO30" s="40"/>
      <c r="AP30" s="41" t="s">
        <v>396</v>
      </c>
      <c r="AQ30" s="42">
        <v>-1</v>
      </c>
      <c r="AR30" s="40" t="s">
        <v>53</v>
      </c>
      <c r="AS30" s="40" t="s">
        <v>54</v>
      </c>
      <c r="AT30" s="28">
        <v>4500903749</v>
      </c>
    </row>
    <row r="31" spans="1:49" ht="30" customHeight="1" x14ac:dyDescent="0.35">
      <c r="A31" s="11">
        <v>46137</v>
      </c>
      <c r="B31" s="1" t="s">
        <v>398</v>
      </c>
      <c r="C31" s="1" t="s">
        <v>42</v>
      </c>
      <c r="D31" s="73">
        <v>14077982</v>
      </c>
      <c r="E31" s="1" t="s">
        <v>399</v>
      </c>
      <c r="F31" s="1">
        <v>8</v>
      </c>
      <c r="G31" s="1" t="s">
        <v>43</v>
      </c>
      <c r="H31" s="1" t="s">
        <v>71</v>
      </c>
      <c r="I31" s="1" t="s">
        <v>45</v>
      </c>
      <c r="J31" s="1" t="s">
        <v>45</v>
      </c>
      <c r="K31" s="1"/>
      <c r="L31" s="1"/>
      <c r="M31" s="1"/>
      <c r="N31" s="1"/>
      <c r="O31" s="1"/>
      <c r="P31" s="1"/>
      <c r="Q31" s="1"/>
      <c r="R31" s="1"/>
      <c r="S31" s="1"/>
      <c r="T31" s="1" t="s">
        <v>400</v>
      </c>
      <c r="U31" s="1" t="s">
        <v>367</v>
      </c>
      <c r="V31" s="1" t="s">
        <v>70</v>
      </c>
      <c r="W31" s="1" t="s">
        <v>73</v>
      </c>
      <c r="X31" s="1" t="s">
        <v>59</v>
      </c>
      <c r="Y31" s="1">
        <v>0</v>
      </c>
      <c r="Z31" s="1" t="s">
        <v>50</v>
      </c>
      <c r="AA31" s="1" t="s">
        <v>74</v>
      </c>
      <c r="AB31" s="1" t="s">
        <v>61</v>
      </c>
      <c r="AC31" s="1"/>
      <c r="AD31" s="1" t="s">
        <v>52</v>
      </c>
      <c r="AE31" s="1"/>
      <c r="AF31" s="1">
        <v>46137</v>
      </c>
      <c r="AG31" s="1">
        <v>46137</v>
      </c>
      <c r="AH31" s="1">
        <v>46138</v>
      </c>
      <c r="AI31" s="1">
        <v>0</v>
      </c>
      <c r="AJ31" s="1">
        <v>26.29</v>
      </c>
      <c r="AK31" s="1" t="s">
        <v>46</v>
      </c>
      <c r="AL31" s="1">
        <v>210.32</v>
      </c>
      <c r="AM31" s="1" t="s">
        <v>401</v>
      </c>
      <c r="AN31" s="1">
        <v>2023337</v>
      </c>
      <c r="AO31" s="1"/>
      <c r="AP31" s="12" t="s">
        <v>402</v>
      </c>
      <c r="AQ31" s="13">
        <v>0</v>
      </c>
      <c r="AR31" s="1" t="s">
        <v>62</v>
      </c>
      <c r="AS31" s="1" t="s">
        <v>54</v>
      </c>
      <c r="AV31" s="65"/>
    </row>
    <row r="32" spans="1:49" x14ac:dyDescent="0.35">
      <c r="A32" s="11">
        <v>46137</v>
      </c>
      <c r="B32" s="1" t="s">
        <v>398</v>
      </c>
      <c r="C32" s="1" t="s">
        <v>63</v>
      </c>
      <c r="D32" s="73">
        <v>14088444</v>
      </c>
      <c r="E32" s="1" t="s">
        <v>403</v>
      </c>
      <c r="F32" s="1">
        <v>1</v>
      </c>
      <c r="G32" s="1" t="s">
        <v>43</v>
      </c>
      <c r="H32" s="1" t="s">
        <v>71</v>
      </c>
      <c r="I32" s="1" t="s">
        <v>45</v>
      </c>
      <c r="J32" s="1" t="s">
        <v>45</v>
      </c>
      <c r="K32" s="1"/>
      <c r="L32" s="1"/>
      <c r="M32" s="1"/>
      <c r="N32" s="1"/>
      <c r="O32" s="1"/>
      <c r="P32" s="1"/>
      <c r="Q32" s="1"/>
      <c r="R32" s="1"/>
      <c r="S32" s="1"/>
      <c r="T32" s="1" t="s">
        <v>400</v>
      </c>
      <c r="U32" s="1" t="s">
        <v>367</v>
      </c>
      <c r="V32" s="1" t="s">
        <v>70</v>
      </c>
      <c r="W32" s="1" t="s">
        <v>73</v>
      </c>
      <c r="X32" s="1" t="s">
        <v>59</v>
      </c>
      <c r="Y32" s="1">
        <v>0</v>
      </c>
      <c r="Z32" s="1" t="s">
        <v>50</v>
      </c>
      <c r="AA32" s="1" t="s">
        <v>74</v>
      </c>
      <c r="AB32" s="1" t="s">
        <v>61</v>
      </c>
      <c r="AC32" s="1"/>
      <c r="AD32" s="1" t="s">
        <v>52</v>
      </c>
      <c r="AE32" s="1"/>
      <c r="AF32" s="1">
        <v>46137</v>
      </c>
      <c r="AG32" s="1">
        <v>46137</v>
      </c>
      <c r="AH32" s="1">
        <v>46138</v>
      </c>
      <c r="AI32" s="1">
        <v>0</v>
      </c>
      <c r="AJ32" s="1">
        <v>17.71</v>
      </c>
      <c r="AK32" s="1" t="s">
        <v>46</v>
      </c>
      <c r="AL32" s="1">
        <v>17.71</v>
      </c>
      <c r="AM32" s="1" t="s">
        <v>404</v>
      </c>
      <c r="AN32" s="1">
        <v>2023337</v>
      </c>
      <c r="AO32" s="1"/>
      <c r="AP32" s="12" t="s">
        <v>405</v>
      </c>
      <c r="AQ32" s="13">
        <v>0</v>
      </c>
      <c r="AR32" s="1" t="s">
        <v>62</v>
      </c>
      <c r="AS32" s="1" t="s">
        <v>54</v>
      </c>
      <c r="AV32" s="65"/>
    </row>
    <row r="33" spans="1:49" x14ac:dyDescent="0.35">
      <c r="A33" s="11">
        <v>46137</v>
      </c>
      <c r="B33" s="1" t="s">
        <v>398</v>
      </c>
      <c r="C33" s="1" t="s">
        <v>64</v>
      </c>
      <c r="D33" s="1">
        <v>14080029</v>
      </c>
      <c r="E33" s="1" t="s">
        <v>406</v>
      </c>
      <c r="F33" s="1">
        <v>6</v>
      </c>
      <c r="G33" s="1" t="s">
        <v>43</v>
      </c>
      <c r="H33" s="1" t="s">
        <v>71</v>
      </c>
      <c r="I33" s="1" t="s">
        <v>45</v>
      </c>
      <c r="J33" s="1" t="s">
        <v>45</v>
      </c>
      <c r="K33" s="1"/>
      <c r="L33" s="1"/>
      <c r="M33" s="1"/>
      <c r="N33" s="1"/>
      <c r="O33" s="1"/>
      <c r="P33" s="1"/>
      <c r="Q33" s="1"/>
      <c r="R33" s="1"/>
      <c r="S33" s="1"/>
      <c r="T33" s="1" t="s">
        <v>400</v>
      </c>
      <c r="U33" s="1" t="s">
        <v>367</v>
      </c>
      <c r="V33" s="1" t="s">
        <v>397</v>
      </c>
      <c r="W33" s="1" t="s">
        <v>73</v>
      </c>
      <c r="X33" s="1" t="s">
        <v>59</v>
      </c>
      <c r="Y33" s="1">
        <v>0</v>
      </c>
      <c r="Z33" s="1" t="s">
        <v>50</v>
      </c>
      <c r="AA33" s="1" t="s">
        <v>74</v>
      </c>
      <c r="AB33" s="1" t="s">
        <v>61</v>
      </c>
      <c r="AC33" s="1"/>
      <c r="AD33" s="1" t="s">
        <v>52</v>
      </c>
      <c r="AE33" s="1"/>
      <c r="AF33" s="1">
        <v>46137</v>
      </c>
      <c r="AG33" s="1">
        <v>46137</v>
      </c>
      <c r="AH33" s="1">
        <v>46137</v>
      </c>
      <c r="AI33" s="1">
        <v>0</v>
      </c>
      <c r="AJ33" s="1">
        <v>47.62</v>
      </c>
      <c r="AK33" s="1" t="s">
        <v>46</v>
      </c>
      <c r="AL33" s="1">
        <v>285.72000000000003</v>
      </c>
      <c r="AM33" s="1" t="s">
        <v>407</v>
      </c>
      <c r="AN33" s="1">
        <v>2023337</v>
      </c>
      <c r="AO33" s="1"/>
      <c r="AP33" s="12" t="s">
        <v>408</v>
      </c>
      <c r="AQ33" s="13">
        <v>0</v>
      </c>
      <c r="AR33" s="1" t="s">
        <v>62</v>
      </c>
      <c r="AS33" s="1" t="s">
        <v>54</v>
      </c>
    </row>
    <row r="34" spans="1:49" x14ac:dyDescent="0.35">
      <c r="A34" s="11">
        <v>45964</v>
      </c>
      <c r="B34" s="1" t="s">
        <v>345</v>
      </c>
      <c r="C34" s="1" t="s">
        <v>42</v>
      </c>
      <c r="D34" s="1">
        <v>14071061</v>
      </c>
      <c r="E34" s="1" t="s">
        <v>346</v>
      </c>
      <c r="F34" s="1">
        <v>1</v>
      </c>
      <c r="G34" s="1" t="s">
        <v>43</v>
      </c>
      <c r="H34" s="1" t="s">
        <v>92</v>
      </c>
      <c r="I34" s="1" t="s">
        <v>45</v>
      </c>
      <c r="J34" s="1" t="s">
        <v>45</v>
      </c>
      <c r="K34" s="1"/>
      <c r="L34" s="1"/>
      <c r="M34" s="1"/>
      <c r="N34" s="1"/>
      <c r="O34" s="1"/>
      <c r="P34" s="1"/>
      <c r="Q34" s="1"/>
      <c r="R34" s="1"/>
      <c r="S34" s="1"/>
      <c r="T34" s="1" t="s">
        <v>72</v>
      </c>
      <c r="U34" s="1" t="s">
        <v>347</v>
      </c>
      <c r="V34" s="1" t="s">
        <v>104</v>
      </c>
      <c r="W34" s="1" t="s">
        <v>93</v>
      </c>
      <c r="X34" s="1" t="s">
        <v>59</v>
      </c>
      <c r="Y34" s="1">
        <v>0</v>
      </c>
      <c r="Z34" s="1" t="s">
        <v>131</v>
      </c>
      <c r="AA34" s="1" t="s">
        <v>94</v>
      </c>
      <c r="AB34" s="1" t="s">
        <v>61</v>
      </c>
      <c r="AC34" s="1" t="s">
        <v>348</v>
      </c>
      <c r="AD34" s="1" t="s">
        <v>42</v>
      </c>
      <c r="AE34" s="1">
        <v>45980</v>
      </c>
      <c r="AF34" s="1">
        <v>45964</v>
      </c>
      <c r="AG34" s="1">
        <v>45964</v>
      </c>
      <c r="AH34" s="1">
        <v>45994</v>
      </c>
      <c r="AI34" s="1">
        <v>29</v>
      </c>
      <c r="AJ34" s="1">
        <v>7.63</v>
      </c>
      <c r="AK34" s="1" t="s">
        <v>46</v>
      </c>
      <c r="AL34" s="1">
        <v>7.63</v>
      </c>
      <c r="AM34" s="1" t="s">
        <v>349</v>
      </c>
      <c r="AN34" s="1">
        <v>4201895</v>
      </c>
      <c r="AO34" s="1"/>
      <c r="AP34" s="12" t="s">
        <v>350</v>
      </c>
      <c r="AQ34" s="13">
        <v>-173</v>
      </c>
      <c r="AR34" s="1" t="s">
        <v>53</v>
      </c>
      <c r="AS34" s="1" t="s">
        <v>54</v>
      </c>
    </row>
    <row r="35" spans="1:49" x14ac:dyDescent="0.35">
      <c r="A35" s="11">
        <v>46095</v>
      </c>
      <c r="B35" s="1" t="s">
        <v>110</v>
      </c>
      <c r="C35" s="1" t="s">
        <v>42</v>
      </c>
      <c r="D35" s="1">
        <v>14100174</v>
      </c>
      <c r="E35" s="1" t="s">
        <v>111</v>
      </c>
      <c r="F35" s="1">
        <v>2</v>
      </c>
      <c r="G35" s="1" t="s">
        <v>43</v>
      </c>
      <c r="H35" s="1" t="s">
        <v>55</v>
      </c>
      <c r="I35" s="1" t="s">
        <v>45</v>
      </c>
      <c r="J35" s="1" t="s">
        <v>45</v>
      </c>
      <c r="K35" s="1"/>
      <c r="L35" s="1"/>
      <c r="M35" s="1"/>
      <c r="N35" s="1"/>
      <c r="O35" s="1"/>
      <c r="P35" s="1"/>
      <c r="Q35" s="1"/>
      <c r="R35" s="1"/>
      <c r="S35" s="1"/>
      <c r="T35" s="1" t="s">
        <v>72</v>
      </c>
      <c r="U35" s="1" t="s">
        <v>106</v>
      </c>
      <c r="V35" s="1" t="s">
        <v>57</v>
      </c>
      <c r="W35" s="1" t="s">
        <v>58</v>
      </c>
      <c r="X35" s="1" t="s">
        <v>59</v>
      </c>
      <c r="Y35" s="1">
        <v>0</v>
      </c>
      <c r="Z35" s="1" t="s">
        <v>194</v>
      </c>
      <c r="AA35" s="1" t="s">
        <v>60</v>
      </c>
      <c r="AB35" s="1" t="s">
        <v>61</v>
      </c>
      <c r="AC35" s="1"/>
      <c r="AD35" s="1" t="s">
        <v>52</v>
      </c>
      <c r="AE35" s="1"/>
      <c r="AF35" s="1">
        <v>46095</v>
      </c>
      <c r="AG35" s="1">
        <v>46095</v>
      </c>
      <c r="AH35" s="1">
        <v>46096</v>
      </c>
      <c r="AI35" s="1">
        <v>29</v>
      </c>
      <c r="AJ35" s="1">
        <v>48.5</v>
      </c>
      <c r="AK35" s="1" t="s">
        <v>46</v>
      </c>
      <c r="AL35" s="1">
        <v>97</v>
      </c>
      <c r="AM35" s="1" t="s">
        <v>112</v>
      </c>
      <c r="AN35" s="1">
        <v>6200000129</v>
      </c>
      <c r="AO35" s="1"/>
      <c r="AP35" s="12" t="s">
        <v>117</v>
      </c>
      <c r="AQ35" s="13">
        <v>-42</v>
      </c>
      <c r="AR35" s="1" t="s">
        <v>53</v>
      </c>
      <c r="AS35" s="1" t="s">
        <v>54</v>
      </c>
    </row>
    <row r="36" spans="1:49" x14ac:dyDescent="0.35">
      <c r="A36" s="11">
        <v>46117</v>
      </c>
      <c r="B36" s="1" t="s">
        <v>146</v>
      </c>
      <c r="C36" s="1" t="s">
        <v>81</v>
      </c>
      <c r="D36" s="1">
        <v>14095514</v>
      </c>
      <c r="E36" s="1" t="s">
        <v>147</v>
      </c>
      <c r="F36" s="1">
        <v>1</v>
      </c>
      <c r="G36" s="1" t="s">
        <v>43</v>
      </c>
      <c r="H36" s="1" t="s">
        <v>44</v>
      </c>
      <c r="I36" s="1" t="s">
        <v>45</v>
      </c>
      <c r="J36" s="1" t="s">
        <v>45</v>
      </c>
      <c r="K36" s="11">
        <v>46101</v>
      </c>
      <c r="L36" s="1" t="s">
        <v>148</v>
      </c>
      <c r="M36" s="1">
        <v>327.25</v>
      </c>
      <c r="N36" s="1" t="s">
        <v>56</v>
      </c>
      <c r="O36" s="1">
        <v>1</v>
      </c>
      <c r="P36" s="1" t="s">
        <v>43</v>
      </c>
      <c r="Q36" s="1">
        <v>1208</v>
      </c>
      <c r="R36" s="1">
        <v>2</v>
      </c>
      <c r="S36" s="1">
        <v>4500896757</v>
      </c>
      <c r="T36" s="1" t="s">
        <v>72</v>
      </c>
      <c r="U36" s="1" t="s">
        <v>84</v>
      </c>
      <c r="V36" s="1" t="s">
        <v>70</v>
      </c>
      <c r="W36" s="1" t="s">
        <v>84</v>
      </c>
      <c r="X36" s="1" t="s">
        <v>49</v>
      </c>
      <c r="Y36" s="1">
        <v>0</v>
      </c>
      <c r="Z36" s="1" t="s">
        <v>194</v>
      </c>
      <c r="AA36" s="1" t="s">
        <v>96</v>
      </c>
      <c r="AB36" s="1" t="s">
        <v>83</v>
      </c>
      <c r="AC36" s="1"/>
      <c r="AD36" s="1" t="s">
        <v>52</v>
      </c>
      <c r="AE36" s="1"/>
      <c r="AF36" s="1">
        <v>46125</v>
      </c>
      <c r="AG36" s="1">
        <v>46117</v>
      </c>
      <c r="AH36" s="1">
        <v>46154</v>
      </c>
      <c r="AI36" s="1">
        <v>29</v>
      </c>
      <c r="AJ36" s="1">
        <v>2069.12</v>
      </c>
      <c r="AK36" s="1" t="s">
        <v>46</v>
      </c>
      <c r="AL36" s="1">
        <v>2069.12</v>
      </c>
      <c r="AM36" s="1"/>
      <c r="AN36" s="1"/>
      <c r="AO36" s="1"/>
      <c r="AP36" s="12" t="s">
        <v>149</v>
      </c>
      <c r="AQ36" s="13">
        <v>-20</v>
      </c>
      <c r="AR36" s="1" t="s">
        <v>53</v>
      </c>
      <c r="AS36" s="1" t="s">
        <v>54</v>
      </c>
    </row>
    <row r="37" spans="1:49" x14ac:dyDescent="0.35">
      <c r="A37" s="11">
        <v>46137</v>
      </c>
      <c r="B37" s="1" t="s">
        <v>409</v>
      </c>
      <c r="C37" s="1" t="s">
        <v>42</v>
      </c>
      <c r="D37" s="1">
        <v>14071061</v>
      </c>
      <c r="E37" s="1" t="s">
        <v>346</v>
      </c>
      <c r="F37" s="1">
        <v>1</v>
      </c>
      <c r="G37" s="1" t="s">
        <v>43</v>
      </c>
      <c r="H37" s="1" t="s">
        <v>71</v>
      </c>
      <c r="I37" s="1" t="s">
        <v>45</v>
      </c>
      <c r="J37" s="1" t="s">
        <v>45</v>
      </c>
      <c r="K37" s="1"/>
      <c r="L37" s="1"/>
      <c r="M37" s="1"/>
      <c r="N37" s="1"/>
      <c r="O37" s="1"/>
      <c r="P37" s="1"/>
      <c r="Q37" s="1"/>
      <c r="R37" s="1"/>
      <c r="S37" s="1"/>
      <c r="T37" s="1" t="s">
        <v>72</v>
      </c>
      <c r="U37" s="1" t="s">
        <v>69</v>
      </c>
      <c r="V37" s="1" t="s">
        <v>70</v>
      </c>
      <c r="W37" s="1" t="s">
        <v>73</v>
      </c>
      <c r="X37" s="1" t="s">
        <v>59</v>
      </c>
      <c r="Y37" s="1">
        <v>0</v>
      </c>
      <c r="Z37" s="1" t="s">
        <v>50</v>
      </c>
      <c r="AA37" s="1" t="s">
        <v>74</v>
      </c>
      <c r="AB37" s="1" t="s">
        <v>61</v>
      </c>
      <c r="AC37" s="1"/>
      <c r="AD37" s="1" t="s">
        <v>52</v>
      </c>
      <c r="AE37" s="1"/>
      <c r="AF37" s="1">
        <v>46137</v>
      </c>
      <c r="AG37" s="1">
        <v>46137</v>
      </c>
      <c r="AH37" s="1">
        <v>46138</v>
      </c>
      <c r="AI37" s="1">
        <v>0</v>
      </c>
      <c r="AJ37" s="1">
        <v>84.11</v>
      </c>
      <c r="AK37" s="1" t="s">
        <v>46</v>
      </c>
      <c r="AL37" s="1">
        <v>84.11</v>
      </c>
      <c r="AM37" s="1" t="s">
        <v>410</v>
      </c>
      <c r="AN37" s="1">
        <v>4215944</v>
      </c>
      <c r="AO37" s="1"/>
      <c r="AP37" s="12" t="s">
        <v>411</v>
      </c>
      <c r="AQ37" s="13">
        <v>0</v>
      </c>
      <c r="AR37" s="1" t="s">
        <v>62</v>
      </c>
      <c r="AS37" s="1" t="s">
        <v>54</v>
      </c>
    </row>
    <row r="38" spans="1:49" x14ac:dyDescent="0.35">
      <c r="A38" s="39">
        <v>46140</v>
      </c>
      <c r="B38" s="40" t="s">
        <v>458</v>
      </c>
      <c r="C38" s="40" t="s">
        <v>63</v>
      </c>
      <c r="D38" s="40">
        <v>14074144</v>
      </c>
      <c r="E38" s="40" t="s">
        <v>459</v>
      </c>
      <c r="F38" s="40">
        <v>1</v>
      </c>
      <c r="G38" s="40" t="s">
        <v>43</v>
      </c>
      <c r="H38" s="40" t="s">
        <v>71</v>
      </c>
      <c r="I38" s="40">
        <v>12.233898305084747</v>
      </c>
      <c r="J38" s="40">
        <v>152326</v>
      </c>
      <c r="K38" s="39">
        <v>46133</v>
      </c>
      <c r="L38" s="40" t="s">
        <v>330</v>
      </c>
      <c r="M38" s="40">
        <v>12.87</v>
      </c>
      <c r="N38" s="40" t="s">
        <v>46</v>
      </c>
      <c r="O38" s="40">
        <v>1</v>
      </c>
      <c r="P38" s="40" t="s">
        <v>43</v>
      </c>
      <c r="Q38" s="40">
        <v>1102</v>
      </c>
      <c r="R38" s="40">
        <v>1</v>
      </c>
      <c r="S38" s="40">
        <v>4500902388</v>
      </c>
      <c r="T38" s="40" t="s">
        <v>460</v>
      </c>
      <c r="U38" s="40" t="s">
        <v>461</v>
      </c>
      <c r="V38" s="40" t="s">
        <v>70</v>
      </c>
      <c r="W38" s="40" t="s">
        <v>73</v>
      </c>
      <c r="X38" s="40" t="s">
        <v>59</v>
      </c>
      <c r="Y38" s="40">
        <v>0</v>
      </c>
      <c r="Z38" s="40" t="s">
        <v>50</v>
      </c>
      <c r="AA38" s="40" t="s">
        <v>74</v>
      </c>
      <c r="AB38" s="40" t="s">
        <v>61</v>
      </c>
      <c r="AC38" s="40"/>
      <c r="AD38" s="40" t="s">
        <v>52</v>
      </c>
      <c r="AE38" s="40"/>
      <c r="AF38" s="40">
        <v>46140</v>
      </c>
      <c r="AG38" s="40">
        <v>46140</v>
      </c>
      <c r="AH38" s="40">
        <v>46141</v>
      </c>
      <c r="AI38" s="40">
        <v>0</v>
      </c>
      <c r="AJ38" s="40">
        <v>12.34</v>
      </c>
      <c r="AK38" s="40" t="s">
        <v>46</v>
      </c>
      <c r="AL38" s="40">
        <v>12.34</v>
      </c>
      <c r="AM38" s="40" t="s">
        <v>462</v>
      </c>
      <c r="AN38" s="40">
        <v>2023783</v>
      </c>
      <c r="AO38" s="40"/>
      <c r="AP38" s="41" t="s">
        <v>463</v>
      </c>
      <c r="AQ38" s="42">
        <v>3</v>
      </c>
      <c r="AR38" s="40" t="s">
        <v>62</v>
      </c>
      <c r="AS38" s="40" t="s">
        <v>54</v>
      </c>
      <c r="AT38" s="63">
        <v>4500903758</v>
      </c>
      <c r="AU38" s="55" t="s">
        <v>512</v>
      </c>
      <c r="AV38" s="74">
        <v>46140.702789351853</v>
      </c>
      <c r="AW38" s="55"/>
    </row>
    <row r="39" spans="1:49" x14ac:dyDescent="0.35">
      <c r="A39" s="11">
        <v>46126</v>
      </c>
      <c r="B39" s="1" t="s">
        <v>227</v>
      </c>
      <c r="C39" s="1" t="s">
        <v>42</v>
      </c>
      <c r="D39" s="1">
        <v>14904893</v>
      </c>
      <c r="E39" s="1" t="s">
        <v>228</v>
      </c>
      <c r="F39" s="1">
        <v>1</v>
      </c>
      <c r="G39" s="1" t="s">
        <v>43</v>
      </c>
      <c r="H39" s="1" t="s">
        <v>44</v>
      </c>
      <c r="I39" s="1" t="s">
        <v>45</v>
      </c>
      <c r="J39" s="1" t="s">
        <v>45</v>
      </c>
      <c r="K39" s="1"/>
      <c r="L39" s="1"/>
      <c r="M39" s="1"/>
      <c r="N39" s="1"/>
      <c r="O39" s="1"/>
      <c r="P39" s="1"/>
      <c r="Q39" s="1"/>
      <c r="R39" s="1"/>
      <c r="S39" s="1"/>
      <c r="T39" s="1" t="s">
        <v>229</v>
      </c>
      <c r="U39" s="1" t="s">
        <v>128</v>
      </c>
      <c r="V39" s="1" t="s">
        <v>70</v>
      </c>
      <c r="W39" s="1" t="s">
        <v>84</v>
      </c>
      <c r="X39" s="1" t="s">
        <v>49</v>
      </c>
      <c r="Y39" s="1">
        <v>0</v>
      </c>
      <c r="Z39" s="1" t="s">
        <v>50</v>
      </c>
      <c r="AA39" s="1" t="s">
        <v>87</v>
      </c>
      <c r="AB39" s="1" t="s">
        <v>61</v>
      </c>
      <c r="AC39" s="1"/>
      <c r="AD39" s="1" t="s">
        <v>52</v>
      </c>
      <c r="AE39" s="1"/>
      <c r="AF39" s="1">
        <v>46126</v>
      </c>
      <c r="AG39" s="1">
        <v>46126</v>
      </c>
      <c r="AH39" s="1">
        <v>46127</v>
      </c>
      <c r="AI39" s="1">
        <v>0</v>
      </c>
      <c r="AJ39" s="1">
        <v>126.87</v>
      </c>
      <c r="AK39" s="1" t="s">
        <v>46</v>
      </c>
      <c r="AL39" s="1">
        <v>126.87</v>
      </c>
      <c r="AM39" s="1" t="s">
        <v>230</v>
      </c>
      <c r="AN39" s="1">
        <v>4214406</v>
      </c>
      <c r="AO39" s="1"/>
      <c r="AP39" s="12" t="s">
        <v>231</v>
      </c>
      <c r="AQ39" s="13">
        <v>-11</v>
      </c>
      <c r="AR39" s="1" t="s">
        <v>53</v>
      </c>
      <c r="AS39" s="1" t="s">
        <v>54</v>
      </c>
    </row>
    <row r="40" spans="1:49" x14ac:dyDescent="0.35">
      <c r="A40" s="11">
        <v>46136</v>
      </c>
      <c r="B40" s="1" t="s">
        <v>412</v>
      </c>
      <c r="C40" s="1" t="s">
        <v>42</v>
      </c>
      <c r="D40" s="1">
        <v>14084895</v>
      </c>
      <c r="E40" s="1" t="s">
        <v>413</v>
      </c>
      <c r="F40" s="1">
        <v>1</v>
      </c>
      <c r="G40" s="1" t="s">
        <v>43</v>
      </c>
      <c r="H40" s="1" t="s">
        <v>44</v>
      </c>
      <c r="I40" s="1" t="s">
        <v>45</v>
      </c>
      <c r="J40" s="1" t="s">
        <v>45</v>
      </c>
      <c r="K40" s="1"/>
      <c r="L40" s="1"/>
      <c r="M40" s="1"/>
      <c r="N40" s="1"/>
      <c r="O40" s="1"/>
      <c r="P40" s="1"/>
      <c r="Q40" s="1"/>
      <c r="R40" s="1"/>
      <c r="S40" s="1"/>
      <c r="T40" s="1" t="s">
        <v>229</v>
      </c>
      <c r="U40" s="1" t="s">
        <v>128</v>
      </c>
      <c r="V40" s="1" t="s">
        <v>70</v>
      </c>
      <c r="W40" s="1" t="s">
        <v>84</v>
      </c>
      <c r="X40" s="1" t="s">
        <v>49</v>
      </c>
      <c r="Y40" s="1">
        <v>0</v>
      </c>
      <c r="Z40" s="1" t="s">
        <v>50</v>
      </c>
      <c r="AA40" s="1" t="s">
        <v>87</v>
      </c>
      <c r="AB40" s="1" t="s">
        <v>61</v>
      </c>
      <c r="AC40" s="1"/>
      <c r="AD40" s="1" t="s">
        <v>52</v>
      </c>
      <c r="AE40" s="1"/>
      <c r="AF40" s="1">
        <v>46136</v>
      </c>
      <c r="AG40" s="1">
        <v>46136</v>
      </c>
      <c r="AH40" s="1">
        <v>46137</v>
      </c>
      <c r="AI40" s="1">
        <v>0</v>
      </c>
      <c r="AJ40" s="1">
        <v>35.71</v>
      </c>
      <c r="AK40" s="1" t="s">
        <v>46</v>
      </c>
      <c r="AL40" s="1">
        <v>35.71</v>
      </c>
      <c r="AM40" s="1" t="s">
        <v>414</v>
      </c>
      <c r="AN40" s="1">
        <v>4214428</v>
      </c>
      <c r="AO40" s="1"/>
      <c r="AP40" s="12" t="s">
        <v>415</v>
      </c>
      <c r="AQ40" s="13">
        <v>-1</v>
      </c>
      <c r="AR40" s="1" t="s">
        <v>53</v>
      </c>
      <c r="AS40" s="1" t="s">
        <v>54</v>
      </c>
    </row>
    <row r="41" spans="1:49" x14ac:dyDescent="0.35">
      <c r="A41" s="11">
        <v>46113</v>
      </c>
      <c r="B41" s="1" t="s">
        <v>150</v>
      </c>
      <c r="C41" s="1" t="s">
        <v>42</v>
      </c>
      <c r="D41" s="1">
        <v>14086740</v>
      </c>
      <c r="E41" s="1" t="s">
        <v>151</v>
      </c>
      <c r="F41" s="1">
        <v>10</v>
      </c>
      <c r="G41" s="1" t="s">
        <v>43</v>
      </c>
      <c r="H41" s="1" t="s">
        <v>92</v>
      </c>
      <c r="I41" s="1" t="s">
        <v>45</v>
      </c>
      <c r="J41" s="1" t="s">
        <v>45</v>
      </c>
      <c r="K41" s="1"/>
      <c r="L41" s="1"/>
      <c r="M41" s="1"/>
      <c r="N41" s="1"/>
      <c r="O41" s="1"/>
      <c r="P41" s="1"/>
      <c r="Q41" s="1"/>
      <c r="R41" s="1"/>
      <c r="S41" s="1"/>
      <c r="T41" s="1" t="s">
        <v>152</v>
      </c>
      <c r="U41" s="1" t="s">
        <v>134</v>
      </c>
      <c r="V41" s="1" t="s">
        <v>104</v>
      </c>
      <c r="W41" s="1" t="s">
        <v>93</v>
      </c>
      <c r="X41" s="1" t="s">
        <v>59</v>
      </c>
      <c r="Y41" s="1">
        <v>0</v>
      </c>
      <c r="Z41" s="1" t="s">
        <v>50</v>
      </c>
      <c r="AA41" s="1" t="s">
        <v>94</v>
      </c>
      <c r="AB41" s="1" t="s">
        <v>61</v>
      </c>
      <c r="AC41" s="1"/>
      <c r="AD41" s="1" t="s">
        <v>52</v>
      </c>
      <c r="AE41" s="1"/>
      <c r="AF41" s="1">
        <v>46113</v>
      </c>
      <c r="AG41" s="1">
        <v>46113</v>
      </c>
      <c r="AH41" s="1">
        <v>46114</v>
      </c>
      <c r="AI41" s="1">
        <v>0</v>
      </c>
      <c r="AJ41" s="1">
        <v>6.75</v>
      </c>
      <c r="AK41" s="1" t="s">
        <v>46</v>
      </c>
      <c r="AL41" s="1">
        <v>67.5</v>
      </c>
      <c r="AM41" s="1" t="s">
        <v>153</v>
      </c>
      <c r="AN41" s="1">
        <v>4214539</v>
      </c>
      <c r="AO41" s="1"/>
      <c r="AP41" s="12" t="s">
        <v>154</v>
      </c>
      <c r="AQ41" s="13">
        <v>-24</v>
      </c>
      <c r="AR41" s="1" t="s">
        <v>53</v>
      </c>
      <c r="AS41" s="1" t="s">
        <v>54</v>
      </c>
    </row>
    <row r="42" spans="1:49" x14ac:dyDescent="0.35">
      <c r="A42" s="11">
        <v>46123</v>
      </c>
      <c r="B42" s="1" t="s">
        <v>185</v>
      </c>
      <c r="C42" s="1" t="s">
        <v>42</v>
      </c>
      <c r="D42" s="1">
        <v>14077305</v>
      </c>
      <c r="E42" s="1" t="s">
        <v>186</v>
      </c>
      <c r="F42" s="1">
        <v>1</v>
      </c>
      <c r="G42" s="1" t="s">
        <v>43</v>
      </c>
      <c r="H42" s="1" t="s">
        <v>44</v>
      </c>
      <c r="I42" s="1" t="s">
        <v>45</v>
      </c>
      <c r="J42" s="1" t="s">
        <v>45</v>
      </c>
      <c r="K42" s="11">
        <v>46118</v>
      </c>
      <c r="L42" s="1" t="s">
        <v>82</v>
      </c>
      <c r="M42" s="1">
        <v>0.41</v>
      </c>
      <c r="N42" s="1" t="s">
        <v>56</v>
      </c>
      <c r="O42" s="1">
        <v>1</v>
      </c>
      <c r="P42" s="1" t="s">
        <v>43</v>
      </c>
      <c r="Q42" s="1">
        <v>1207</v>
      </c>
      <c r="R42" s="1">
        <v>2</v>
      </c>
      <c r="S42" s="1">
        <v>4500898939</v>
      </c>
      <c r="T42" s="1" t="s">
        <v>152</v>
      </c>
      <c r="U42" s="1" t="s">
        <v>134</v>
      </c>
      <c r="V42" s="1" t="s">
        <v>70</v>
      </c>
      <c r="W42" s="1" t="s">
        <v>84</v>
      </c>
      <c r="X42" s="1" t="s">
        <v>49</v>
      </c>
      <c r="Y42" s="1">
        <v>0</v>
      </c>
      <c r="Z42" s="1" t="s">
        <v>50</v>
      </c>
      <c r="AA42" s="1" t="s">
        <v>87</v>
      </c>
      <c r="AB42" s="1" t="s">
        <v>61</v>
      </c>
      <c r="AC42" s="1"/>
      <c r="AD42" s="1" t="s">
        <v>52</v>
      </c>
      <c r="AE42" s="1"/>
      <c r="AF42" s="1">
        <v>46123</v>
      </c>
      <c r="AG42" s="1">
        <v>46134</v>
      </c>
      <c r="AH42" s="1">
        <v>46124</v>
      </c>
      <c r="AI42" s="1">
        <v>0</v>
      </c>
      <c r="AJ42" s="1">
        <v>1.86</v>
      </c>
      <c r="AK42" s="1" t="s">
        <v>46</v>
      </c>
      <c r="AL42" s="1">
        <v>1.86</v>
      </c>
      <c r="AM42" s="1" t="s">
        <v>187</v>
      </c>
      <c r="AN42" s="1">
        <v>4214666</v>
      </c>
      <c r="AO42" s="1"/>
      <c r="AP42" s="12" t="s">
        <v>188</v>
      </c>
      <c r="AQ42" s="13">
        <v>-14</v>
      </c>
      <c r="AR42" s="1" t="s">
        <v>53</v>
      </c>
      <c r="AS42" s="1" t="s">
        <v>54</v>
      </c>
    </row>
    <row r="43" spans="1:49" x14ac:dyDescent="0.35">
      <c r="A43" s="11">
        <v>46124</v>
      </c>
      <c r="B43" s="1" t="s">
        <v>200</v>
      </c>
      <c r="C43" s="1" t="s">
        <v>42</v>
      </c>
      <c r="D43" s="1">
        <v>14013754</v>
      </c>
      <c r="E43" s="1" t="s">
        <v>201</v>
      </c>
      <c r="F43" s="1">
        <v>24</v>
      </c>
      <c r="G43" s="1" t="s">
        <v>43</v>
      </c>
      <c r="H43" s="1" t="s">
        <v>44</v>
      </c>
      <c r="I43" s="1" t="s">
        <v>45</v>
      </c>
      <c r="J43" s="1" t="s">
        <v>45</v>
      </c>
      <c r="K43" s="1"/>
      <c r="L43" s="1"/>
      <c r="M43" s="1"/>
      <c r="N43" s="1"/>
      <c r="O43" s="1"/>
      <c r="P43" s="1"/>
      <c r="Q43" s="1"/>
      <c r="R43" s="1"/>
      <c r="S43" s="1"/>
      <c r="T43" s="1" t="s">
        <v>152</v>
      </c>
      <c r="U43" s="1" t="s">
        <v>109</v>
      </c>
      <c r="V43" s="1" t="s">
        <v>70</v>
      </c>
      <c r="W43" s="1" t="s">
        <v>84</v>
      </c>
      <c r="X43" s="1" t="s">
        <v>49</v>
      </c>
      <c r="Y43" s="1">
        <v>0</v>
      </c>
      <c r="Z43" s="1" t="s">
        <v>50</v>
      </c>
      <c r="AA43" s="1" t="s">
        <v>87</v>
      </c>
      <c r="AB43" s="1" t="s">
        <v>61</v>
      </c>
      <c r="AC43" s="1"/>
      <c r="AD43" s="1" t="s">
        <v>52</v>
      </c>
      <c r="AE43" s="1"/>
      <c r="AF43" s="1">
        <v>46124</v>
      </c>
      <c r="AG43" s="1">
        <v>46124</v>
      </c>
      <c r="AH43" s="1">
        <v>46154</v>
      </c>
      <c r="AI43" s="1">
        <v>29</v>
      </c>
      <c r="AJ43" s="1">
        <v>3.46</v>
      </c>
      <c r="AK43" s="1" t="s">
        <v>46</v>
      </c>
      <c r="AL43" s="1">
        <v>83.04</v>
      </c>
      <c r="AM43" s="1" t="s">
        <v>202</v>
      </c>
      <c r="AN43" s="1">
        <v>4215124</v>
      </c>
      <c r="AO43" s="1"/>
      <c r="AP43" s="12" t="s">
        <v>203</v>
      </c>
      <c r="AQ43" s="13">
        <v>-13</v>
      </c>
      <c r="AR43" s="1" t="s">
        <v>53</v>
      </c>
      <c r="AS43" s="1" t="s">
        <v>54</v>
      </c>
    </row>
    <row r="44" spans="1:49" x14ac:dyDescent="0.35">
      <c r="A44" s="11">
        <v>46133</v>
      </c>
      <c r="B44" s="1" t="s">
        <v>299</v>
      </c>
      <c r="C44" s="1" t="s">
        <v>42</v>
      </c>
      <c r="D44" s="1">
        <v>14092817</v>
      </c>
      <c r="E44" s="1" t="s">
        <v>300</v>
      </c>
      <c r="F44" s="1">
        <v>15</v>
      </c>
      <c r="G44" s="1" t="s">
        <v>43</v>
      </c>
      <c r="H44" s="1" t="s">
        <v>88</v>
      </c>
      <c r="I44" s="1" t="s">
        <v>45</v>
      </c>
      <c r="J44" s="1" t="s">
        <v>45</v>
      </c>
      <c r="K44" s="1"/>
      <c r="L44" s="1"/>
      <c r="M44" s="1"/>
      <c r="N44" s="1"/>
      <c r="O44" s="1"/>
      <c r="P44" s="1"/>
      <c r="Q44" s="1"/>
      <c r="R44" s="1"/>
      <c r="S44" s="1"/>
      <c r="T44" s="1" t="s">
        <v>152</v>
      </c>
      <c r="U44" s="1" t="s">
        <v>301</v>
      </c>
      <c r="V44" s="1" t="s">
        <v>70</v>
      </c>
      <c r="W44" s="1" t="s">
        <v>89</v>
      </c>
      <c r="X44" s="1" t="s">
        <v>59</v>
      </c>
      <c r="Y44" s="1">
        <v>0</v>
      </c>
      <c r="Z44" s="1" t="s">
        <v>50</v>
      </c>
      <c r="AA44" s="1" t="s">
        <v>90</v>
      </c>
      <c r="AB44" s="1" t="s">
        <v>61</v>
      </c>
      <c r="AC44" s="1"/>
      <c r="AD44" s="1" t="s">
        <v>52</v>
      </c>
      <c r="AE44" s="1"/>
      <c r="AF44" s="1">
        <v>46133</v>
      </c>
      <c r="AG44" s="1">
        <v>46133</v>
      </c>
      <c r="AH44" s="1">
        <v>46134</v>
      </c>
      <c r="AI44" s="1">
        <v>0</v>
      </c>
      <c r="AJ44" s="1">
        <v>23.24</v>
      </c>
      <c r="AK44" s="1" t="s">
        <v>46</v>
      </c>
      <c r="AL44" s="1">
        <v>348.6</v>
      </c>
      <c r="AM44" s="1" t="s">
        <v>302</v>
      </c>
      <c r="AN44" s="1">
        <v>2022437</v>
      </c>
      <c r="AO44" s="1"/>
      <c r="AP44" s="12" t="s">
        <v>303</v>
      </c>
      <c r="AQ44" s="13">
        <v>-4</v>
      </c>
      <c r="AR44" s="1" t="s">
        <v>53</v>
      </c>
      <c r="AS44" s="1" t="s">
        <v>54</v>
      </c>
    </row>
    <row r="45" spans="1:49" x14ac:dyDescent="0.35">
      <c r="A45" s="11">
        <v>46133</v>
      </c>
      <c r="B45" s="1" t="s">
        <v>299</v>
      </c>
      <c r="C45" s="1" t="s">
        <v>63</v>
      </c>
      <c r="D45" s="1">
        <v>14091436</v>
      </c>
      <c r="E45" s="1" t="s">
        <v>304</v>
      </c>
      <c r="F45" s="1">
        <v>15</v>
      </c>
      <c r="G45" s="1" t="s">
        <v>43</v>
      </c>
      <c r="H45" s="1" t="s">
        <v>88</v>
      </c>
      <c r="I45" s="1" t="s">
        <v>45</v>
      </c>
      <c r="J45" s="1" t="s">
        <v>45</v>
      </c>
      <c r="K45" s="1"/>
      <c r="L45" s="1"/>
      <c r="M45" s="1"/>
      <c r="N45" s="1"/>
      <c r="O45" s="1"/>
      <c r="P45" s="1"/>
      <c r="Q45" s="1"/>
      <c r="R45" s="1"/>
      <c r="S45" s="1"/>
      <c r="T45" s="1" t="s">
        <v>152</v>
      </c>
      <c r="U45" s="1" t="s">
        <v>301</v>
      </c>
      <c r="V45" s="1" t="s">
        <v>70</v>
      </c>
      <c r="W45" s="1" t="s">
        <v>89</v>
      </c>
      <c r="X45" s="1" t="s">
        <v>59</v>
      </c>
      <c r="Y45" s="1">
        <v>0</v>
      </c>
      <c r="Z45" s="1" t="s">
        <v>50</v>
      </c>
      <c r="AA45" s="1" t="s">
        <v>90</v>
      </c>
      <c r="AB45" s="1" t="s">
        <v>61</v>
      </c>
      <c r="AC45" s="1"/>
      <c r="AD45" s="1" t="s">
        <v>52</v>
      </c>
      <c r="AE45" s="1"/>
      <c r="AF45" s="1">
        <v>46133</v>
      </c>
      <c r="AG45" s="1">
        <v>46133</v>
      </c>
      <c r="AH45" s="1">
        <v>46134</v>
      </c>
      <c r="AI45" s="1">
        <v>0</v>
      </c>
      <c r="AJ45" s="1">
        <v>18.239999999999998</v>
      </c>
      <c r="AK45" s="1" t="s">
        <v>46</v>
      </c>
      <c r="AL45" s="1">
        <v>273.60000000000002</v>
      </c>
      <c r="AM45" s="1" t="s">
        <v>305</v>
      </c>
      <c r="AN45" s="1">
        <v>2022437</v>
      </c>
      <c r="AO45" s="1"/>
      <c r="AP45" s="12" t="s">
        <v>306</v>
      </c>
      <c r="AQ45" s="13">
        <v>-4</v>
      </c>
      <c r="AR45" s="1" t="s">
        <v>53</v>
      </c>
      <c r="AS45" s="1" t="s">
        <v>54</v>
      </c>
    </row>
    <row r="46" spans="1:49" x14ac:dyDescent="0.35">
      <c r="A46" s="11">
        <v>46134</v>
      </c>
      <c r="B46" s="1" t="s">
        <v>307</v>
      </c>
      <c r="C46" s="1" t="s">
        <v>42</v>
      </c>
      <c r="D46" s="1">
        <v>14093053</v>
      </c>
      <c r="E46" s="1" t="s">
        <v>308</v>
      </c>
      <c r="F46" s="1">
        <v>10</v>
      </c>
      <c r="G46" s="1" t="s">
        <v>43</v>
      </c>
      <c r="H46" s="1" t="s">
        <v>88</v>
      </c>
      <c r="I46" s="1" t="s">
        <v>45</v>
      </c>
      <c r="J46" s="1" t="s">
        <v>45</v>
      </c>
      <c r="K46" s="11">
        <v>45904</v>
      </c>
      <c r="L46" s="1" t="s">
        <v>82</v>
      </c>
      <c r="M46" s="1">
        <v>667.5</v>
      </c>
      <c r="N46" s="1" t="s">
        <v>56</v>
      </c>
      <c r="O46" s="1">
        <v>100</v>
      </c>
      <c r="P46" s="1" t="s">
        <v>43</v>
      </c>
      <c r="Q46" s="1">
        <v>1103</v>
      </c>
      <c r="R46" s="1">
        <v>10</v>
      </c>
      <c r="S46" s="1">
        <v>4500862990</v>
      </c>
      <c r="T46" s="1" t="s">
        <v>152</v>
      </c>
      <c r="U46" s="1" t="s">
        <v>301</v>
      </c>
      <c r="V46" s="1" t="s">
        <v>70</v>
      </c>
      <c r="W46" s="1" t="s">
        <v>89</v>
      </c>
      <c r="X46" s="1" t="s">
        <v>59</v>
      </c>
      <c r="Y46" s="1">
        <v>0</v>
      </c>
      <c r="Z46" s="1" t="s">
        <v>50</v>
      </c>
      <c r="AA46" s="1" t="s">
        <v>90</v>
      </c>
      <c r="AB46" s="1" t="s">
        <v>61</v>
      </c>
      <c r="AC46" s="1"/>
      <c r="AD46" s="1" t="s">
        <v>52</v>
      </c>
      <c r="AE46" s="1"/>
      <c r="AF46" s="1">
        <v>46134</v>
      </c>
      <c r="AG46" s="1">
        <v>46134</v>
      </c>
      <c r="AH46" s="1">
        <v>46135</v>
      </c>
      <c r="AI46" s="1">
        <v>0</v>
      </c>
      <c r="AJ46" s="1">
        <v>25.82</v>
      </c>
      <c r="AK46" s="1" t="s">
        <v>46</v>
      </c>
      <c r="AL46" s="1">
        <v>258.2</v>
      </c>
      <c r="AM46" s="1" t="s">
        <v>309</v>
      </c>
      <c r="AN46" s="1">
        <v>2022617</v>
      </c>
      <c r="AO46" s="1"/>
      <c r="AP46" s="12" t="s">
        <v>310</v>
      </c>
      <c r="AQ46" s="13">
        <v>-3</v>
      </c>
      <c r="AR46" s="1" t="s">
        <v>53</v>
      </c>
      <c r="AS46" s="1" t="s">
        <v>54</v>
      </c>
    </row>
    <row r="47" spans="1:49" x14ac:dyDescent="0.35">
      <c r="A47" s="11">
        <v>46134</v>
      </c>
      <c r="B47" s="1" t="s">
        <v>311</v>
      </c>
      <c r="C47" s="1" t="s">
        <v>42</v>
      </c>
      <c r="D47" s="1">
        <v>14077305</v>
      </c>
      <c r="E47" s="1" t="s">
        <v>312</v>
      </c>
      <c r="F47" s="1">
        <v>20</v>
      </c>
      <c r="G47" s="1" t="s">
        <v>43</v>
      </c>
      <c r="H47" s="1" t="s">
        <v>44</v>
      </c>
      <c r="I47" s="1" t="s">
        <v>45</v>
      </c>
      <c r="J47" s="1" t="s">
        <v>45</v>
      </c>
      <c r="K47" s="11">
        <v>46118</v>
      </c>
      <c r="L47" s="1" t="s">
        <v>82</v>
      </c>
      <c r="M47" s="1">
        <v>0.41</v>
      </c>
      <c r="N47" s="1" t="s">
        <v>56</v>
      </c>
      <c r="O47" s="1">
        <v>1</v>
      </c>
      <c r="P47" s="1" t="s">
        <v>43</v>
      </c>
      <c r="Q47" s="1">
        <v>1207</v>
      </c>
      <c r="R47" s="1">
        <v>2</v>
      </c>
      <c r="S47" s="1">
        <v>4500898939</v>
      </c>
      <c r="T47" s="1" t="s">
        <v>152</v>
      </c>
      <c r="U47" s="1" t="s">
        <v>269</v>
      </c>
      <c r="V47" s="1" t="s">
        <v>70</v>
      </c>
      <c r="W47" s="1" t="s">
        <v>84</v>
      </c>
      <c r="X47" s="1" t="s">
        <v>49</v>
      </c>
      <c r="Y47" s="1">
        <v>0</v>
      </c>
      <c r="Z47" s="1" t="s">
        <v>50</v>
      </c>
      <c r="AA47" s="1" t="s">
        <v>87</v>
      </c>
      <c r="AB47" s="1" t="s">
        <v>61</v>
      </c>
      <c r="AC47" s="1"/>
      <c r="AD47" s="1" t="s">
        <v>52</v>
      </c>
      <c r="AE47" s="1"/>
      <c r="AF47" s="1">
        <v>46134</v>
      </c>
      <c r="AG47" s="1">
        <v>46134</v>
      </c>
      <c r="AH47" s="1">
        <v>46135</v>
      </c>
      <c r="AI47" s="1">
        <v>0</v>
      </c>
      <c r="AJ47" s="1">
        <v>1.86</v>
      </c>
      <c r="AK47" s="1" t="s">
        <v>46</v>
      </c>
      <c r="AL47" s="1">
        <v>37.200000000000003</v>
      </c>
      <c r="AM47" s="1" t="s">
        <v>313</v>
      </c>
      <c r="AN47" s="1">
        <v>4214725</v>
      </c>
      <c r="AO47" s="1"/>
      <c r="AP47" s="12" t="s">
        <v>314</v>
      </c>
      <c r="AQ47" s="13">
        <v>-3</v>
      </c>
      <c r="AR47" s="1" t="s">
        <v>53</v>
      </c>
      <c r="AS47" s="1" t="s">
        <v>54</v>
      </c>
    </row>
    <row r="48" spans="1:49" x14ac:dyDescent="0.35">
      <c r="A48" s="35">
        <v>46106</v>
      </c>
      <c r="B48" s="36" t="s">
        <v>119</v>
      </c>
      <c r="C48" s="36" t="s">
        <v>42</v>
      </c>
      <c r="D48" s="36">
        <v>14070752</v>
      </c>
      <c r="E48" s="36" t="s">
        <v>120</v>
      </c>
      <c r="F48" s="36">
        <v>7</v>
      </c>
      <c r="G48" s="36" t="s">
        <v>43</v>
      </c>
      <c r="H48" s="36" t="s">
        <v>44</v>
      </c>
      <c r="I48" s="36" t="s">
        <v>45</v>
      </c>
      <c r="J48" s="36" t="s">
        <v>45</v>
      </c>
      <c r="K48" s="36"/>
      <c r="L48" s="36"/>
      <c r="M48" s="36"/>
      <c r="N48" s="36"/>
      <c r="O48" s="36"/>
      <c r="P48" s="36"/>
      <c r="Q48" s="36"/>
      <c r="R48" s="36"/>
      <c r="S48" s="36"/>
      <c r="T48" s="36" t="s">
        <v>98</v>
      </c>
      <c r="U48" s="36" t="s">
        <v>109</v>
      </c>
      <c r="V48" s="36" t="s">
        <v>70</v>
      </c>
      <c r="W48" s="36" t="s">
        <v>84</v>
      </c>
      <c r="X48" s="36" t="s">
        <v>49</v>
      </c>
      <c r="Y48" s="36">
        <v>0</v>
      </c>
      <c r="Z48" s="36" t="s">
        <v>50</v>
      </c>
      <c r="AA48" s="36" t="s">
        <v>87</v>
      </c>
      <c r="AB48" s="36" t="s">
        <v>61</v>
      </c>
      <c r="AC48" s="36"/>
      <c r="AD48" s="36" t="s">
        <v>52</v>
      </c>
      <c r="AE48" s="36"/>
      <c r="AF48" s="36">
        <v>46106</v>
      </c>
      <c r="AG48" s="36">
        <v>46106</v>
      </c>
      <c r="AH48" s="36">
        <v>46107</v>
      </c>
      <c r="AI48" s="36">
        <v>0</v>
      </c>
      <c r="AJ48" s="36">
        <v>155.47999999999999</v>
      </c>
      <c r="AK48" s="36" t="s">
        <v>46</v>
      </c>
      <c r="AL48" s="36">
        <v>1088.3599999999999</v>
      </c>
      <c r="AM48" s="36" t="s">
        <v>121</v>
      </c>
      <c r="AN48" s="36">
        <v>4211794</v>
      </c>
      <c r="AO48" s="36" t="s">
        <v>446</v>
      </c>
      <c r="AP48" s="37" t="s">
        <v>122</v>
      </c>
      <c r="AQ48" s="38">
        <v>-31</v>
      </c>
      <c r="AR48" s="36" t="s">
        <v>53</v>
      </c>
      <c r="AS48" s="36" t="s">
        <v>54</v>
      </c>
    </row>
    <row r="49" spans="1:49" x14ac:dyDescent="0.35">
      <c r="A49" s="35">
        <v>46106</v>
      </c>
      <c r="B49" s="36" t="s">
        <v>123</v>
      </c>
      <c r="C49" s="36" t="s">
        <v>42</v>
      </c>
      <c r="D49" s="36">
        <v>14070752</v>
      </c>
      <c r="E49" s="36" t="s">
        <v>120</v>
      </c>
      <c r="F49" s="36">
        <v>6</v>
      </c>
      <c r="G49" s="36" t="s">
        <v>43</v>
      </c>
      <c r="H49" s="36" t="s">
        <v>44</v>
      </c>
      <c r="I49" s="36" t="s">
        <v>45</v>
      </c>
      <c r="J49" s="36" t="s">
        <v>45</v>
      </c>
      <c r="K49" s="36"/>
      <c r="L49" s="36"/>
      <c r="M49" s="36"/>
      <c r="N49" s="36"/>
      <c r="O49" s="36"/>
      <c r="P49" s="36"/>
      <c r="Q49" s="36"/>
      <c r="R49" s="36"/>
      <c r="S49" s="36"/>
      <c r="T49" s="36" t="s">
        <v>98</v>
      </c>
      <c r="U49" s="36" t="s">
        <v>109</v>
      </c>
      <c r="V49" s="36" t="s">
        <v>70</v>
      </c>
      <c r="W49" s="36" t="s">
        <v>84</v>
      </c>
      <c r="X49" s="36" t="s">
        <v>49</v>
      </c>
      <c r="Y49" s="36">
        <v>0</v>
      </c>
      <c r="Z49" s="36" t="s">
        <v>50</v>
      </c>
      <c r="AA49" s="36" t="s">
        <v>87</v>
      </c>
      <c r="AB49" s="36" t="s">
        <v>61</v>
      </c>
      <c r="AC49" s="36"/>
      <c r="AD49" s="36" t="s">
        <v>52</v>
      </c>
      <c r="AE49" s="36"/>
      <c r="AF49" s="36">
        <v>46106</v>
      </c>
      <c r="AG49" s="36">
        <v>46106</v>
      </c>
      <c r="AH49" s="36">
        <v>46107</v>
      </c>
      <c r="AI49" s="36">
        <v>0</v>
      </c>
      <c r="AJ49" s="36">
        <v>155.47999999999999</v>
      </c>
      <c r="AK49" s="36" t="s">
        <v>46</v>
      </c>
      <c r="AL49" s="36">
        <v>932.88</v>
      </c>
      <c r="AM49" s="36" t="s">
        <v>124</v>
      </c>
      <c r="AN49" s="36">
        <v>4211794</v>
      </c>
      <c r="AO49" s="36" t="s">
        <v>446</v>
      </c>
      <c r="AP49" s="37" t="s">
        <v>125</v>
      </c>
      <c r="AQ49" s="38">
        <v>-31</v>
      </c>
      <c r="AR49" s="36" t="s">
        <v>53</v>
      </c>
      <c r="AS49" s="36" t="s">
        <v>54</v>
      </c>
    </row>
    <row r="50" spans="1:49" s="56" customFormat="1" x14ac:dyDescent="0.35">
      <c r="A50" s="39">
        <v>46135</v>
      </c>
      <c r="B50" s="40" t="s">
        <v>351</v>
      </c>
      <c r="C50" s="40" t="s">
        <v>42</v>
      </c>
      <c r="D50" s="40">
        <v>14086338</v>
      </c>
      <c r="E50" s="40" t="s">
        <v>352</v>
      </c>
      <c r="F50" s="40">
        <v>2</v>
      </c>
      <c r="G50" s="40" t="s">
        <v>43</v>
      </c>
      <c r="H50" s="40" t="s">
        <v>44</v>
      </c>
      <c r="I50" s="40" t="s">
        <v>45</v>
      </c>
      <c r="J50" s="40" t="s">
        <v>45</v>
      </c>
      <c r="K50" s="39">
        <v>46118</v>
      </c>
      <c r="L50" s="40" t="s">
        <v>80</v>
      </c>
      <c r="M50" s="40">
        <v>19.41</v>
      </c>
      <c r="N50" s="40" t="s">
        <v>56</v>
      </c>
      <c r="O50" s="40">
        <v>1</v>
      </c>
      <c r="P50" s="40" t="s">
        <v>43</v>
      </c>
      <c r="Q50" s="40">
        <v>1207</v>
      </c>
      <c r="R50" s="40">
        <v>2</v>
      </c>
      <c r="S50" s="40">
        <v>4500898953</v>
      </c>
      <c r="T50" s="40" t="s">
        <v>98</v>
      </c>
      <c r="U50" s="40" t="s">
        <v>144</v>
      </c>
      <c r="V50" s="40" t="s">
        <v>70</v>
      </c>
      <c r="W50" s="40" t="s">
        <v>84</v>
      </c>
      <c r="X50" s="40" t="s">
        <v>49</v>
      </c>
      <c r="Y50" s="40">
        <v>0</v>
      </c>
      <c r="Z50" s="40" t="s">
        <v>50</v>
      </c>
      <c r="AA50" s="40" t="s">
        <v>87</v>
      </c>
      <c r="AB50" s="40" t="s">
        <v>61</v>
      </c>
      <c r="AC50" s="40"/>
      <c r="AD50" s="40" t="s">
        <v>52</v>
      </c>
      <c r="AE50" s="40"/>
      <c r="AF50" s="40">
        <v>46135</v>
      </c>
      <c r="AG50" s="40">
        <v>46135</v>
      </c>
      <c r="AH50" s="40">
        <v>46136</v>
      </c>
      <c r="AI50" s="40">
        <v>0</v>
      </c>
      <c r="AJ50" s="40">
        <v>69.86</v>
      </c>
      <c r="AK50" s="40" t="s">
        <v>46</v>
      </c>
      <c r="AL50" s="40">
        <v>139.72</v>
      </c>
      <c r="AM50" s="40" t="s">
        <v>353</v>
      </c>
      <c r="AN50" s="40">
        <v>4214645</v>
      </c>
      <c r="AO50" s="40"/>
      <c r="AP50" s="41" t="s">
        <v>354</v>
      </c>
      <c r="AQ50" s="42">
        <v>-2</v>
      </c>
      <c r="AR50" s="40" t="s">
        <v>53</v>
      </c>
      <c r="AS50" s="40" t="s">
        <v>54</v>
      </c>
      <c r="AT50" s="63"/>
      <c r="AU50" s="55"/>
      <c r="AV50" s="55"/>
      <c r="AW50" s="55"/>
    </row>
    <row r="51" spans="1:49" x14ac:dyDescent="0.35">
      <c r="A51" s="11">
        <v>46120</v>
      </c>
      <c r="B51" s="1" t="s">
        <v>170</v>
      </c>
      <c r="C51" s="1" t="s">
        <v>42</v>
      </c>
      <c r="D51" s="1">
        <v>14082173</v>
      </c>
      <c r="E51" s="1" t="s">
        <v>171</v>
      </c>
      <c r="F51" s="1">
        <v>1</v>
      </c>
      <c r="G51" s="1" t="s">
        <v>43</v>
      </c>
      <c r="H51" s="1" t="s">
        <v>44</v>
      </c>
      <c r="I51" s="1" t="s">
        <v>45</v>
      </c>
      <c r="J51" s="1" t="s">
        <v>45</v>
      </c>
      <c r="K51" s="1"/>
      <c r="L51" s="1"/>
      <c r="M51" s="1"/>
      <c r="N51" s="1"/>
      <c r="O51" s="1"/>
      <c r="P51" s="1"/>
      <c r="Q51" s="1"/>
      <c r="R51" s="1"/>
      <c r="S51" s="1"/>
      <c r="T51" s="1" t="s">
        <v>98</v>
      </c>
      <c r="U51" s="1" t="s">
        <v>134</v>
      </c>
      <c r="V51" s="1" t="s">
        <v>70</v>
      </c>
      <c r="W51" s="1" t="s">
        <v>84</v>
      </c>
      <c r="X51" s="1" t="s">
        <v>49</v>
      </c>
      <c r="Y51" s="1">
        <v>0</v>
      </c>
      <c r="Z51" s="1" t="s">
        <v>50</v>
      </c>
      <c r="AA51" s="1" t="s">
        <v>87</v>
      </c>
      <c r="AB51" s="1" t="s">
        <v>61</v>
      </c>
      <c r="AC51" s="1"/>
      <c r="AD51" s="1" t="s">
        <v>52</v>
      </c>
      <c r="AE51" s="1"/>
      <c r="AF51" s="1">
        <v>46120</v>
      </c>
      <c r="AG51" s="1">
        <v>46120</v>
      </c>
      <c r="AH51" s="1">
        <v>46121</v>
      </c>
      <c r="AI51" s="1">
        <v>29</v>
      </c>
      <c r="AJ51" s="1">
        <v>13.66</v>
      </c>
      <c r="AK51" s="1" t="s">
        <v>46</v>
      </c>
      <c r="AL51" s="1">
        <v>13.66</v>
      </c>
      <c r="AM51" s="1" t="s">
        <v>172</v>
      </c>
      <c r="AN51" s="1">
        <v>4214531</v>
      </c>
      <c r="AO51" s="1"/>
      <c r="AP51" s="12" t="s">
        <v>173</v>
      </c>
      <c r="AQ51" s="13">
        <v>-17</v>
      </c>
      <c r="AR51" s="1" t="s">
        <v>53</v>
      </c>
      <c r="AS51" s="1" t="s">
        <v>54</v>
      </c>
    </row>
    <row r="52" spans="1:49" x14ac:dyDescent="0.35">
      <c r="A52" s="11">
        <v>46127</v>
      </c>
      <c r="B52" s="1" t="s">
        <v>232</v>
      </c>
      <c r="C52" s="1" t="s">
        <v>81</v>
      </c>
      <c r="D52" s="1">
        <v>14079384</v>
      </c>
      <c r="E52" s="1" t="s">
        <v>233</v>
      </c>
      <c r="F52" s="1">
        <v>12</v>
      </c>
      <c r="G52" s="1" t="s">
        <v>43</v>
      </c>
      <c r="H52" s="1" t="s">
        <v>44</v>
      </c>
      <c r="I52" s="1" t="s">
        <v>45</v>
      </c>
      <c r="J52" s="1" t="s">
        <v>45</v>
      </c>
      <c r="K52" s="11">
        <v>46071</v>
      </c>
      <c r="L52" s="1" t="s">
        <v>82</v>
      </c>
      <c r="M52" s="1">
        <v>6.3</v>
      </c>
      <c r="N52" s="1" t="s">
        <v>56</v>
      </c>
      <c r="O52" s="1">
        <v>1</v>
      </c>
      <c r="P52" s="1" t="s">
        <v>43</v>
      </c>
      <c r="Q52" s="1">
        <v>1207</v>
      </c>
      <c r="R52" s="1">
        <v>2</v>
      </c>
      <c r="S52" s="1">
        <v>4500891475</v>
      </c>
      <c r="T52" s="1" t="s">
        <v>98</v>
      </c>
      <c r="U52" s="1" t="s">
        <v>84</v>
      </c>
      <c r="V52" s="1" t="s">
        <v>47</v>
      </c>
      <c r="W52" s="1" t="s">
        <v>84</v>
      </c>
      <c r="X52" s="1" t="s">
        <v>49</v>
      </c>
      <c r="Y52" s="1">
        <v>0</v>
      </c>
      <c r="Z52" s="1" t="s">
        <v>50</v>
      </c>
      <c r="AA52" s="1" t="s">
        <v>96</v>
      </c>
      <c r="AB52" s="1" t="s">
        <v>83</v>
      </c>
      <c r="AC52" s="1"/>
      <c r="AD52" s="1" t="s">
        <v>52</v>
      </c>
      <c r="AE52" s="1"/>
      <c r="AF52" s="1">
        <v>46135</v>
      </c>
      <c r="AG52" s="1">
        <v>46127</v>
      </c>
      <c r="AH52" s="1">
        <v>46164</v>
      </c>
      <c r="AI52" s="1">
        <v>29</v>
      </c>
      <c r="AJ52" s="1">
        <v>13.32</v>
      </c>
      <c r="AK52" s="1" t="s">
        <v>46</v>
      </c>
      <c r="AL52" s="1">
        <v>159.84</v>
      </c>
      <c r="AM52" s="1"/>
      <c r="AN52" s="1"/>
      <c r="AO52" s="1"/>
      <c r="AP52" s="12" t="s">
        <v>234</v>
      </c>
      <c r="AQ52" s="13">
        <v>-10</v>
      </c>
      <c r="AR52" s="1" t="s">
        <v>53</v>
      </c>
      <c r="AS52" s="1" t="s">
        <v>54</v>
      </c>
    </row>
    <row r="53" spans="1:49" x14ac:dyDescent="0.35">
      <c r="A53" s="11">
        <v>46131</v>
      </c>
      <c r="B53" s="1" t="s">
        <v>253</v>
      </c>
      <c r="C53" s="1" t="s">
        <v>42</v>
      </c>
      <c r="D53" s="1">
        <v>14089502</v>
      </c>
      <c r="E53" s="1" t="s">
        <v>254</v>
      </c>
      <c r="F53" s="1">
        <v>1</v>
      </c>
      <c r="G53" s="1" t="s">
        <v>43</v>
      </c>
      <c r="H53" s="1" t="s">
        <v>44</v>
      </c>
      <c r="I53" s="1" t="s">
        <v>45</v>
      </c>
      <c r="J53" s="1" t="s">
        <v>45</v>
      </c>
      <c r="K53" s="11">
        <v>46071</v>
      </c>
      <c r="L53" s="1" t="s">
        <v>82</v>
      </c>
      <c r="M53" s="1">
        <v>7</v>
      </c>
      <c r="N53" s="1" t="s">
        <v>56</v>
      </c>
      <c r="O53" s="1">
        <v>1</v>
      </c>
      <c r="P53" s="1" t="s">
        <v>43</v>
      </c>
      <c r="Q53" s="1">
        <v>1207</v>
      </c>
      <c r="R53" s="1">
        <v>9</v>
      </c>
      <c r="S53" s="1">
        <v>4500891475</v>
      </c>
      <c r="T53" s="1" t="s">
        <v>98</v>
      </c>
      <c r="U53" s="1" t="s">
        <v>86</v>
      </c>
      <c r="V53" s="1" t="s">
        <v>70</v>
      </c>
      <c r="W53" s="1" t="s">
        <v>84</v>
      </c>
      <c r="X53" s="1" t="s">
        <v>49</v>
      </c>
      <c r="Y53" s="1">
        <v>0</v>
      </c>
      <c r="Z53" s="1" t="s">
        <v>50</v>
      </c>
      <c r="AA53" s="1" t="s">
        <v>85</v>
      </c>
      <c r="AB53" s="1" t="s">
        <v>61</v>
      </c>
      <c r="AC53" s="1"/>
      <c r="AD53" s="1" t="s">
        <v>52</v>
      </c>
      <c r="AE53" s="1"/>
      <c r="AF53" s="1">
        <v>46131</v>
      </c>
      <c r="AG53" s="1">
        <v>46131</v>
      </c>
      <c r="AH53" s="1">
        <v>46132</v>
      </c>
      <c r="AI53" s="1">
        <v>0</v>
      </c>
      <c r="AJ53" s="1">
        <v>20.95</v>
      </c>
      <c r="AK53" s="1" t="s">
        <v>46</v>
      </c>
      <c r="AL53" s="1">
        <v>20.95</v>
      </c>
      <c r="AM53" s="1" t="s">
        <v>255</v>
      </c>
      <c r="AN53" s="1">
        <v>4211058</v>
      </c>
      <c r="AO53" s="1"/>
      <c r="AP53" s="12" t="s">
        <v>256</v>
      </c>
      <c r="AQ53" s="13">
        <v>-6</v>
      </c>
      <c r="AR53" s="1" t="s">
        <v>53</v>
      </c>
      <c r="AS53" s="1" t="s">
        <v>54</v>
      </c>
    </row>
    <row r="54" spans="1:49" x14ac:dyDescent="0.35">
      <c r="A54" s="11">
        <v>46132</v>
      </c>
      <c r="B54" s="1" t="s">
        <v>257</v>
      </c>
      <c r="C54" s="1" t="s">
        <v>42</v>
      </c>
      <c r="D54" s="1">
        <v>14082173</v>
      </c>
      <c r="E54" s="1" t="s">
        <v>171</v>
      </c>
      <c r="F54" s="1">
        <v>3</v>
      </c>
      <c r="G54" s="1" t="s">
        <v>43</v>
      </c>
      <c r="H54" s="1" t="s">
        <v>92</v>
      </c>
      <c r="I54" s="1" t="s">
        <v>45</v>
      </c>
      <c r="J54" s="1" t="s">
        <v>45</v>
      </c>
      <c r="K54" s="1"/>
      <c r="L54" s="1"/>
      <c r="M54" s="1"/>
      <c r="N54" s="1"/>
      <c r="O54" s="1"/>
      <c r="P54" s="1"/>
      <c r="Q54" s="1"/>
      <c r="R54" s="1"/>
      <c r="S54" s="1"/>
      <c r="T54" s="1" t="s">
        <v>98</v>
      </c>
      <c r="U54" s="1" t="s">
        <v>226</v>
      </c>
      <c r="V54" s="1" t="s">
        <v>104</v>
      </c>
      <c r="W54" s="1" t="s">
        <v>93</v>
      </c>
      <c r="X54" s="1" t="s">
        <v>59</v>
      </c>
      <c r="Y54" s="1">
        <v>0</v>
      </c>
      <c r="Z54" s="1" t="s">
        <v>50</v>
      </c>
      <c r="AA54" s="1" t="s">
        <v>94</v>
      </c>
      <c r="AB54" s="1" t="s">
        <v>61</v>
      </c>
      <c r="AC54" s="1"/>
      <c r="AD54" s="1" t="s">
        <v>52</v>
      </c>
      <c r="AE54" s="1"/>
      <c r="AF54" s="1">
        <v>46132</v>
      </c>
      <c r="AG54" s="1">
        <v>46132</v>
      </c>
      <c r="AH54" s="1">
        <v>46133</v>
      </c>
      <c r="AI54" s="1">
        <v>29</v>
      </c>
      <c r="AJ54" s="1">
        <v>13.61</v>
      </c>
      <c r="AK54" s="1" t="s">
        <v>46</v>
      </c>
      <c r="AL54" s="1">
        <v>40.83</v>
      </c>
      <c r="AM54" s="1" t="s">
        <v>258</v>
      </c>
      <c r="AN54" s="1">
        <v>2021885</v>
      </c>
      <c r="AO54" s="1"/>
      <c r="AP54" s="12" t="s">
        <v>259</v>
      </c>
      <c r="AQ54" s="13">
        <v>-5</v>
      </c>
      <c r="AR54" s="1" t="s">
        <v>53</v>
      </c>
      <c r="AS54" s="1" t="s">
        <v>54</v>
      </c>
    </row>
    <row r="55" spans="1:49" s="56" customFormat="1" x14ac:dyDescent="0.35">
      <c r="A55" s="39">
        <v>46140</v>
      </c>
      <c r="B55" s="40" t="s">
        <v>464</v>
      </c>
      <c r="C55" s="40" t="s">
        <v>81</v>
      </c>
      <c r="D55" s="40">
        <v>14076051</v>
      </c>
      <c r="E55" s="40" t="s">
        <v>465</v>
      </c>
      <c r="F55" s="40">
        <v>12</v>
      </c>
      <c r="G55" s="40" t="s">
        <v>43</v>
      </c>
      <c r="H55" s="40" t="s">
        <v>44</v>
      </c>
      <c r="I55" s="40" t="s">
        <v>45</v>
      </c>
      <c r="J55" s="40" t="s">
        <v>45</v>
      </c>
      <c r="K55" s="39">
        <v>46058</v>
      </c>
      <c r="L55" s="40" t="s">
        <v>80</v>
      </c>
      <c r="M55" s="40">
        <v>1</v>
      </c>
      <c r="N55" s="40" t="s">
        <v>56</v>
      </c>
      <c r="O55" s="40">
        <v>1</v>
      </c>
      <c r="P55" s="40" t="s">
        <v>43</v>
      </c>
      <c r="Q55" s="40">
        <v>1207</v>
      </c>
      <c r="R55" s="40">
        <v>12</v>
      </c>
      <c r="S55" s="40">
        <v>4500889644</v>
      </c>
      <c r="T55" s="40" t="s">
        <v>98</v>
      </c>
      <c r="U55" s="40" t="s">
        <v>84</v>
      </c>
      <c r="V55" s="40" t="s">
        <v>47</v>
      </c>
      <c r="W55" s="40" t="s">
        <v>84</v>
      </c>
      <c r="X55" s="40" t="s">
        <v>49</v>
      </c>
      <c r="Y55" s="40">
        <v>0</v>
      </c>
      <c r="Z55" s="40" t="s">
        <v>50</v>
      </c>
      <c r="AA55" s="40" t="s">
        <v>96</v>
      </c>
      <c r="AB55" s="40" t="s">
        <v>83</v>
      </c>
      <c r="AC55" s="40"/>
      <c r="AD55" s="40" t="s">
        <v>52</v>
      </c>
      <c r="AE55" s="40"/>
      <c r="AF55" s="40">
        <v>46140</v>
      </c>
      <c r="AG55" s="40">
        <v>46140</v>
      </c>
      <c r="AH55" s="40">
        <v>46169</v>
      </c>
      <c r="AI55" s="40">
        <v>29</v>
      </c>
      <c r="AJ55" s="40">
        <v>3.62</v>
      </c>
      <c r="AK55" s="40" t="s">
        <v>46</v>
      </c>
      <c r="AL55" s="40">
        <v>43.44</v>
      </c>
      <c r="AM55" s="40"/>
      <c r="AN55" s="40"/>
      <c r="AO55" s="40"/>
      <c r="AP55" s="41" t="s">
        <v>466</v>
      </c>
      <c r="AQ55" s="42">
        <v>3</v>
      </c>
      <c r="AR55" s="40" t="s">
        <v>62</v>
      </c>
      <c r="AS55" s="40" t="s">
        <v>54</v>
      </c>
      <c r="AT55" s="63"/>
      <c r="AU55" s="55"/>
      <c r="AV55" s="55"/>
      <c r="AW55" s="55"/>
    </row>
    <row r="56" spans="1:49" s="56" customFormat="1" x14ac:dyDescent="0.35">
      <c r="A56" s="39">
        <v>46122</v>
      </c>
      <c r="B56" s="40" t="s">
        <v>182</v>
      </c>
      <c r="C56" s="40" t="s">
        <v>81</v>
      </c>
      <c r="D56" s="40">
        <v>14079295</v>
      </c>
      <c r="E56" s="40" t="s">
        <v>183</v>
      </c>
      <c r="F56" s="40">
        <v>400</v>
      </c>
      <c r="G56" s="40" t="s">
        <v>43</v>
      </c>
      <c r="H56" s="40" t="s">
        <v>44</v>
      </c>
      <c r="I56" s="40" t="s">
        <v>45</v>
      </c>
      <c r="J56" s="40" t="s">
        <v>45</v>
      </c>
      <c r="K56" s="39">
        <v>46091</v>
      </c>
      <c r="L56" s="40" t="s">
        <v>80</v>
      </c>
      <c r="M56" s="40">
        <v>5.86</v>
      </c>
      <c r="N56" s="40" t="s">
        <v>56</v>
      </c>
      <c r="O56" s="40">
        <v>300</v>
      </c>
      <c r="P56" s="40" t="s">
        <v>43</v>
      </c>
      <c r="Q56" s="40">
        <v>1207</v>
      </c>
      <c r="R56" s="40">
        <v>300</v>
      </c>
      <c r="S56" s="40">
        <v>4500894964</v>
      </c>
      <c r="T56" s="40" t="s">
        <v>108</v>
      </c>
      <c r="U56" s="40" t="s">
        <v>84</v>
      </c>
      <c r="V56" s="40" t="s">
        <v>47</v>
      </c>
      <c r="W56" s="40" t="s">
        <v>84</v>
      </c>
      <c r="X56" s="40" t="s">
        <v>49</v>
      </c>
      <c r="Y56" s="40">
        <v>0</v>
      </c>
      <c r="Z56" s="40" t="s">
        <v>194</v>
      </c>
      <c r="AA56" s="40" t="s">
        <v>96</v>
      </c>
      <c r="AB56" s="40" t="s">
        <v>83</v>
      </c>
      <c r="AC56" s="40"/>
      <c r="AD56" s="40" t="s">
        <v>52</v>
      </c>
      <c r="AE56" s="40"/>
      <c r="AF56" s="40">
        <v>46127</v>
      </c>
      <c r="AG56" s="40">
        <v>46122</v>
      </c>
      <c r="AH56" s="40">
        <v>46156</v>
      </c>
      <c r="AI56" s="40">
        <v>29</v>
      </c>
      <c r="AJ56" s="40">
        <v>7.0000000000000007E-2</v>
      </c>
      <c r="AK56" s="40" t="s">
        <v>46</v>
      </c>
      <c r="AL56" s="40">
        <v>28</v>
      </c>
      <c r="AM56" s="40"/>
      <c r="AN56" s="40"/>
      <c r="AO56" s="40"/>
      <c r="AP56" s="41" t="s">
        <v>184</v>
      </c>
      <c r="AQ56" s="42">
        <v>-15</v>
      </c>
      <c r="AR56" s="40" t="s">
        <v>53</v>
      </c>
      <c r="AS56" s="40" t="s">
        <v>54</v>
      </c>
      <c r="AT56" s="63"/>
      <c r="AU56" s="55"/>
      <c r="AV56" s="55"/>
      <c r="AW56" s="55"/>
    </row>
    <row r="57" spans="1:49" x14ac:dyDescent="0.35">
      <c r="A57" s="11">
        <v>46137</v>
      </c>
      <c r="B57" s="1" t="s">
        <v>419</v>
      </c>
      <c r="C57" s="1" t="s">
        <v>42</v>
      </c>
      <c r="D57" s="1">
        <v>14092511</v>
      </c>
      <c r="E57" s="1" t="s">
        <v>352</v>
      </c>
      <c r="F57" s="1">
        <v>1</v>
      </c>
      <c r="G57" s="1" t="s">
        <v>43</v>
      </c>
      <c r="H57" s="1" t="s">
        <v>44</v>
      </c>
      <c r="I57" s="1" t="s">
        <v>45</v>
      </c>
      <c r="J57" s="1" t="s">
        <v>45</v>
      </c>
      <c r="K57" s="1"/>
      <c r="L57" s="1"/>
      <c r="M57" s="1"/>
      <c r="N57" s="1"/>
      <c r="O57" s="1"/>
      <c r="P57" s="1"/>
      <c r="Q57" s="1"/>
      <c r="R57" s="1"/>
      <c r="S57" s="1"/>
      <c r="T57" s="1" t="s">
        <v>98</v>
      </c>
      <c r="U57" s="1" t="s">
        <v>144</v>
      </c>
      <c r="V57" s="1" t="s">
        <v>70</v>
      </c>
      <c r="W57" s="1" t="s">
        <v>84</v>
      </c>
      <c r="X57" s="1" t="s">
        <v>49</v>
      </c>
      <c r="Y57" s="1">
        <v>0</v>
      </c>
      <c r="Z57" s="1" t="s">
        <v>50</v>
      </c>
      <c r="AA57" s="1" t="s">
        <v>87</v>
      </c>
      <c r="AB57" s="1" t="s">
        <v>61</v>
      </c>
      <c r="AC57" s="1"/>
      <c r="AD57" s="1" t="s">
        <v>52</v>
      </c>
      <c r="AE57" s="1"/>
      <c r="AF57" s="1">
        <v>46137</v>
      </c>
      <c r="AG57" s="1">
        <v>46137</v>
      </c>
      <c r="AH57" s="1">
        <v>46138</v>
      </c>
      <c r="AI57" s="1">
        <v>0</v>
      </c>
      <c r="AJ57" s="1">
        <v>91.93</v>
      </c>
      <c r="AK57" s="1" t="s">
        <v>46</v>
      </c>
      <c r="AL57" s="1">
        <v>91.93</v>
      </c>
      <c r="AM57" s="1" t="s">
        <v>420</v>
      </c>
      <c r="AN57" s="1">
        <v>4214734</v>
      </c>
      <c r="AO57" s="1"/>
      <c r="AP57" s="12" t="s">
        <v>421</v>
      </c>
      <c r="AQ57" s="13">
        <v>0</v>
      </c>
      <c r="AR57" s="1" t="s">
        <v>62</v>
      </c>
      <c r="AS57" s="1" t="s">
        <v>54</v>
      </c>
    </row>
    <row r="58" spans="1:49" x14ac:dyDescent="0.35">
      <c r="A58" s="11">
        <v>46114</v>
      </c>
      <c r="B58" s="1" t="s">
        <v>155</v>
      </c>
      <c r="C58" s="1" t="s">
        <v>63</v>
      </c>
      <c r="D58" s="1">
        <v>14079477</v>
      </c>
      <c r="E58" s="1" t="s">
        <v>156</v>
      </c>
      <c r="F58" s="1">
        <v>10</v>
      </c>
      <c r="G58" s="1" t="s">
        <v>43</v>
      </c>
      <c r="H58" s="1" t="s">
        <v>44</v>
      </c>
      <c r="I58" s="1" t="s">
        <v>45</v>
      </c>
      <c r="J58" s="1" t="s">
        <v>45</v>
      </c>
      <c r="K58" s="11">
        <v>45978</v>
      </c>
      <c r="L58" s="1" t="s">
        <v>80</v>
      </c>
      <c r="M58" s="1">
        <v>574.13</v>
      </c>
      <c r="N58" s="1" t="s">
        <v>56</v>
      </c>
      <c r="O58" s="1">
        <v>100</v>
      </c>
      <c r="P58" s="1" t="s">
        <v>43</v>
      </c>
      <c r="Q58" s="1">
        <v>1208</v>
      </c>
      <c r="R58" s="1">
        <v>8</v>
      </c>
      <c r="S58" s="1">
        <v>4500874512</v>
      </c>
      <c r="T58" s="1" t="s">
        <v>98</v>
      </c>
      <c r="U58" s="1" t="s">
        <v>144</v>
      </c>
      <c r="V58" s="1" t="s">
        <v>70</v>
      </c>
      <c r="W58" s="1" t="s">
        <v>84</v>
      </c>
      <c r="X58" s="1" t="s">
        <v>49</v>
      </c>
      <c r="Y58" s="1">
        <v>0</v>
      </c>
      <c r="Z58" s="1" t="s">
        <v>50</v>
      </c>
      <c r="AA58" s="1" t="s">
        <v>87</v>
      </c>
      <c r="AB58" s="1" t="s">
        <v>61</v>
      </c>
      <c r="AC58" s="1"/>
      <c r="AD58" s="1" t="s">
        <v>52</v>
      </c>
      <c r="AE58" s="1"/>
      <c r="AF58" s="1">
        <v>46114</v>
      </c>
      <c r="AG58" s="1">
        <v>46114</v>
      </c>
      <c r="AH58" s="1">
        <v>46115</v>
      </c>
      <c r="AI58" s="1">
        <v>0</v>
      </c>
      <c r="AJ58" s="1">
        <v>23.33</v>
      </c>
      <c r="AK58" s="1" t="s">
        <v>46</v>
      </c>
      <c r="AL58" s="1">
        <v>233.3</v>
      </c>
      <c r="AM58" s="1" t="s">
        <v>157</v>
      </c>
      <c r="AN58" s="1">
        <v>4214639</v>
      </c>
      <c r="AO58" s="1"/>
      <c r="AP58" s="12" t="s">
        <v>158</v>
      </c>
      <c r="AQ58" s="13">
        <v>-23</v>
      </c>
      <c r="AR58" s="1" t="s">
        <v>53</v>
      </c>
      <c r="AS58" s="1" t="s">
        <v>54</v>
      </c>
    </row>
    <row r="59" spans="1:49" x14ac:dyDescent="0.35">
      <c r="A59" s="11">
        <v>46083</v>
      </c>
      <c r="B59" s="1" t="s">
        <v>99</v>
      </c>
      <c r="C59" s="1" t="s">
        <v>63</v>
      </c>
      <c r="D59" s="1">
        <v>14055145</v>
      </c>
      <c r="E59" s="1" t="s">
        <v>100</v>
      </c>
      <c r="F59" s="1">
        <v>200</v>
      </c>
      <c r="G59" s="1" t="s">
        <v>43</v>
      </c>
      <c r="H59" s="1" t="s">
        <v>75</v>
      </c>
      <c r="I59" s="1" t="s">
        <v>45</v>
      </c>
      <c r="J59" s="1" t="s">
        <v>45</v>
      </c>
      <c r="K59" s="11">
        <v>45877</v>
      </c>
      <c r="L59" s="1" t="s">
        <v>101</v>
      </c>
      <c r="M59" s="1">
        <v>30.69</v>
      </c>
      <c r="N59" s="1" t="s">
        <v>46</v>
      </c>
      <c r="O59" s="1">
        <v>1</v>
      </c>
      <c r="P59" s="1" t="s">
        <v>43</v>
      </c>
      <c r="Q59" s="1">
        <v>1611</v>
      </c>
      <c r="R59" s="1">
        <v>6</v>
      </c>
      <c r="S59" s="1">
        <v>4500857445</v>
      </c>
      <c r="T59" s="1" t="s">
        <v>102</v>
      </c>
      <c r="U59" s="1"/>
      <c r="V59" s="1" t="s">
        <v>47</v>
      </c>
      <c r="W59" s="1" t="s">
        <v>48</v>
      </c>
      <c r="X59" s="1" t="s">
        <v>103</v>
      </c>
      <c r="Y59" s="1">
        <v>0</v>
      </c>
      <c r="Z59" s="1" t="s">
        <v>194</v>
      </c>
      <c r="AA59" s="1"/>
      <c r="AB59" s="1" t="s">
        <v>51</v>
      </c>
      <c r="AC59" s="1"/>
      <c r="AD59" s="1" t="s">
        <v>52</v>
      </c>
      <c r="AE59" s="1"/>
      <c r="AF59" s="1">
        <v>46083</v>
      </c>
      <c r="AG59" s="1">
        <v>46083</v>
      </c>
      <c r="AH59" s="1">
        <v>46083</v>
      </c>
      <c r="AI59" s="1">
        <v>0</v>
      </c>
      <c r="AJ59" s="1">
        <v>20.440000000000001</v>
      </c>
      <c r="AK59" s="1" t="s">
        <v>46</v>
      </c>
      <c r="AL59" s="1">
        <v>4088</v>
      </c>
      <c r="AM59" s="1"/>
      <c r="AN59" s="1"/>
      <c r="AO59" s="1"/>
      <c r="AP59" s="12" t="s">
        <v>118</v>
      </c>
      <c r="AQ59" s="13">
        <v>-54</v>
      </c>
      <c r="AR59" s="1" t="s">
        <v>53</v>
      </c>
      <c r="AS59" s="1" t="s">
        <v>54</v>
      </c>
    </row>
    <row r="60" spans="1:49" x14ac:dyDescent="0.35">
      <c r="A60" s="11">
        <v>46118</v>
      </c>
      <c r="B60" s="1" t="s">
        <v>159</v>
      </c>
      <c r="C60" s="1" t="s">
        <v>64</v>
      </c>
      <c r="D60" s="1">
        <v>14043011</v>
      </c>
      <c r="E60" s="1" t="s">
        <v>160</v>
      </c>
      <c r="F60" s="1">
        <v>100</v>
      </c>
      <c r="G60" s="1" t="s">
        <v>43</v>
      </c>
      <c r="H60" s="1" t="s">
        <v>75</v>
      </c>
      <c r="I60" s="1" t="s">
        <v>45</v>
      </c>
      <c r="J60" s="1" t="s">
        <v>45</v>
      </c>
      <c r="K60" s="1" t="s">
        <v>508</v>
      </c>
      <c r="L60" s="1" t="s">
        <v>509</v>
      </c>
      <c r="M60" s="1">
        <v>2</v>
      </c>
      <c r="N60" s="1" t="s">
        <v>56</v>
      </c>
      <c r="O60" s="1">
        <v>1</v>
      </c>
      <c r="P60" s="1" t="s">
        <v>43</v>
      </c>
      <c r="Q60" s="1">
        <v>1601</v>
      </c>
      <c r="R60" s="1">
        <v>100</v>
      </c>
      <c r="S60" s="1">
        <v>4500828527</v>
      </c>
      <c r="T60" s="1" t="s">
        <v>102</v>
      </c>
      <c r="U60" s="1" t="s">
        <v>161</v>
      </c>
      <c r="V60" s="1" t="s">
        <v>162</v>
      </c>
      <c r="W60" s="1" t="s">
        <v>97</v>
      </c>
      <c r="X60" s="1" t="s">
        <v>103</v>
      </c>
      <c r="Y60" s="1">
        <v>0</v>
      </c>
      <c r="Z60" s="1" t="s">
        <v>194</v>
      </c>
      <c r="AA60" s="1" t="s">
        <v>78</v>
      </c>
      <c r="AB60" s="1" t="s">
        <v>51</v>
      </c>
      <c r="AC60" s="1"/>
      <c r="AD60" s="1" t="s">
        <v>52</v>
      </c>
      <c r="AE60" s="1"/>
      <c r="AF60" s="1">
        <v>46118</v>
      </c>
      <c r="AG60" s="1">
        <v>46118</v>
      </c>
      <c r="AH60" s="1">
        <v>46118</v>
      </c>
      <c r="AI60" s="1">
        <v>0</v>
      </c>
      <c r="AJ60" s="1">
        <v>7.43</v>
      </c>
      <c r="AK60" s="1" t="s">
        <v>46</v>
      </c>
      <c r="AL60" s="1">
        <v>743</v>
      </c>
      <c r="AM60" s="1"/>
      <c r="AN60" s="1"/>
      <c r="AO60" s="1"/>
      <c r="AP60" s="12" t="s">
        <v>163</v>
      </c>
      <c r="AQ60" s="13">
        <v>-19</v>
      </c>
      <c r="AR60" s="1" t="s">
        <v>53</v>
      </c>
      <c r="AS60" s="1" t="s">
        <v>54</v>
      </c>
    </row>
    <row r="61" spans="1:49" x14ac:dyDescent="0.35">
      <c r="A61" s="11">
        <v>46118</v>
      </c>
      <c r="B61" s="1" t="s">
        <v>159</v>
      </c>
      <c r="C61" s="1" t="s">
        <v>105</v>
      </c>
      <c r="D61" s="1">
        <v>14055145</v>
      </c>
      <c r="E61" s="1" t="s">
        <v>100</v>
      </c>
      <c r="F61" s="1">
        <v>200</v>
      </c>
      <c r="G61" s="1" t="s">
        <v>43</v>
      </c>
      <c r="H61" s="1" t="s">
        <v>75</v>
      </c>
      <c r="I61" s="1" t="s">
        <v>45</v>
      </c>
      <c r="J61" s="1" t="s">
        <v>45</v>
      </c>
      <c r="K61" s="11">
        <v>45877</v>
      </c>
      <c r="L61" s="1" t="s">
        <v>101</v>
      </c>
      <c r="M61" s="1">
        <v>30.69</v>
      </c>
      <c r="N61" s="1" t="s">
        <v>46</v>
      </c>
      <c r="O61" s="1">
        <v>1</v>
      </c>
      <c r="P61" s="1" t="s">
        <v>43</v>
      </c>
      <c r="Q61" s="1">
        <v>1611</v>
      </c>
      <c r="R61" s="1">
        <v>6</v>
      </c>
      <c r="S61" s="1">
        <v>4500857445</v>
      </c>
      <c r="T61" s="1" t="s">
        <v>102</v>
      </c>
      <c r="U61" s="1" t="s">
        <v>161</v>
      </c>
      <c r="V61" s="1" t="s">
        <v>162</v>
      </c>
      <c r="W61" s="1" t="s">
        <v>97</v>
      </c>
      <c r="X61" s="1" t="s">
        <v>103</v>
      </c>
      <c r="Y61" s="1">
        <v>0</v>
      </c>
      <c r="Z61" s="1" t="s">
        <v>194</v>
      </c>
      <c r="AA61" s="1"/>
      <c r="AB61" s="1" t="s">
        <v>51</v>
      </c>
      <c r="AC61" s="1"/>
      <c r="AD61" s="1" t="s">
        <v>52</v>
      </c>
      <c r="AE61" s="1"/>
      <c r="AF61" s="1">
        <v>46118</v>
      </c>
      <c r="AG61" s="1">
        <v>46118</v>
      </c>
      <c r="AH61" s="1">
        <v>46118</v>
      </c>
      <c r="AI61" s="1">
        <v>0</v>
      </c>
      <c r="AJ61" s="1">
        <v>20.440000000000001</v>
      </c>
      <c r="AK61" s="1" t="s">
        <v>46</v>
      </c>
      <c r="AL61" s="1">
        <v>4088</v>
      </c>
      <c r="AM61" s="1"/>
      <c r="AN61" s="1"/>
      <c r="AO61" s="1"/>
      <c r="AP61" s="12" t="s">
        <v>164</v>
      </c>
      <c r="AQ61" s="13">
        <v>-19</v>
      </c>
      <c r="AR61" s="1" t="s">
        <v>53</v>
      </c>
      <c r="AS61" s="1" t="s">
        <v>54</v>
      </c>
    </row>
    <row r="62" spans="1:49" x14ac:dyDescent="0.35">
      <c r="A62" s="11">
        <v>46139</v>
      </c>
      <c r="B62" s="1" t="s">
        <v>467</v>
      </c>
      <c r="C62" s="1" t="s">
        <v>105</v>
      </c>
      <c r="D62" s="1">
        <v>14055145</v>
      </c>
      <c r="E62" s="1" t="s">
        <v>100</v>
      </c>
      <c r="F62" s="1">
        <v>48</v>
      </c>
      <c r="G62" s="1" t="s">
        <v>43</v>
      </c>
      <c r="H62" s="1" t="s">
        <v>55</v>
      </c>
      <c r="I62" s="1" t="s">
        <v>45</v>
      </c>
      <c r="J62" s="1" t="s">
        <v>45</v>
      </c>
      <c r="K62" s="11">
        <v>45877</v>
      </c>
      <c r="L62" s="1" t="s">
        <v>101</v>
      </c>
      <c r="M62" s="1">
        <v>30.69</v>
      </c>
      <c r="N62" s="1" t="s">
        <v>46</v>
      </c>
      <c r="O62" s="1">
        <v>1</v>
      </c>
      <c r="P62" s="1" t="s">
        <v>43</v>
      </c>
      <c r="Q62" s="1">
        <v>1611</v>
      </c>
      <c r="R62" s="1">
        <v>6</v>
      </c>
      <c r="S62" s="1">
        <v>4500857445</v>
      </c>
      <c r="T62" s="1" t="s">
        <v>102</v>
      </c>
      <c r="U62" s="1" t="s">
        <v>468</v>
      </c>
      <c r="V62" s="1" t="s">
        <v>57</v>
      </c>
      <c r="W62" s="1" t="s">
        <v>97</v>
      </c>
      <c r="X62" s="1" t="s">
        <v>103</v>
      </c>
      <c r="Y62" s="1">
        <v>0</v>
      </c>
      <c r="Z62" s="1" t="s">
        <v>50</v>
      </c>
      <c r="AA62" s="1" t="s">
        <v>60</v>
      </c>
      <c r="AB62" s="1" t="s">
        <v>51</v>
      </c>
      <c r="AC62" s="1"/>
      <c r="AD62" s="1" t="s">
        <v>52</v>
      </c>
      <c r="AE62" s="1"/>
      <c r="AF62" s="1">
        <v>46139</v>
      </c>
      <c r="AG62" s="1">
        <v>46139</v>
      </c>
      <c r="AH62" s="1">
        <v>46139</v>
      </c>
      <c r="AI62" s="1">
        <v>0</v>
      </c>
      <c r="AJ62" s="1">
        <v>20.29</v>
      </c>
      <c r="AK62" s="1" t="s">
        <v>46</v>
      </c>
      <c r="AL62" s="1">
        <v>973.92</v>
      </c>
      <c r="AM62" s="1"/>
      <c r="AN62" s="1"/>
      <c r="AO62" s="1"/>
      <c r="AP62" s="12" t="s">
        <v>469</v>
      </c>
      <c r="AQ62" s="13">
        <v>2</v>
      </c>
      <c r="AR62" s="1" t="s">
        <v>62</v>
      </c>
      <c r="AS62" s="1" t="s">
        <v>54</v>
      </c>
    </row>
    <row r="63" spans="1:49" ht="15" customHeight="1" x14ac:dyDescent="0.35">
      <c r="A63" s="39">
        <v>46128</v>
      </c>
      <c r="B63" s="40" t="s">
        <v>242</v>
      </c>
      <c r="C63" s="40" t="s">
        <v>42</v>
      </c>
      <c r="D63" s="40">
        <v>14905383</v>
      </c>
      <c r="E63" s="40" t="s">
        <v>243</v>
      </c>
      <c r="F63" s="40">
        <v>2</v>
      </c>
      <c r="G63" s="40" t="s">
        <v>43</v>
      </c>
      <c r="H63" s="40" t="s">
        <v>65</v>
      </c>
      <c r="I63" s="40" t="s">
        <v>45</v>
      </c>
      <c r="J63" s="40" t="s">
        <v>45</v>
      </c>
      <c r="K63" s="40" t="s">
        <v>507</v>
      </c>
      <c r="L63" s="40" t="s">
        <v>248</v>
      </c>
      <c r="M63" s="40">
        <v>775</v>
      </c>
      <c r="N63" s="40" t="s">
        <v>46</v>
      </c>
      <c r="O63" s="40">
        <v>1</v>
      </c>
      <c r="P63" s="40" t="s">
        <v>43</v>
      </c>
      <c r="Q63" s="40">
        <v>1207</v>
      </c>
      <c r="R63" s="40">
        <v>1</v>
      </c>
      <c r="S63" s="40">
        <v>4500797923</v>
      </c>
      <c r="T63" s="40" t="s">
        <v>244</v>
      </c>
      <c r="U63" s="40" t="s">
        <v>204</v>
      </c>
      <c r="V63" s="40" t="s">
        <v>133</v>
      </c>
      <c r="W63" s="40" t="s">
        <v>66</v>
      </c>
      <c r="X63" s="40" t="s">
        <v>59</v>
      </c>
      <c r="Y63" s="40">
        <v>0</v>
      </c>
      <c r="Z63" s="40" t="s">
        <v>50</v>
      </c>
      <c r="AA63" s="40" t="s">
        <v>67</v>
      </c>
      <c r="AB63" s="40" t="s">
        <v>61</v>
      </c>
      <c r="AC63" s="40"/>
      <c r="AD63" s="40" t="s">
        <v>52</v>
      </c>
      <c r="AE63" s="40"/>
      <c r="AF63" s="40">
        <v>46128</v>
      </c>
      <c r="AG63" s="40">
        <v>46128</v>
      </c>
      <c r="AH63" s="40">
        <v>46129</v>
      </c>
      <c r="AI63" s="40">
        <v>0</v>
      </c>
      <c r="AJ63" s="40">
        <v>815.06</v>
      </c>
      <c r="AK63" s="40" t="s">
        <v>46</v>
      </c>
      <c r="AL63" s="40">
        <v>1630.12</v>
      </c>
      <c r="AM63" s="40" t="s">
        <v>245</v>
      </c>
      <c r="AN63" s="40">
        <v>4214561</v>
      </c>
      <c r="AO63" s="40"/>
      <c r="AP63" s="41" t="s">
        <v>246</v>
      </c>
      <c r="AQ63" s="42">
        <v>-9</v>
      </c>
      <c r="AR63" s="40" t="s">
        <v>53</v>
      </c>
      <c r="AS63" s="40" t="s">
        <v>54</v>
      </c>
      <c r="AT63" s="28">
        <v>4500903724</v>
      </c>
    </row>
    <row r="64" spans="1:49" x14ac:dyDescent="0.35">
      <c r="A64" s="39">
        <v>46128</v>
      </c>
      <c r="B64" s="40" t="s">
        <v>242</v>
      </c>
      <c r="C64" s="40" t="s">
        <v>63</v>
      </c>
      <c r="D64" s="40">
        <v>14090929</v>
      </c>
      <c r="E64" s="40" t="s">
        <v>247</v>
      </c>
      <c r="F64" s="40">
        <v>4</v>
      </c>
      <c r="G64" s="40" t="s">
        <v>43</v>
      </c>
      <c r="H64" s="40" t="s">
        <v>65</v>
      </c>
      <c r="I64" s="40" t="s">
        <v>45</v>
      </c>
      <c r="J64" s="40" t="s">
        <v>45</v>
      </c>
      <c r="K64" s="39">
        <v>45944</v>
      </c>
      <c r="L64" s="40" t="s">
        <v>248</v>
      </c>
      <c r="M64" s="40">
        <v>21.89</v>
      </c>
      <c r="N64" s="40" t="s">
        <v>46</v>
      </c>
      <c r="O64" s="40">
        <v>1</v>
      </c>
      <c r="P64" s="40" t="s">
        <v>43</v>
      </c>
      <c r="Q64" s="40">
        <v>1601</v>
      </c>
      <c r="R64" s="40">
        <v>70</v>
      </c>
      <c r="S64" s="40">
        <v>4500869024</v>
      </c>
      <c r="T64" s="40" t="s">
        <v>244</v>
      </c>
      <c r="U64" s="40" t="s">
        <v>204</v>
      </c>
      <c r="V64" s="40" t="s">
        <v>133</v>
      </c>
      <c r="W64" s="40" t="s">
        <v>66</v>
      </c>
      <c r="X64" s="40" t="s">
        <v>59</v>
      </c>
      <c r="Y64" s="40">
        <v>0</v>
      </c>
      <c r="Z64" s="40" t="s">
        <v>50</v>
      </c>
      <c r="AA64" s="40" t="s">
        <v>67</v>
      </c>
      <c r="AB64" s="40" t="s">
        <v>61</v>
      </c>
      <c r="AC64" s="40"/>
      <c r="AD64" s="40" t="s">
        <v>52</v>
      </c>
      <c r="AE64" s="40"/>
      <c r="AF64" s="40">
        <v>46128</v>
      </c>
      <c r="AG64" s="40">
        <v>46128</v>
      </c>
      <c r="AH64" s="40">
        <v>46129</v>
      </c>
      <c r="AI64" s="40">
        <v>0</v>
      </c>
      <c r="AJ64" s="40">
        <v>15</v>
      </c>
      <c r="AK64" s="40" t="s">
        <v>46</v>
      </c>
      <c r="AL64" s="40">
        <v>60</v>
      </c>
      <c r="AM64" s="40" t="s">
        <v>249</v>
      </c>
      <c r="AN64" s="40">
        <v>4214561</v>
      </c>
      <c r="AO64" s="40"/>
      <c r="AP64" s="41" t="s">
        <v>250</v>
      </c>
      <c r="AQ64" s="42">
        <v>-9</v>
      </c>
      <c r="AR64" s="40" t="s">
        <v>53</v>
      </c>
      <c r="AS64" s="40" t="s">
        <v>54</v>
      </c>
      <c r="AT64" s="28">
        <v>4500903724</v>
      </c>
    </row>
    <row r="65" spans="1:46" x14ac:dyDescent="0.35">
      <c r="A65" s="11">
        <v>46024</v>
      </c>
      <c r="B65" s="1" t="s">
        <v>189</v>
      </c>
      <c r="C65" s="1" t="s">
        <v>91</v>
      </c>
      <c r="D65" s="1">
        <v>14099959</v>
      </c>
      <c r="E65" s="1" t="s">
        <v>190</v>
      </c>
      <c r="F65" s="1">
        <v>1</v>
      </c>
      <c r="G65" s="1" t="s">
        <v>43</v>
      </c>
      <c r="H65" s="1" t="s">
        <v>75</v>
      </c>
      <c r="I65" s="1" t="s">
        <v>45</v>
      </c>
      <c r="J65" s="1" t="s">
        <v>45</v>
      </c>
      <c r="K65" s="1"/>
      <c r="L65" s="1"/>
      <c r="M65" s="1"/>
      <c r="N65" s="1"/>
      <c r="O65" s="1"/>
      <c r="P65" s="1"/>
      <c r="Q65" s="1"/>
      <c r="R65" s="1"/>
      <c r="S65" s="1"/>
      <c r="T65" s="1" t="s">
        <v>107</v>
      </c>
      <c r="U65" s="1" t="s">
        <v>76</v>
      </c>
      <c r="V65" s="1" t="s">
        <v>57</v>
      </c>
      <c r="W65" s="1" t="s">
        <v>77</v>
      </c>
      <c r="X65" s="1" t="s">
        <v>59</v>
      </c>
      <c r="Y65" s="1">
        <v>0</v>
      </c>
      <c r="Z65" s="1" t="s">
        <v>131</v>
      </c>
      <c r="AA65" s="1" t="s">
        <v>78</v>
      </c>
      <c r="AB65" s="1" t="s">
        <v>61</v>
      </c>
      <c r="AC65" s="1" t="s">
        <v>191</v>
      </c>
      <c r="AD65" s="1" t="s">
        <v>42</v>
      </c>
      <c r="AE65" s="1">
        <v>46028</v>
      </c>
      <c r="AF65" s="1">
        <v>46024</v>
      </c>
      <c r="AG65" s="1">
        <v>46024</v>
      </c>
      <c r="AH65" s="1">
        <v>46025</v>
      </c>
      <c r="AI65" s="1">
        <v>29</v>
      </c>
      <c r="AJ65" s="1">
        <v>32.950000000000003</v>
      </c>
      <c r="AK65" s="1" t="s">
        <v>46</v>
      </c>
      <c r="AL65" s="1">
        <v>32.950000000000003</v>
      </c>
      <c r="AM65" s="1" t="s">
        <v>192</v>
      </c>
      <c r="AN65" s="1">
        <v>2001584</v>
      </c>
      <c r="AO65" s="1"/>
      <c r="AP65" s="12" t="s">
        <v>193</v>
      </c>
      <c r="AQ65" s="13">
        <v>-113</v>
      </c>
      <c r="AR65" s="1" t="s">
        <v>53</v>
      </c>
      <c r="AS65" s="1" t="s">
        <v>54</v>
      </c>
    </row>
    <row r="66" spans="1:46" x14ac:dyDescent="0.35">
      <c r="A66" s="11">
        <v>46099</v>
      </c>
      <c r="B66" s="1" t="s">
        <v>113</v>
      </c>
      <c r="C66" s="1" t="s">
        <v>63</v>
      </c>
      <c r="D66" s="1">
        <v>14101609</v>
      </c>
      <c r="E66" s="1" t="s">
        <v>114</v>
      </c>
      <c r="F66" s="1">
        <v>7</v>
      </c>
      <c r="G66" s="1" t="s">
        <v>43</v>
      </c>
      <c r="H66" s="1" t="s">
        <v>44</v>
      </c>
      <c r="I66" s="1" t="s">
        <v>45</v>
      </c>
      <c r="J66" s="1" t="s">
        <v>45</v>
      </c>
      <c r="K66" s="1"/>
      <c r="L66" s="1"/>
      <c r="M66" s="1"/>
      <c r="N66" s="1"/>
      <c r="O66" s="1"/>
      <c r="P66" s="1"/>
      <c r="Q66" s="1"/>
      <c r="R66" s="1"/>
      <c r="S66" s="1"/>
      <c r="T66" s="1" t="s">
        <v>107</v>
      </c>
      <c r="U66" s="1" t="s">
        <v>69</v>
      </c>
      <c r="V66" s="1" t="s">
        <v>70</v>
      </c>
      <c r="W66" s="1" t="s">
        <v>84</v>
      </c>
      <c r="X66" s="1" t="s">
        <v>49</v>
      </c>
      <c r="Y66" s="1">
        <v>0</v>
      </c>
      <c r="Z66" s="1" t="s">
        <v>50</v>
      </c>
      <c r="AA66" s="1" t="s">
        <v>96</v>
      </c>
      <c r="AB66" s="1" t="s">
        <v>61</v>
      </c>
      <c r="AC66" s="1"/>
      <c r="AD66" s="1" t="s">
        <v>52</v>
      </c>
      <c r="AE66" s="1"/>
      <c r="AF66" s="1">
        <v>46099</v>
      </c>
      <c r="AG66" s="1">
        <v>46099</v>
      </c>
      <c r="AH66" s="1">
        <v>46100</v>
      </c>
      <c r="AI66" s="1">
        <v>0</v>
      </c>
      <c r="AJ66" s="1">
        <v>33.07</v>
      </c>
      <c r="AK66" s="1" t="s">
        <v>46</v>
      </c>
      <c r="AL66" s="1">
        <v>231.49</v>
      </c>
      <c r="AM66" s="1" t="s">
        <v>115</v>
      </c>
      <c r="AN66" s="1">
        <v>4213917</v>
      </c>
      <c r="AO66" s="1"/>
      <c r="AP66" s="12" t="s">
        <v>116</v>
      </c>
      <c r="AQ66" s="13">
        <v>-38</v>
      </c>
      <c r="AR66" s="1" t="s">
        <v>53</v>
      </c>
      <c r="AS66" s="1" t="s">
        <v>54</v>
      </c>
    </row>
    <row r="67" spans="1:46" x14ac:dyDescent="0.35">
      <c r="A67" s="39">
        <v>46140</v>
      </c>
      <c r="B67" s="40" t="s">
        <v>482</v>
      </c>
      <c r="C67" s="40" t="s">
        <v>81</v>
      </c>
      <c r="D67" s="40">
        <v>14011500</v>
      </c>
      <c r="E67" s="40" t="s">
        <v>483</v>
      </c>
      <c r="F67" s="40">
        <v>5</v>
      </c>
      <c r="G67" s="40" t="s">
        <v>43</v>
      </c>
      <c r="H67" s="40" t="s">
        <v>65</v>
      </c>
      <c r="I67" s="40" t="s">
        <v>45</v>
      </c>
      <c r="J67" s="40" t="s">
        <v>45</v>
      </c>
      <c r="K67" s="40" t="s">
        <v>486</v>
      </c>
      <c r="L67" s="40" t="s">
        <v>240</v>
      </c>
      <c r="M67" s="40">
        <v>39.020000000000003</v>
      </c>
      <c r="N67" s="40" t="s">
        <v>56</v>
      </c>
      <c r="O67" s="40">
        <v>1</v>
      </c>
      <c r="P67" s="40" t="s">
        <v>43</v>
      </c>
      <c r="Q67" s="40">
        <v>1207</v>
      </c>
      <c r="R67" s="40">
        <v>4</v>
      </c>
      <c r="S67" s="40">
        <v>4500785571</v>
      </c>
      <c r="T67" s="40" t="s">
        <v>136</v>
      </c>
      <c r="U67" s="40" t="s">
        <v>66</v>
      </c>
      <c r="V67" s="40" t="s">
        <v>47</v>
      </c>
      <c r="W67" s="40" t="s">
        <v>66</v>
      </c>
      <c r="X67" s="40" t="s">
        <v>59</v>
      </c>
      <c r="Y67" s="40">
        <v>0</v>
      </c>
      <c r="Z67" s="40" t="s">
        <v>50</v>
      </c>
      <c r="AA67" s="40" t="s">
        <v>67</v>
      </c>
      <c r="AB67" s="40" t="s">
        <v>83</v>
      </c>
      <c r="AC67" s="40"/>
      <c r="AD67" s="40" t="s">
        <v>52</v>
      </c>
      <c r="AE67" s="40"/>
      <c r="AF67" s="40">
        <v>46140</v>
      </c>
      <c r="AG67" s="40">
        <v>46140</v>
      </c>
      <c r="AH67" s="40">
        <v>46169</v>
      </c>
      <c r="AI67" s="40">
        <v>29</v>
      </c>
      <c r="AJ67" s="40">
        <v>39.53</v>
      </c>
      <c r="AK67" s="40" t="s">
        <v>46</v>
      </c>
      <c r="AL67" s="40">
        <v>197.65</v>
      </c>
      <c r="AM67" s="40"/>
      <c r="AN67" s="40"/>
      <c r="AO67" s="40"/>
      <c r="AP67" s="41" t="s">
        <v>484</v>
      </c>
      <c r="AQ67" s="42">
        <v>3</v>
      </c>
      <c r="AR67" s="40" t="s">
        <v>62</v>
      </c>
      <c r="AS67" s="40" t="s">
        <v>54</v>
      </c>
      <c r="AT67" s="28">
        <v>4500903748</v>
      </c>
    </row>
    <row r="68" spans="1:46" x14ac:dyDescent="0.35">
      <c r="A68" s="39">
        <v>46139</v>
      </c>
      <c r="B68" s="40" t="s">
        <v>470</v>
      </c>
      <c r="C68" s="40" t="s">
        <v>63</v>
      </c>
      <c r="D68" s="40">
        <v>14015107</v>
      </c>
      <c r="E68" s="40" t="s">
        <v>471</v>
      </c>
      <c r="F68" s="40">
        <v>2</v>
      </c>
      <c r="G68" s="40" t="s">
        <v>43</v>
      </c>
      <c r="H68" s="40" t="s">
        <v>75</v>
      </c>
      <c r="I68" s="40" t="s">
        <v>45</v>
      </c>
      <c r="J68" s="40" t="s">
        <v>45</v>
      </c>
      <c r="K68" s="39">
        <v>46069</v>
      </c>
      <c r="L68" s="40" t="s">
        <v>240</v>
      </c>
      <c r="M68" s="40">
        <v>2.41</v>
      </c>
      <c r="N68" s="40" t="s">
        <v>56</v>
      </c>
      <c r="O68" s="40">
        <v>1</v>
      </c>
      <c r="P68" s="40" t="s">
        <v>43</v>
      </c>
      <c r="Q68" s="40">
        <v>1601</v>
      </c>
      <c r="R68" s="40">
        <v>2</v>
      </c>
      <c r="S68" s="40">
        <v>4500891021</v>
      </c>
      <c r="T68" s="40" t="s">
        <v>107</v>
      </c>
      <c r="U68" s="40" t="s">
        <v>76</v>
      </c>
      <c r="V68" s="40" t="s">
        <v>57</v>
      </c>
      <c r="W68" s="40" t="s">
        <v>77</v>
      </c>
      <c r="X68" s="40" t="s">
        <v>59</v>
      </c>
      <c r="Y68" s="40">
        <v>0</v>
      </c>
      <c r="Z68" s="40" t="s">
        <v>50</v>
      </c>
      <c r="AA68" s="40" t="s">
        <v>78</v>
      </c>
      <c r="AB68" s="40" t="s">
        <v>61</v>
      </c>
      <c r="AC68" s="40"/>
      <c r="AD68" s="40" t="s">
        <v>52</v>
      </c>
      <c r="AE68" s="40"/>
      <c r="AF68" s="40">
        <v>46139</v>
      </c>
      <c r="AG68" s="40">
        <v>46139</v>
      </c>
      <c r="AH68" s="40">
        <v>46139</v>
      </c>
      <c r="AI68" s="40">
        <v>0</v>
      </c>
      <c r="AJ68" s="40">
        <v>8.57</v>
      </c>
      <c r="AK68" s="40" t="s">
        <v>46</v>
      </c>
      <c r="AL68" s="40">
        <v>17.14</v>
      </c>
      <c r="AM68" s="40" t="s">
        <v>472</v>
      </c>
      <c r="AN68" s="40">
        <v>6200000131</v>
      </c>
      <c r="AO68" s="40"/>
      <c r="AP68" s="41" t="s">
        <v>473</v>
      </c>
      <c r="AQ68" s="42">
        <v>2</v>
      </c>
      <c r="AR68" s="40" t="s">
        <v>62</v>
      </c>
      <c r="AS68" s="40" t="s">
        <v>54</v>
      </c>
      <c r="AT68" s="28">
        <v>4500903748</v>
      </c>
    </row>
    <row r="69" spans="1:46" x14ac:dyDescent="0.35">
      <c r="A69" s="39">
        <v>46139</v>
      </c>
      <c r="B69" s="40" t="s">
        <v>470</v>
      </c>
      <c r="C69" s="40" t="s">
        <v>42</v>
      </c>
      <c r="D69" s="40">
        <v>14069035</v>
      </c>
      <c r="E69" s="40" t="s">
        <v>422</v>
      </c>
      <c r="F69" s="40">
        <v>2</v>
      </c>
      <c r="G69" s="40" t="s">
        <v>43</v>
      </c>
      <c r="H69" s="40" t="s">
        <v>75</v>
      </c>
      <c r="I69" s="40" t="s">
        <v>45</v>
      </c>
      <c r="J69" s="40" t="s">
        <v>45</v>
      </c>
      <c r="K69" s="39">
        <v>46139</v>
      </c>
      <c r="L69" s="40" t="s">
        <v>240</v>
      </c>
      <c r="M69" s="40">
        <v>18.98</v>
      </c>
      <c r="N69" s="40" t="s">
        <v>56</v>
      </c>
      <c r="O69" s="40">
        <v>1</v>
      </c>
      <c r="P69" s="40" t="s">
        <v>43</v>
      </c>
      <c r="Q69" s="40">
        <v>1601</v>
      </c>
      <c r="R69" s="40">
        <v>3</v>
      </c>
      <c r="S69" s="40">
        <v>4500903467</v>
      </c>
      <c r="T69" s="40" t="s">
        <v>261</v>
      </c>
      <c r="U69" s="40" t="s">
        <v>76</v>
      </c>
      <c r="V69" s="40" t="s">
        <v>57</v>
      </c>
      <c r="W69" s="40" t="s">
        <v>77</v>
      </c>
      <c r="X69" s="40" t="s">
        <v>59</v>
      </c>
      <c r="Y69" s="40">
        <v>0</v>
      </c>
      <c r="Z69" s="40" t="s">
        <v>50</v>
      </c>
      <c r="AA69" s="40" t="s">
        <v>78</v>
      </c>
      <c r="AB69" s="40" t="s">
        <v>61</v>
      </c>
      <c r="AC69" s="40"/>
      <c r="AD69" s="40" t="s">
        <v>52</v>
      </c>
      <c r="AE69" s="40"/>
      <c r="AF69" s="40">
        <v>46139</v>
      </c>
      <c r="AG69" s="40">
        <v>46139</v>
      </c>
      <c r="AH69" s="40">
        <v>46140</v>
      </c>
      <c r="AI69" s="40">
        <v>0</v>
      </c>
      <c r="AJ69" s="40">
        <v>69.260000000000005</v>
      </c>
      <c r="AK69" s="40" t="s">
        <v>46</v>
      </c>
      <c r="AL69" s="40">
        <v>138.52000000000001</v>
      </c>
      <c r="AM69" s="40" t="s">
        <v>477</v>
      </c>
      <c r="AN69" s="40">
        <v>6200000131</v>
      </c>
      <c r="AO69" s="40"/>
      <c r="AP69" s="41" t="s">
        <v>478</v>
      </c>
      <c r="AQ69" s="42">
        <v>2</v>
      </c>
      <c r="AR69" s="40" t="s">
        <v>62</v>
      </c>
      <c r="AS69" s="40" t="s">
        <v>54</v>
      </c>
      <c r="AT69" s="28">
        <v>4500903748</v>
      </c>
    </row>
    <row r="70" spans="1:46" x14ac:dyDescent="0.35">
      <c r="A70" s="39">
        <v>46139</v>
      </c>
      <c r="B70" s="40" t="s">
        <v>470</v>
      </c>
      <c r="C70" s="40" t="s">
        <v>64</v>
      </c>
      <c r="D70" s="40">
        <v>14093388</v>
      </c>
      <c r="E70" s="40" t="s">
        <v>479</v>
      </c>
      <c r="F70" s="40">
        <v>4</v>
      </c>
      <c r="G70" s="40" t="s">
        <v>43</v>
      </c>
      <c r="H70" s="40" t="s">
        <v>75</v>
      </c>
      <c r="I70" s="40" t="s">
        <v>45</v>
      </c>
      <c r="J70" s="40" t="s">
        <v>45</v>
      </c>
      <c r="K70" s="39">
        <v>45965</v>
      </c>
      <c r="L70" s="40" t="s">
        <v>240</v>
      </c>
      <c r="M70" s="40">
        <v>2</v>
      </c>
      <c r="N70" s="40" t="s">
        <v>56</v>
      </c>
      <c r="O70" s="40">
        <v>1</v>
      </c>
      <c r="P70" s="40" t="s">
        <v>43</v>
      </c>
      <c r="Q70" s="40">
        <v>1601</v>
      </c>
      <c r="R70" s="40">
        <v>12</v>
      </c>
      <c r="S70" s="40">
        <v>4500872224</v>
      </c>
      <c r="T70" s="40" t="s">
        <v>270</v>
      </c>
      <c r="U70" s="40" t="s">
        <v>76</v>
      </c>
      <c r="V70" s="40" t="s">
        <v>57</v>
      </c>
      <c r="W70" s="40" t="s">
        <v>77</v>
      </c>
      <c r="X70" s="40" t="s">
        <v>59</v>
      </c>
      <c r="Y70" s="40">
        <v>0</v>
      </c>
      <c r="Z70" s="40" t="s">
        <v>50</v>
      </c>
      <c r="AA70" s="40" t="s">
        <v>78</v>
      </c>
      <c r="AB70" s="40" t="s">
        <v>61</v>
      </c>
      <c r="AC70" s="40"/>
      <c r="AD70" s="40" t="s">
        <v>52</v>
      </c>
      <c r="AE70" s="40"/>
      <c r="AF70" s="40">
        <v>46139</v>
      </c>
      <c r="AG70" s="40">
        <v>46139</v>
      </c>
      <c r="AH70" s="40">
        <v>46140</v>
      </c>
      <c r="AI70" s="40">
        <v>0</v>
      </c>
      <c r="AJ70" s="40">
        <v>8.81</v>
      </c>
      <c r="AK70" s="40" t="s">
        <v>46</v>
      </c>
      <c r="AL70" s="40">
        <v>35.24</v>
      </c>
      <c r="AM70" s="40" t="s">
        <v>480</v>
      </c>
      <c r="AN70" s="40">
        <v>6200000131</v>
      </c>
      <c r="AO70" s="40"/>
      <c r="AP70" s="41" t="s">
        <v>481</v>
      </c>
      <c r="AQ70" s="42">
        <v>2</v>
      </c>
      <c r="AR70" s="40" t="s">
        <v>62</v>
      </c>
      <c r="AS70" s="40" t="s">
        <v>54</v>
      </c>
      <c r="AT70" s="28">
        <v>4500903748</v>
      </c>
    </row>
    <row r="71" spans="1:46" x14ac:dyDescent="0.35">
      <c r="A71" s="11">
        <v>45904</v>
      </c>
      <c r="B71" s="1" t="s">
        <v>356</v>
      </c>
      <c r="C71" s="1" t="s">
        <v>64</v>
      </c>
      <c r="D71" s="1">
        <v>14076908</v>
      </c>
      <c r="E71" s="1" t="s">
        <v>357</v>
      </c>
      <c r="F71" s="1">
        <v>50</v>
      </c>
      <c r="G71" s="1" t="s">
        <v>43</v>
      </c>
      <c r="H71" s="1" t="s">
        <v>92</v>
      </c>
      <c r="I71" s="1" t="s">
        <v>45</v>
      </c>
      <c r="J71" s="1" t="s">
        <v>45</v>
      </c>
      <c r="K71" s="1" t="s">
        <v>506</v>
      </c>
      <c r="L71" s="1" t="s">
        <v>241</v>
      </c>
      <c r="M71" s="1">
        <v>38.9</v>
      </c>
      <c r="N71" s="1" t="s">
        <v>46</v>
      </c>
      <c r="O71" s="1">
        <v>1</v>
      </c>
      <c r="P71" s="1" t="s">
        <v>43</v>
      </c>
      <c r="Q71" s="1">
        <v>1103</v>
      </c>
      <c r="R71" s="1">
        <v>12</v>
      </c>
      <c r="S71" s="1">
        <v>4500837149</v>
      </c>
      <c r="T71" s="1" t="s">
        <v>68</v>
      </c>
      <c r="U71" s="1" t="s">
        <v>355</v>
      </c>
      <c r="V71" s="1" t="s">
        <v>104</v>
      </c>
      <c r="W71" s="1" t="s">
        <v>93</v>
      </c>
      <c r="X71" s="1" t="s">
        <v>59</v>
      </c>
      <c r="Y71" s="1">
        <v>0</v>
      </c>
      <c r="Z71" s="1" t="s">
        <v>131</v>
      </c>
      <c r="AA71" s="1" t="s">
        <v>94</v>
      </c>
      <c r="AB71" s="1" t="s">
        <v>61</v>
      </c>
      <c r="AC71" s="1" t="s">
        <v>358</v>
      </c>
      <c r="AD71" s="1" t="s">
        <v>42</v>
      </c>
      <c r="AE71" s="1">
        <v>45910</v>
      </c>
      <c r="AF71" s="1">
        <v>45904</v>
      </c>
      <c r="AG71" s="1">
        <v>45910</v>
      </c>
      <c r="AH71" s="1">
        <v>45934</v>
      </c>
      <c r="AI71" s="1">
        <v>29</v>
      </c>
      <c r="AJ71" s="1">
        <v>32.72</v>
      </c>
      <c r="AK71" s="1" t="s">
        <v>46</v>
      </c>
      <c r="AL71" s="1">
        <v>1636</v>
      </c>
      <c r="AM71" s="1" t="s">
        <v>359</v>
      </c>
      <c r="AN71" s="1">
        <v>4204477</v>
      </c>
      <c r="AO71" s="1"/>
      <c r="AP71" s="12" t="s">
        <v>360</v>
      </c>
      <c r="AQ71" s="13">
        <v>-233</v>
      </c>
      <c r="AR71" s="1" t="s">
        <v>53</v>
      </c>
      <c r="AS71" s="1" t="s">
        <v>54</v>
      </c>
    </row>
    <row r="72" spans="1:46" x14ac:dyDescent="0.35">
      <c r="A72" s="39">
        <v>46059</v>
      </c>
      <c r="B72" s="40" t="s">
        <v>363</v>
      </c>
      <c r="C72" s="40" t="s">
        <v>79</v>
      </c>
      <c r="D72" s="40">
        <v>14092263</v>
      </c>
      <c r="E72" s="40" t="s">
        <v>364</v>
      </c>
      <c r="F72" s="40">
        <v>24</v>
      </c>
      <c r="G72" s="40" t="s">
        <v>43</v>
      </c>
      <c r="H72" s="40" t="s">
        <v>44</v>
      </c>
      <c r="I72" s="40" t="s">
        <v>45</v>
      </c>
      <c r="J72" s="40" t="s">
        <v>45</v>
      </c>
      <c r="K72" s="40"/>
      <c r="L72" s="40" t="s">
        <v>485</v>
      </c>
      <c r="M72" s="40">
        <v>5.2</v>
      </c>
      <c r="N72" s="40" t="s">
        <v>46</v>
      </c>
      <c r="O72" s="40"/>
      <c r="P72" s="40"/>
      <c r="Q72" s="40"/>
      <c r="R72" s="40"/>
      <c r="S72" s="40"/>
      <c r="T72" s="40" t="s">
        <v>68</v>
      </c>
      <c r="U72" s="40" t="s">
        <v>69</v>
      </c>
      <c r="V72" s="40" t="s">
        <v>57</v>
      </c>
      <c r="W72" s="40" t="s">
        <v>84</v>
      </c>
      <c r="X72" s="40" t="s">
        <v>49</v>
      </c>
      <c r="Y72" s="40">
        <v>0</v>
      </c>
      <c r="Z72" s="40" t="s">
        <v>131</v>
      </c>
      <c r="AA72" s="40" t="s">
        <v>85</v>
      </c>
      <c r="AB72" s="40" t="s">
        <v>61</v>
      </c>
      <c r="AC72" s="40" t="s">
        <v>362</v>
      </c>
      <c r="AD72" s="40" t="s">
        <v>64</v>
      </c>
      <c r="AE72" s="40">
        <v>46062</v>
      </c>
      <c r="AF72" s="40">
        <v>46059</v>
      </c>
      <c r="AG72" s="40">
        <v>46059</v>
      </c>
      <c r="AH72" s="40">
        <v>46060</v>
      </c>
      <c r="AI72" s="40">
        <v>0</v>
      </c>
      <c r="AJ72" s="40">
        <v>7.4</v>
      </c>
      <c r="AK72" s="40" t="s">
        <v>46</v>
      </c>
      <c r="AL72" s="40">
        <v>177.6</v>
      </c>
      <c r="AM72" s="40" t="s">
        <v>365</v>
      </c>
      <c r="AN72" s="40">
        <v>4210745</v>
      </c>
      <c r="AO72" s="40"/>
      <c r="AP72" s="41" t="s">
        <v>366</v>
      </c>
      <c r="AQ72" s="42">
        <v>-78</v>
      </c>
      <c r="AR72" s="40" t="s">
        <v>53</v>
      </c>
      <c r="AS72" s="40" t="s">
        <v>54</v>
      </c>
      <c r="AT72" s="28">
        <v>4500903640</v>
      </c>
    </row>
    <row r="73" spans="1:46" x14ac:dyDescent="0.35">
      <c r="A73" s="39">
        <v>46122</v>
      </c>
      <c r="B73" s="40" t="s">
        <v>195</v>
      </c>
      <c r="C73" s="40" t="s">
        <v>42</v>
      </c>
      <c r="D73" s="40">
        <v>14101338</v>
      </c>
      <c r="E73" s="40" t="s">
        <v>196</v>
      </c>
      <c r="F73" s="40">
        <v>1</v>
      </c>
      <c r="G73" s="40" t="s">
        <v>43</v>
      </c>
      <c r="H73" s="40" t="s">
        <v>92</v>
      </c>
      <c r="I73" s="40" t="s">
        <v>45</v>
      </c>
      <c r="J73" s="40" t="s">
        <v>45</v>
      </c>
      <c r="K73" s="39">
        <v>46029</v>
      </c>
      <c r="L73" s="40" t="s">
        <v>485</v>
      </c>
      <c r="M73" s="40">
        <v>18.399999999999999</v>
      </c>
      <c r="N73" s="40" t="s">
        <v>46</v>
      </c>
      <c r="O73" s="40">
        <v>1</v>
      </c>
      <c r="P73" s="40" t="s">
        <v>43</v>
      </c>
      <c r="Q73" s="40">
        <v>1208</v>
      </c>
      <c r="R73" s="40">
        <v>3</v>
      </c>
      <c r="S73" s="40">
        <v>4500884687</v>
      </c>
      <c r="T73" s="40" t="s">
        <v>68</v>
      </c>
      <c r="U73" s="40" t="s">
        <v>69</v>
      </c>
      <c r="V73" s="40" t="s">
        <v>70</v>
      </c>
      <c r="W73" s="40" t="s">
        <v>93</v>
      </c>
      <c r="X73" s="40" t="s">
        <v>59</v>
      </c>
      <c r="Y73" s="40">
        <v>0</v>
      </c>
      <c r="Z73" s="40" t="s">
        <v>50</v>
      </c>
      <c r="AA73" s="40" t="s">
        <v>94</v>
      </c>
      <c r="AB73" s="40" t="s">
        <v>61</v>
      </c>
      <c r="AC73" s="40"/>
      <c r="AD73" s="40" t="s">
        <v>52</v>
      </c>
      <c r="AE73" s="40"/>
      <c r="AF73" s="40">
        <v>46122</v>
      </c>
      <c r="AG73" s="40">
        <v>46122</v>
      </c>
      <c r="AH73" s="40">
        <v>46123</v>
      </c>
      <c r="AI73" s="40">
        <v>0</v>
      </c>
      <c r="AJ73" s="40">
        <v>111.33</v>
      </c>
      <c r="AK73" s="40" t="s">
        <v>46</v>
      </c>
      <c r="AL73" s="40">
        <v>111.33</v>
      </c>
      <c r="AM73" s="40" t="s">
        <v>198</v>
      </c>
      <c r="AN73" s="40">
        <v>4214966</v>
      </c>
      <c r="AO73" s="40"/>
      <c r="AP73" s="41" t="s">
        <v>199</v>
      </c>
      <c r="AQ73" s="42">
        <v>-15</v>
      </c>
      <c r="AR73" s="40" t="s">
        <v>53</v>
      </c>
      <c r="AS73" s="40" t="s">
        <v>54</v>
      </c>
      <c r="AT73" s="28">
        <v>4500903640</v>
      </c>
    </row>
    <row r="74" spans="1:46" x14ac:dyDescent="0.35">
      <c r="A74" s="39">
        <v>46138</v>
      </c>
      <c r="B74" s="40" t="s">
        <v>423</v>
      </c>
      <c r="C74" s="40" t="s">
        <v>81</v>
      </c>
      <c r="D74" s="40">
        <v>14010011</v>
      </c>
      <c r="E74" s="40" t="s">
        <v>424</v>
      </c>
      <c r="F74" s="40">
        <v>20</v>
      </c>
      <c r="G74" s="40" t="s">
        <v>43</v>
      </c>
      <c r="H74" s="40" t="s">
        <v>44</v>
      </c>
      <c r="I74" s="40">
        <v>6.6</v>
      </c>
      <c r="J74" s="40">
        <v>107912</v>
      </c>
      <c r="K74" s="39">
        <v>45982</v>
      </c>
      <c r="L74" s="40" t="s">
        <v>485</v>
      </c>
      <c r="M74" s="40">
        <v>6.4</v>
      </c>
      <c r="N74" s="40" t="s">
        <v>46</v>
      </c>
      <c r="O74" s="40">
        <v>1</v>
      </c>
      <c r="P74" s="40" t="s">
        <v>43</v>
      </c>
      <c r="Q74" s="40">
        <v>1207</v>
      </c>
      <c r="R74" s="40">
        <v>20</v>
      </c>
      <c r="S74" s="40">
        <v>4500875560</v>
      </c>
      <c r="T74" s="40" t="s">
        <v>68</v>
      </c>
      <c r="U74" s="40" t="s">
        <v>84</v>
      </c>
      <c r="V74" s="40" t="s">
        <v>47</v>
      </c>
      <c r="W74" s="40" t="s">
        <v>84</v>
      </c>
      <c r="X74" s="40" t="s">
        <v>49</v>
      </c>
      <c r="Y74" s="40">
        <v>0</v>
      </c>
      <c r="Z74" s="40" t="s">
        <v>50</v>
      </c>
      <c r="AA74" s="40" t="s">
        <v>96</v>
      </c>
      <c r="AB74" s="40" t="s">
        <v>83</v>
      </c>
      <c r="AC74" s="40"/>
      <c r="AD74" s="40" t="s">
        <v>52</v>
      </c>
      <c r="AE74" s="40"/>
      <c r="AF74" s="40">
        <v>46139</v>
      </c>
      <c r="AG74" s="40">
        <v>46138</v>
      </c>
      <c r="AH74" s="40">
        <v>46168</v>
      </c>
      <c r="AI74" s="40">
        <v>29</v>
      </c>
      <c r="AJ74" s="40">
        <v>7.52</v>
      </c>
      <c r="AK74" s="40" t="s">
        <v>46</v>
      </c>
      <c r="AL74" s="40">
        <v>150.4</v>
      </c>
      <c r="AM74" s="40"/>
      <c r="AN74" s="40"/>
      <c r="AO74" s="40"/>
      <c r="AP74" s="41" t="s">
        <v>425</v>
      </c>
      <c r="AQ74" s="42">
        <v>1</v>
      </c>
      <c r="AR74" s="40" t="s">
        <v>62</v>
      </c>
      <c r="AS74" s="40" t="s">
        <v>54</v>
      </c>
      <c r="AT74" s="28">
        <v>4500903640</v>
      </c>
    </row>
    <row r="75" spans="1:46" x14ac:dyDescent="0.35">
      <c r="A75" s="11">
        <v>46115</v>
      </c>
      <c r="B75" s="1" t="s">
        <v>165</v>
      </c>
      <c r="C75" s="1" t="s">
        <v>81</v>
      </c>
      <c r="D75" s="1">
        <v>14017759</v>
      </c>
      <c r="E75" s="1" t="s">
        <v>166</v>
      </c>
      <c r="F75" s="1">
        <v>900</v>
      </c>
      <c r="G75" s="1" t="s">
        <v>43</v>
      </c>
      <c r="H75" s="1" t="s">
        <v>44</v>
      </c>
      <c r="I75" s="1" t="s">
        <v>45</v>
      </c>
      <c r="J75" s="1" t="s">
        <v>45</v>
      </c>
      <c r="K75" s="11">
        <v>45957</v>
      </c>
      <c r="L75" s="1" t="s">
        <v>167</v>
      </c>
      <c r="M75" s="1">
        <v>70</v>
      </c>
      <c r="N75" s="1" t="s">
        <v>46</v>
      </c>
      <c r="O75" s="1">
        <v>100</v>
      </c>
      <c r="P75" s="1" t="s">
        <v>43</v>
      </c>
      <c r="Q75" s="1">
        <v>1207</v>
      </c>
      <c r="R75" s="1">
        <v>900</v>
      </c>
      <c r="S75" s="1">
        <v>4500870816</v>
      </c>
      <c r="T75" s="1" t="s">
        <v>108</v>
      </c>
      <c r="U75" s="1" t="s">
        <v>84</v>
      </c>
      <c r="V75" s="1" t="s">
        <v>47</v>
      </c>
      <c r="W75" s="1" t="s">
        <v>84</v>
      </c>
      <c r="X75" s="1" t="s">
        <v>49</v>
      </c>
      <c r="Y75" s="1">
        <v>0</v>
      </c>
      <c r="Z75" s="1" t="s">
        <v>194</v>
      </c>
      <c r="AA75" s="1" t="s">
        <v>96</v>
      </c>
      <c r="AB75" s="1" t="s">
        <v>83</v>
      </c>
      <c r="AC75" s="1"/>
      <c r="AD75" s="1" t="s">
        <v>52</v>
      </c>
      <c r="AE75" s="1"/>
      <c r="AF75" s="1">
        <v>46132</v>
      </c>
      <c r="AG75" s="1">
        <v>46115</v>
      </c>
      <c r="AH75" s="1">
        <v>46161</v>
      </c>
      <c r="AI75" s="1">
        <v>29</v>
      </c>
      <c r="AJ75" s="1">
        <v>0.61</v>
      </c>
      <c r="AK75" s="1" t="s">
        <v>46</v>
      </c>
      <c r="AL75" s="1">
        <v>549</v>
      </c>
      <c r="AM75" s="1"/>
      <c r="AN75" s="1"/>
      <c r="AO75" s="1"/>
      <c r="AP75" s="12" t="s">
        <v>168</v>
      </c>
      <c r="AQ75" s="13">
        <v>-22</v>
      </c>
      <c r="AR75" s="1" t="s">
        <v>53</v>
      </c>
      <c r="AS75" s="1" t="s">
        <v>54</v>
      </c>
    </row>
    <row r="76" spans="1:46" x14ac:dyDescent="0.35">
      <c r="A76" s="11">
        <v>46137</v>
      </c>
      <c r="B76" s="1" t="s">
        <v>416</v>
      </c>
      <c r="C76" s="1" t="s">
        <v>42</v>
      </c>
      <c r="D76" s="1">
        <v>14079477</v>
      </c>
      <c r="E76" s="1" t="s">
        <v>156</v>
      </c>
      <c r="F76" s="1">
        <v>2</v>
      </c>
      <c r="G76" s="1" t="s">
        <v>43</v>
      </c>
      <c r="H76" s="1" t="s">
        <v>92</v>
      </c>
      <c r="I76" s="1" t="s">
        <v>45</v>
      </c>
      <c r="J76" s="1" t="s">
        <v>45</v>
      </c>
      <c r="K76" s="11">
        <v>45978</v>
      </c>
      <c r="L76" s="1" t="s">
        <v>80</v>
      </c>
      <c r="M76" s="1">
        <v>574.13</v>
      </c>
      <c r="N76" s="1" t="s">
        <v>56</v>
      </c>
      <c r="O76" s="1">
        <v>100</v>
      </c>
      <c r="P76" s="1" t="s">
        <v>43</v>
      </c>
      <c r="Q76" s="1">
        <v>1208</v>
      </c>
      <c r="R76" s="1">
        <v>8</v>
      </c>
      <c r="S76" s="1">
        <v>4500874512</v>
      </c>
      <c r="T76" s="1" t="s">
        <v>98</v>
      </c>
      <c r="U76" s="1" t="s">
        <v>69</v>
      </c>
      <c r="V76" s="1" t="s">
        <v>70</v>
      </c>
      <c r="W76" s="1" t="s">
        <v>93</v>
      </c>
      <c r="X76" s="1" t="s">
        <v>59</v>
      </c>
      <c r="Y76" s="1">
        <v>0</v>
      </c>
      <c r="Z76" s="1" t="s">
        <v>50</v>
      </c>
      <c r="AA76" s="1" t="s">
        <v>94</v>
      </c>
      <c r="AB76" s="1" t="s">
        <v>61</v>
      </c>
      <c r="AC76" s="1"/>
      <c r="AD76" s="1" t="s">
        <v>52</v>
      </c>
      <c r="AE76" s="1"/>
      <c r="AF76" s="1">
        <v>46137</v>
      </c>
      <c r="AG76" s="1">
        <v>46137</v>
      </c>
      <c r="AH76" s="1">
        <v>46138</v>
      </c>
      <c r="AI76" s="1">
        <v>0</v>
      </c>
      <c r="AJ76" s="1">
        <v>17.79</v>
      </c>
      <c r="AK76" s="1" t="s">
        <v>46</v>
      </c>
      <c r="AL76" s="1">
        <v>35.58</v>
      </c>
      <c r="AM76" s="1" t="s">
        <v>417</v>
      </c>
      <c r="AN76" s="1">
        <v>4216025</v>
      </c>
      <c r="AO76" s="1"/>
      <c r="AP76" s="12" t="s">
        <v>418</v>
      </c>
      <c r="AQ76" s="13">
        <v>0</v>
      </c>
      <c r="AR76" s="1" t="s">
        <v>62</v>
      </c>
      <c r="AS76" s="1" t="s">
        <v>54</v>
      </c>
    </row>
    <row r="77" spans="1:46" x14ac:dyDescent="0.35">
      <c r="A77" s="11">
        <v>46125</v>
      </c>
      <c r="B77" s="1" t="s">
        <v>205</v>
      </c>
      <c r="C77" s="1" t="s">
        <v>81</v>
      </c>
      <c r="D77" s="1">
        <v>14077711</v>
      </c>
      <c r="E77" s="1" t="s">
        <v>129</v>
      </c>
      <c r="F77" s="1">
        <v>300</v>
      </c>
      <c r="G77" s="1" t="s">
        <v>43</v>
      </c>
      <c r="H77" s="1" t="s">
        <v>44</v>
      </c>
      <c r="I77" s="1" t="s">
        <v>45</v>
      </c>
      <c r="J77" s="1" t="s">
        <v>45</v>
      </c>
      <c r="K77" s="11">
        <v>46084</v>
      </c>
      <c r="L77" s="1" t="s">
        <v>82</v>
      </c>
      <c r="M77" s="1">
        <v>0.73</v>
      </c>
      <c r="N77" s="1" t="s">
        <v>56</v>
      </c>
      <c r="O77" s="1">
        <v>100</v>
      </c>
      <c r="P77" s="1" t="s">
        <v>43</v>
      </c>
      <c r="Q77" s="1">
        <v>1207</v>
      </c>
      <c r="R77" s="1">
        <v>500</v>
      </c>
      <c r="S77" s="1">
        <v>4500893861</v>
      </c>
      <c r="T77" s="1" t="s">
        <v>108</v>
      </c>
      <c r="U77" s="1" t="s">
        <v>84</v>
      </c>
      <c r="V77" s="1" t="s">
        <v>47</v>
      </c>
      <c r="W77" s="1" t="s">
        <v>84</v>
      </c>
      <c r="X77" s="1" t="s">
        <v>49</v>
      </c>
      <c r="Y77" s="1">
        <v>0</v>
      </c>
      <c r="Z77" s="1" t="s">
        <v>194</v>
      </c>
      <c r="AA77" s="1" t="s">
        <v>96</v>
      </c>
      <c r="AB77" s="1" t="s">
        <v>83</v>
      </c>
      <c r="AC77" s="1"/>
      <c r="AD77" s="1" t="s">
        <v>52</v>
      </c>
      <c r="AE77" s="1"/>
      <c r="AF77" s="1">
        <v>46128</v>
      </c>
      <c r="AG77" s="1">
        <v>46125</v>
      </c>
      <c r="AH77" s="1">
        <v>46157</v>
      </c>
      <c r="AI77" s="1">
        <v>29</v>
      </c>
      <c r="AJ77" s="1">
        <v>0.03</v>
      </c>
      <c r="AK77" s="1" t="s">
        <v>46</v>
      </c>
      <c r="AL77" s="1">
        <v>9</v>
      </c>
      <c r="AM77" s="1"/>
      <c r="AN77" s="1"/>
      <c r="AO77" s="1"/>
      <c r="AP77" s="12" t="s">
        <v>206</v>
      </c>
      <c r="AQ77" s="13">
        <v>-12</v>
      </c>
      <c r="AR77" s="1" t="s">
        <v>53</v>
      </c>
      <c r="AS77" s="1" t="s">
        <v>54</v>
      </c>
    </row>
    <row r="78" spans="1:46" x14ac:dyDescent="0.35">
      <c r="A78" s="39">
        <v>46139</v>
      </c>
      <c r="B78" s="40" t="s">
        <v>474</v>
      </c>
      <c r="C78" s="40" t="s">
        <v>42</v>
      </c>
      <c r="D78" s="40">
        <v>14075085</v>
      </c>
      <c r="E78" s="40" t="s">
        <v>475</v>
      </c>
      <c r="F78" s="40">
        <v>100</v>
      </c>
      <c r="G78" s="40" t="s">
        <v>43</v>
      </c>
      <c r="H78" s="40" t="s">
        <v>55</v>
      </c>
      <c r="I78" s="40" t="s">
        <v>45</v>
      </c>
      <c r="J78" s="40" t="s">
        <v>45</v>
      </c>
      <c r="K78" s="39">
        <v>46133</v>
      </c>
      <c r="L78" s="40" t="s">
        <v>240</v>
      </c>
      <c r="M78" s="40">
        <v>2.35</v>
      </c>
      <c r="N78" s="40" t="s">
        <v>56</v>
      </c>
      <c r="O78" s="40">
        <v>1</v>
      </c>
      <c r="P78" s="40" t="s">
        <v>43</v>
      </c>
      <c r="Q78" s="40">
        <v>1606</v>
      </c>
      <c r="R78" s="40">
        <v>40</v>
      </c>
      <c r="S78" s="40">
        <v>4500902481</v>
      </c>
      <c r="T78" s="40" t="s">
        <v>261</v>
      </c>
      <c r="U78" s="40" t="s">
        <v>468</v>
      </c>
      <c r="V78" s="40" t="s">
        <v>57</v>
      </c>
      <c r="W78" s="40" t="s">
        <v>97</v>
      </c>
      <c r="X78" s="40" t="s">
        <v>293</v>
      </c>
      <c r="Y78" s="40">
        <v>0</v>
      </c>
      <c r="Z78" s="40" t="s">
        <v>50</v>
      </c>
      <c r="AA78" s="40" t="s">
        <v>60</v>
      </c>
      <c r="AB78" s="40" t="s">
        <v>51</v>
      </c>
      <c r="AC78" s="40"/>
      <c r="AD78" s="40" t="s">
        <v>52</v>
      </c>
      <c r="AE78" s="40"/>
      <c r="AF78" s="40">
        <v>46139</v>
      </c>
      <c r="AG78" s="40">
        <v>46139</v>
      </c>
      <c r="AH78" s="40">
        <v>46139</v>
      </c>
      <c r="AI78" s="40">
        <v>0</v>
      </c>
      <c r="AJ78" s="40">
        <v>8.17</v>
      </c>
      <c r="AK78" s="40" t="s">
        <v>46</v>
      </c>
      <c r="AL78" s="40">
        <v>817</v>
      </c>
      <c r="AM78" s="40"/>
      <c r="AN78" s="40"/>
      <c r="AO78" s="40"/>
      <c r="AP78" s="41" t="s">
        <v>476</v>
      </c>
      <c r="AQ78" s="42">
        <v>2</v>
      </c>
      <c r="AR78" s="40" t="s">
        <v>62</v>
      </c>
      <c r="AS78" s="40" t="s">
        <v>54</v>
      </c>
      <c r="AT78" s="28">
        <v>4500903748</v>
      </c>
    </row>
    <row r="79" spans="1:46" ht="16" customHeight="1" x14ac:dyDescent="0.35">
      <c r="A79" s="24"/>
      <c r="B79" s="21"/>
      <c r="C79" s="21"/>
      <c r="D79" s="21"/>
      <c r="E79" s="21"/>
      <c r="F79" s="21"/>
      <c r="G79" s="21"/>
      <c r="H79" s="21"/>
      <c r="I79" s="21"/>
      <c r="J79" s="21"/>
      <c r="K79" s="24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6"/>
      <c r="AQ79" s="27"/>
      <c r="AR79" s="21"/>
      <c r="AS79" s="21"/>
    </row>
    <row r="80" spans="1:46" x14ac:dyDescent="0.35">
      <c r="A80" s="24"/>
      <c r="B80" s="21"/>
      <c r="C80" s="21"/>
      <c r="D80" s="21"/>
      <c r="E80" s="21"/>
      <c r="F80" s="21"/>
      <c r="G80" s="21"/>
      <c r="H80" s="21"/>
      <c r="I80" s="21"/>
      <c r="J80" s="21"/>
      <c r="K80" s="24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6"/>
      <c r="AQ80" s="27"/>
      <c r="AR80" s="21"/>
      <c r="AS80" s="21"/>
    </row>
    <row r="81" spans="1:49" x14ac:dyDescent="0.35">
      <c r="A81" s="24"/>
      <c r="B81" s="21"/>
      <c r="C81" s="21"/>
      <c r="D81" s="21"/>
      <c r="E81" s="21"/>
      <c r="F81" s="21"/>
      <c r="G81" s="21"/>
      <c r="H81" s="21"/>
      <c r="I81" s="21"/>
      <c r="J81" s="21"/>
      <c r="K81" s="24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6"/>
      <c r="AQ81" s="27"/>
      <c r="AR81" s="21"/>
      <c r="AS81" s="21"/>
    </row>
    <row r="82" spans="1:49" x14ac:dyDescent="0.35">
      <c r="A82" s="24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6"/>
      <c r="AQ82" s="27"/>
      <c r="AR82" s="21"/>
      <c r="AS82" s="21"/>
    </row>
    <row r="83" spans="1:49" x14ac:dyDescent="0.35">
      <c r="A83" s="24"/>
      <c r="B83" s="21"/>
      <c r="C83" s="21"/>
      <c r="D83" s="21"/>
      <c r="E83" s="21"/>
      <c r="F83" s="21"/>
      <c r="G83" s="21"/>
      <c r="H83" s="21"/>
      <c r="I83" s="21"/>
      <c r="J83" s="21"/>
      <c r="K83" s="24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6"/>
      <c r="AQ83" s="27"/>
      <c r="AR83" s="21"/>
      <c r="AS83" s="21"/>
    </row>
    <row r="84" spans="1:49" x14ac:dyDescent="0.35">
      <c r="A84" s="24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6"/>
      <c r="AQ84" s="27"/>
      <c r="AR84" s="21"/>
      <c r="AS84" s="21"/>
    </row>
    <row r="85" spans="1:49" x14ac:dyDescent="0.35">
      <c r="A85" s="24"/>
      <c r="B85" s="21"/>
      <c r="C85" s="21"/>
      <c r="D85" s="21"/>
      <c r="E85" s="21"/>
      <c r="F85" s="21"/>
      <c r="G85" s="21"/>
      <c r="H85" s="21"/>
      <c r="I85" s="21"/>
      <c r="J85" s="21"/>
      <c r="K85" s="24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6"/>
      <c r="AQ85" s="27"/>
      <c r="AR85" s="21"/>
      <c r="AS85" s="21"/>
    </row>
    <row r="86" spans="1:49" x14ac:dyDescent="0.35">
      <c r="A86" s="24"/>
      <c r="B86" s="21"/>
      <c r="C86" s="21"/>
      <c r="D86" s="21"/>
      <c r="E86" s="21"/>
      <c r="F86" s="21"/>
      <c r="G86" s="21"/>
      <c r="H86" s="21"/>
      <c r="I86" s="21"/>
      <c r="J86" s="21"/>
      <c r="K86" s="24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6"/>
      <c r="AQ86" s="27"/>
      <c r="AR86" s="21"/>
      <c r="AS86" s="21"/>
    </row>
    <row r="87" spans="1:49" x14ac:dyDescent="0.35">
      <c r="A87" s="24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6"/>
      <c r="AQ87" s="27"/>
      <c r="AR87" s="21"/>
      <c r="AS87" s="21"/>
    </row>
    <row r="88" spans="1:49" x14ac:dyDescent="0.35">
      <c r="A88" s="24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6"/>
      <c r="AQ88" s="27"/>
      <c r="AR88" s="21"/>
      <c r="AS88" s="21"/>
    </row>
    <row r="89" spans="1:49" x14ac:dyDescent="0.35">
      <c r="A89" s="24"/>
      <c r="B89" s="21"/>
      <c r="C89" s="21"/>
      <c r="D89" s="21"/>
      <c r="E89" s="21"/>
      <c r="F89" s="21"/>
      <c r="G89" s="21"/>
      <c r="H89" s="21"/>
      <c r="I89" s="21"/>
      <c r="J89" s="21"/>
      <c r="K89" s="24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6"/>
      <c r="AQ89" s="27"/>
      <c r="AR89" s="21"/>
      <c r="AS89" s="21"/>
    </row>
    <row r="90" spans="1:49" s="23" customFormat="1" x14ac:dyDescent="0.3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4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6"/>
      <c r="AQ90" s="27"/>
      <c r="AR90" s="21"/>
      <c r="AS90" s="21"/>
      <c r="AT90" s="64"/>
      <c r="AU90" s="22"/>
      <c r="AV90" s="22"/>
      <c r="AW90" s="22"/>
    </row>
    <row r="91" spans="1:49" x14ac:dyDescent="0.35">
      <c r="A91" s="24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6"/>
      <c r="AQ91" s="27"/>
      <c r="AR91" s="21"/>
      <c r="AS91" s="21"/>
    </row>
    <row r="92" spans="1:49" s="23" customFormat="1" x14ac:dyDescent="0.35">
      <c r="A92" s="24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6"/>
      <c r="AQ92" s="27"/>
      <c r="AR92" s="21"/>
      <c r="AS92" s="21"/>
      <c r="AT92" s="28"/>
      <c r="AU92" s="22"/>
      <c r="AV92" s="22"/>
      <c r="AW92" s="22"/>
    </row>
    <row r="93" spans="1:49" s="23" customFormat="1" x14ac:dyDescent="0.35">
      <c r="A93" s="24"/>
      <c r="B93" s="21"/>
      <c r="C93" s="21"/>
      <c r="D93" s="21"/>
      <c r="E93" s="21"/>
      <c r="F93" s="21"/>
      <c r="G93" s="21"/>
      <c r="H93" s="21"/>
      <c r="I93" s="21"/>
      <c r="J93" s="21"/>
      <c r="K93" s="24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6"/>
      <c r="AQ93" s="27"/>
      <c r="AR93" s="21"/>
      <c r="AS93" s="21"/>
      <c r="AT93" s="64"/>
      <c r="AU93" s="22"/>
      <c r="AV93" s="22"/>
      <c r="AW93" s="22"/>
    </row>
    <row r="94" spans="1:49" x14ac:dyDescent="0.35">
      <c r="A94" s="24"/>
      <c r="B94" s="21"/>
      <c r="C94" s="21"/>
      <c r="D94" s="21"/>
      <c r="E94" s="21"/>
      <c r="F94" s="21"/>
      <c r="G94" s="21"/>
      <c r="H94" s="21"/>
      <c r="I94" s="21"/>
      <c r="J94" s="21"/>
      <c r="K94" s="24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6"/>
      <c r="AQ94" s="27"/>
      <c r="AR94" s="21"/>
      <c r="AS94" s="21"/>
    </row>
    <row r="95" spans="1:49" x14ac:dyDescent="0.35">
      <c r="A95" s="24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6"/>
      <c r="AQ95" s="27"/>
      <c r="AR95" s="21"/>
      <c r="AS95" s="21"/>
    </row>
    <row r="96" spans="1:49" x14ac:dyDescent="0.35">
      <c r="A96" s="24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6"/>
      <c r="AQ96" s="27"/>
      <c r="AR96" s="21"/>
      <c r="AS96" s="21"/>
      <c r="AT96" s="64"/>
    </row>
    <row r="97" spans="1:49" x14ac:dyDescent="0.35">
      <c r="A97" s="24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6"/>
      <c r="AQ97" s="27"/>
      <c r="AR97" s="21"/>
      <c r="AS97" s="21"/>
    </row>
    <row r="98" spans="1:49" x14ac:dyDescent="0.35">
      <c r="A98" s="24"/>
      <c r="B98" s="21"/>
      <c r="C98" s="21"/>
      <c r="D98" s="21"/>
      <c r="E98" s="21"/>
      <c r="F98" s="21"/>
      <c r="G98" s="21"/>
      <c r="H98" s="21"/>
      <c r="I98" s="21"/>
      <c r="J98" s="21"/>
      <c r="K98" s="24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6"/>
      <c r="AQ98" s="27"/>
      <c r="AR98" s="21"/>
      <c r="AS98" s="21"/>
    </row>
    <row r="99" spans="1:49" x14ac:dyDescent="0.35">
      <c r="A99" s="24"/>
      <c r="B99" s="21"/>
      <c r="C99" s="21"/>
      <c r="D99" s="21"/>
      <c r="E99" s="21"/>
      <c r="F99" s="21"/>
      <c r="G99" s="21"/>
      <c r="H99" s="21"/>
      <c r="I99" s="21"/>
      <c r="J99" s="21"/>
      <c r="K99" s="24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6"/>
      <c r="AQ99" s="27"/>
      <c r="AR99" s="21"/>
      <c r="AS99" s="21"/>
    </row>
    <row r="100" spans="1:49" s="23" customFormat="1" x14ac:dyDescent="0.35">
      <c r="A100" s="24"/>
      <c r="B100" s="21"/>
      <c r="C100" s="21"/>
      <c r="D100" s="21"/>
      <c r="E100" s="21"/>
      <c r="F100" s="21"/>
      <c r="G100" s="21"/>
      <c r="H100" s="21"/>
      <c r="I100" s="21"/>
      <c r="J100" s="21"/>
      <c r="K100" s="24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6"/>
      <c r="AQ100" s="27"/>
      <c r="AR100" s="21"/>
      <c r="AS100" s="21"/>
      <c r="AT100" s="28"/>
      <c r="AU100" s="22"/>
      <c r="AV100" s="22"/>
      <c r="AW100" s="22"/>
    </row>
    <row r="101" spans="1:49" x14ac:dyDescent="0.35">
      <c r="A101" s="24"/>
      <c r="B101" s="21"/>
      <c r="C101" s="21"/>
      <c r="D101" s="21"/>
      <c r="E101" s="21"/>
      <c r="F101" s="21"/>
      <c r="G101" s="21"/>
      <c r="H101" s="21"/>
      <c r="I101" s="21"/>
      <c r="J101" s="21"/>
      <c r="K101" s="24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6"/>
      <c r="AQ101" s="27"/>
      <c r="AR101" s="21"/>
      <c r="AS101" s="21"/>
    </row>
    <row r="102" spans="1:49" x14ac:dyDescent="0.35">
      <c r="A102" s="24"/>
      <c r="B102" s="21"/>
      <c r="C102" s="21"/>
      <c r="D102" s="21"/>
      <c r="E102" s="21"/>
      <c r="F102" s="21"/>
      <c r="G102" s="21"/>
      <c r="H102" s="21"/>
      <c r="I102" s="21"/>
      <c r="J102" s="21"/>
      <c r="K102" s="24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6"/>
      <c r="AQ102" s="27"/>
      <c r="AR102" s="21"/>
      <c r="AS102" s="21"/>
    </row>
    <row r="103" spans="1:49" x14ac:dyDescent="0.35">
      <c r="A103" s="24"/>
      <c r="B103" s="21"/>
      <c r="C103" s="21"/>
      <c r="D103" s="21"/>
      <c r="E103" s="21"/>
      <c r="F103" s="21"/>
      <c r="G103" s="21"/>
      <c r="H103" s="21"/>
      <c r="I103" s="21"/>
      <c r="J103" s="21"/>
      <c r="K103" s="24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6"/>
      <c r="AQ103" s="27"/>
      <c r="AR103" s="21"/>
      <c r="AS103" s="21"/>
    </row>
    <row r="104" spans="1:49" x14ac:dyDescent="0.35">
      <c r="A104" s="24"/>
      <c r="B104" s="21"/>
      <c r="C104" s="21"/>
      <c r="D104" s="21"/>
      <c r="E104" s="21"/>
      <c r="F104" s="21"/>
      <c r="G104" s="21"/>
      <c r="H104" s="21"/>
      <c r="I104" s="21"/>
      <c r="J104" s="21"/>
      <c r="K104" s="24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6"/>
      <c r="AQ104" s="27"/>
      <c r="AR104" s="21"/>
      <c r="AS104" s="21"/>
    </row>
    <row r="105" spans="1:49" x14ac:dyDescent="0.35">
      <c r="A105" s="24"/>
      <c r="B105" s="21"/>
      <c r="C105" s="21"/>
      <c r="D105" s="21"/>
      <c r="E105" s="21"/>
      <c r="F105" s="21"/>
      <c r="G105" s="21"/>
      <c r="H105" s="21"/>
      <c r="I105" s="21"/>
      <c r="J105" s="21"/>
      <c r="K105" s="24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6"/>
      <c r="AQ105" s="27"/>
      <c r="AR105" s="21"/>
      <c r="AS105" s="21"/>
    </row>
    <row r="106" spans="1:49" x14ac:dyDescent="0.35">
      <c r="A106" s="24"/>
      <c r="B106" s="21"/>
      <c r="C106" s="21"/>
      <c r="D106" s="21"/>
      <c r="E106" s="21"/>
      <c r="F106" s="21"/>
      <c r="G106" s="21"/>
      <c r="H106" s="21"/>
      <c r="I106" s="21"/>
      <c r="J106" s="21"/>
      <c r="K106" s="24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6"/>
      <c r="AQ106" s="27"/>
      <c r="AR106" s="21"/>
      <c r="AS106" s="21"/>
    </row>
    <row r="107" spans="1:49" s="23" customFormat="1" x14ac:dyDescent="0.35">
      <c r="A107" s="24"/>
      <c r="B107" s="21"/>
      <c r="C107" s="21"/>
      <c r="D107" s="21"/>
      <c r="E107" s="21"/>
      <c r="F107" s="21"/>
      <c r="G107" s="21"/>
      <c r="H107" s="21"/>
      <c r="I107" s="21"/>
      <c r="J107" s="21"/>
      <c r="K107" s="24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6"/>
      <c r="AQ107" s="27"/>
      <c r="AR107" s="21"/>
      <c r="AS107" s="21"/>
      <c r="AT107" s="64"/>
      <c r="AU107" s="22"/>
      <c r="AV107" s="22"/>
      <c r="AW107" s="22"/>
    </row>
    <row r="108" spans="1:49" s="23" customFormat="1" x14ac:dyDescent="0.35">
      <c r="A108" s="24"/>
      <c r="B108" s="21"/>
      <c r="C108" s="21"/>
      <c r="D108" s="21"/>
      <c r="E108" s="21"/>
      <c r="F108" s="21"/>
      <c r="G108" s="21"/>
      <c r="H108" s="21"/>
      <c r="I108" s="21"/>
      <c r="J108" s="21"/>
      <c r="K108" s="24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6"/>
      <c r="AQ108" s="27"/>
      <c r="AR108" s="21"/>
      <c r="AS108" s="21"/>
      <c r="AT108" s="28"/>
      <c r="AU108" s="22"/>
      <c r="AV108" s="22"/>
      <c r="AW108" s="22"/>
    </row>
    <row r="109" spans="1:49" x14ac:dyDescent="0.35">
      <c r="A109" s="24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6"/>
      <c r="AQ109" s="27"/>
      <c r="AR109" s="21"/>
      <c r="AS109" s="21"/>
    </row>
    <row r="110" spans="1:49" x14ac:dyDescent="0.35">
      <c r="A110" s="24"/>
      <c r="B110" s="21"/>
      <c r="C110" s="21"/>
      <c r="D110" s="21"/>
      <c r="E110" s="21"/>
      <c r="F110" s="21"/>
      <c r="G110" s="21"/>
      <c r="H110" s="21"/>
      <c r="I110" s="21"/>
      <c r="J110" s="21"/>
      <c r="K110" s="24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6"/>
      <c r="AQ110" s="27"/>
      <c r="AR110" s="21"/>
      <c r="AS110" s="21"/>
    </row>
    <row r="111" spans="1:49" x14ac:dyDescent="0.35">
      <c r="A111" s="24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6"/>
      <c r="AQ111" s="27"/>
      <c r="AR111" s="21"/>
      <c r="AS111" s="21"/>
    </row>
    <row r="112" spans="1:49" x14ac:dyDescent="0.35">
      <c r="A112" s="24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6"/>
      <c r="AQ112" s="27"/>
      <c r="AR112" s="21"/>
      <c r="AS112" s="21"/>
    </row>
    <row r="113" spans="1:46" x14ac:dyDescent="0.35">
      <c r="A113" s="24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6"/>
      <c r="AQ113" s="27"/>
      <c r="AR113" s="21"/>
      <c r="AS113" s="21"/>
    </row>
    <row r="114" spans="1:46" x14ac:dyDescent="0.35">
      <c r="A114" s="24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6"/>
      <c r="AQ114" s="27"/>
      <c r="AR114" s="21"/>
      <c r="AS114" s="21"/>
    </row>
    <row r="115" spans="1:46" x14ac:dyDescent="0.35">
      <c r="A115" s="24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6"/>
      <c r="AQ115" s="27"/>
      <c r="AR115" s="21"/>
      <c r="AS115" s="21"/>
    </row>
    <row r="116" spans="1:46" x14ac:dyDescent="0.35">
      <c r="A116" s="24"/>
      <c r="B116" s="21"/>
      <c r="C116" s="21"/>
      <c r="D116" s="21"/>
      <c r="E116" s="21"/>
      <c r="F116" s="21"/>
      <c r="G116" s="21"/>
      <c r="H116" s="21"/>
      <c r="I116" s="21"/>
      <c r="J116" s="21"/>
      <c r="K116" s="24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6"/>
      <c r="AQ116" s="27"/>
      <c r="AR116" s="21"/>
      <c r="AS116" s="21"/>
    </row>
    <row r="117" spans="1:46" x14ac:dyDescent="0.35">
      <c r="A117" s="24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6"/>
      <c r="AQ117" s="27"/>
      <c r="AR117" s="21"/>
      <c r="AS117" s="21"/>
      <c r="AT117" s="64"/>
    </row>
    <row r="118" spans="1:46" x14ac:dyDescent="0.35">
      <c r="A118" s="24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6"/>
      <c r="AQ118" s="27"/>
      <c r="AR118" s="21"/>
      <c r="AS118" s="21"/>
    </row>
    <row r="119" spans="1:46" x14ac:dyDescent="0.35">
      <c r="A119" s="24"/>
      <c r="B119" s="21"/>
      <c r="C119" s="21"/>
      <c r="D119" s="21"/>
      <c r="E119" s="21"/>
      <c r="F119" s="21"/>
      <c r="G119" s="21"/>
      <c r="H119" s="21"/>
      <c r="I119" s="21"/>
      <c r="J119" s="21"/>
      <c r="K119" s="24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6"/>
      <c r="AQ119" s="27"/>
      <c r="AR119" s="21"/>
      <c r="AS119" s="21"/>
    </row>
    <row r="120" spans="1:46" x14ac:dyDescent="0.35">
      <c r="A120" s="24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6"/>
      <c r="AQ120" s="27"/>
      <c r="AR120" s="21"/>
      <c r="AS120" s="21"/>
    </row>
    <row r="121" spans="1:46" x14ac:dyDescent="0.35">
      <c r="A121" s="24"/>
      <c r="B121" s="21"/>
      <c r="C121" s="21"/>
      <c r="D121" s="21"/>
      <c r="E121" s="21"/>
      <c r="F121" s="21"/>
      <c r="G121" s="21"/>
      <c r="H121" s="21"/>
      <c r="I121" s="21"/>
      <c r="J121" s="21"/>
      <c r="K121" s="24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6"/>
      <c r="AQ121" s="27"/>
      <c r="AR121" s="21"/>
      <c r="AS121" s="21"/>
    </row>
    <row r="122" spans="1:46" x14ac:dyDescent="0.35">
      <c r="A122" s="24"/>
      <c r="B122" s="21"/>
      <c r="C122" s="21"/>
      <c r="D122" s="21"/>
      <c r="E122" s="21"/>
      <c r="F122" s="21"/>
      <c r="G122" s="21"/>
      <c r="H122" s="21"/>
      <c r="I122" s="21"/>
      <c r="J122" s="21"/>
      <c r="K122" s="24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6"/>
      <c r="AQ122" s="27"/>
      <c r="AR122" s="21"/>
      <c r="AS122" s="21"/>
    </row>
    <row r="123" spans="1:46" x14ac:dyDescent="0.35">
      <c r="A123" s="24"/>
      <c r="B123" s="21"/>
      <c r="C123" s="21"/>
      <c r="D123" s="21"/>
      <c r="E123" s="21"/>
      <c r="F123" s="21"/>
      <c r="G123" s="21"/>
      <c r="H123" s="21"/>
      <c r="I123" s="21"/>
      <c r="J123" s="21"/>
      <c r="K123" s="24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6"/>
      <c r="AQ123" s="27"/>
      <c r="AR123" s="21"/>
      <c r="AS123" s="21"/>
    </row>
    <row r="124" spans="1:46" ht="15.5" customHeight="1" x14ac:dyDescent="0.35">
      <c r="A124" s="24"/>
      <c r="B124" s="21"/>
      <c r="C124" s="21"/>
      <c r="D124" s="21"/>
      <c r="E124" s="21"/>
      <c r="F124" s="21"/>
      <c r="G124" s="21"/>
      <c r="H124" s="21"/>
      <c r="I124" s="21"/>
      <c r="J124" s="21"/>
      <c r="K124" s="24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6"/>
      <c r="AQ124" s="27"/>
      <c r="AR124" s="21"/>
      <c r="AS124" s="21"/>
    </row>
    <row r="125" spans="1:46" x14ac:dyDescent="0.35">
      <c r="A125" s="24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6"/>
      <c r="AQ125" s="27"/>
      <c r="AR125" s="21"/>
      <c r="AS125" s="21"/>
      <c r="AT125" s="64"/>
    </row>
    <row r="126" spans="1:46" x14ac:dyDescent="0.35">
      <c r="A126" s="24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6"/>
      <c r="AQ126" s="27"/>
      <c r="AR126" s="21"/>
      <c r="AS126" s="21"/>
    </row>
    <row r="127" spans="1:46" x14ac:dyDescent="0.35">
      <c r="A127" s="24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6"/>
      <c r="AQ127" s="27"/>
      <c r="AR127" s="21"/>
      <c r="AS127" s="21"/>
    </row>
    <row r="128" spans="1:46" x14ac:dyDescent="0.35">
      <c r="A128" s="24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6"/>
      <c r="AQ128" s="27"/>
      <c r="AR128" s="21"/>
      <c r="AS128" s="21"/>
    </row>
    <row r="129" spans="1:45" ht="18.5" customHeight="1" x14ac:dyDescent="0.35">
      <c r="A129" s="24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6"/>
      <c r="AQ129" s="27"/>
      <c r="AR129" s="21"/>
      <c r="AS129" s="21"/>
    </row>
    <row r="130" spans="1:45" x14ac:dyDescent="0.35">
      <c r="A130" s="24"/>
      <c r="B130" s="21"/>
      <c r="C130" s="21"/>
      <c r="D130" s="21"/>
      <c r="E130" s="21"/>
      <c r="F130" s="21"/>
      <c r="G130" s="21"/>
      <c r="H130" s="21"/>
      <c r="I130" s="21"/>
      <c r="J130" s="21"/>
      <c r="K130" s="24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6"/>
      <c r="AQ130" s="27"/>
      <c r="AR130" s="21"/>
      <c r="AS130" s="21"/>
    </row>
    <row r="131" spans="1:45" x14ac:dyDescent="0.35">
      <c r="A131" s="24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6"/>
      <c r="AQ131" s="27"/>
      <c r="AR131" s="21"/>
      <c r="AS131" s="21"/>
    </row>
    <row r="132" spans="1:45" x14ac:dyDescent="0.35">
      <c r="A132" s="24"/>
      <c r="B132" s="21"/>
      <c r="C132" s="21"/>
      <c r="D132" s="21"/>
      <c r="E132" s="21"/>
      <c r="F132" s="21"/>
      <c r="G132" s="21"/>
      <c r="H132" s="21"/>
      <c r="I132" s="21"/>
      <c r="J132" s="21"/>
      <c r="K132" s="24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6"/>
      <c r="AQ132" s="27"/>
      <c r="AR132" s="21"/>
      <c r="AS132" s="21"/>
    </row>
    <row r="133" spans="1:45" x14ac:dyDescent="0.35">
      <c r="A133" s="24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6"/>
      <c r="AQ133" s="27"/>
      <c r="AR133" s="21"/>
      <c r="AS133" s="21"/>
    </row>
    <row r="134" spans="1:45" x14ac:dyDescent="0.35">
      <c r="A134" s="24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6"/>
      <c r="AQ134" s="27"/>
      <c r="AR134" s="21"/>
      <c r="AS134" s="21"/>
    </row>
    <row r="135" spans="1:45" x14ac:dyDescent="0.35">
      <c r="A135" s="24"/>
      <c r="B135" s="21"/>
      <c r="C135" s="21"/>
      <c r="D135" s="21"/>
      <c r="E135" s="21"/>
      <c r="F135" s="21"/>
      <c r="G135" s="21"/>
      <c r="H135" s="21"/>
      <c r="I135" s="21"/>
      <c r="J135" s="21"/>
      <c r="K135" s="24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6"/>
      <c r="AQ135" s="27"/>
      <c r="AR135" s="21"/>
      <c r="AS135" s="21"/>
    </row>
    <row r="136" spans="1:45" x14ac:dyDescent="0.35">
      <c r="A136" s="24"/>
      <c r="B136" s="21"/>
      <c r="C136" s="21"/>
      <c r="D136" s="21"/>
      <c r="E136" s="21"/>
      <c r="F136" s="21"/>
      <c r="G136" s="21"/>
      <c r="H136" s="21"/>
      <c r="I136" s="21"/>
      <c r="J136" s="21"/>
      <c r="K136" s="24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6"/>
      <c r="AQ136" s="27"/>
      <c r="AR136" s="21"/>
      <c r="AS136" s="21"/>
    </row>
    <row r="137" spans="1:45" ht="15" customHeight="1" x14ac:dyDescent="0.35">
      <c r="A137" s="24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6"/>
      <c r="AQ137" s="27"/>
      <c r="AR137" s="21"/>
      <c r="AS137" s="21"/>
    </row>
    <row r="138" spans="1:45" x14ac:dyDescent="0.35">
      <c r="A138" s="24"/>
      <c r="B138" s="21"/>
      <c r="C138" s="21"/>
      <c r="D138" s="21"/>
      <c r="E138" s="21"/>
      <c r="F138" s="21"/>
      <c r="G138" s="21"/>
      <c r="H138" s="21"/>
      <c r="I138" s="21"/>
      <c r="J138" s="21"/>
      <c r="K138" s="24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6"/>
      <c r="AQ138" s="27"/>
      <c r="AR138" s="21"/>
      <c r="AS138" s="21"/>
    </row>
    <row r="139" spans="1:45" x14ac:dyDescent="0.35">
      <c r="A139" s="24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6"/>
      <c r="AQ139" s="27"/>
      <c r="AR139" s="21"/>
      <c r="AS139" s="21"/>
    </row>
    <row r="140" spans="1:45" ht="32.5" customHeight="1" x14ac:dyDescent="0.35">
      <c r="A140" s="24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6"/>
      <c r="AQ140" s="27"/>
      <c r="AR140" s="21"/>
      <c r="AS140" s="21"/>
    </row>
    <row r="141" spans="1:45" x14ac:dyDescent="0.35">
      <c r="A141" s="24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6"/>
      <c r="AQ141" s="27"/>
      <c r="AR141" s="21"/>
      <c r="AS141" s="21"/>
    </row>
    <row r="142" spans="1:45" x14ac:dyDescent="0.35">
      <c r="A142" s="24"/>
      <c r="B142" s="21"/>
      <c r="C142" s="21"/>
      <c r="D142" s="21"/>
      <c r="E142" s="21"/>
      <c r="F142" s="21"/>
      <c r="G142" s="21"/>
      <c r="H142" s="21"/>
      <c r="I142" s="21"/>
      <c r="J142" s="21"/>
      <c r="K142" s="24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6"/>
      <c r="AQ142" s="27"/>
      <c r="AR142" s="21"/>
      <c r="AS142" s="21"/>
    </row>
    <row r="143" spans="1:45" x14ac:dyDescent="0.35">
      <c r="A143" s="24"/>
      <c r="B143" s="21"/>
      <c r="C143" s="21"/>
      <c r="D143" s="21"/>
      <c r="E143" s="21"/>
      <c r="F143" s="21"/>
      <c r="G143" s="21"/>
      <c r="H143" s="21"/>
      <c r="I143" s="21"/>
      <c r="J143" s="21"/>
      <c r="K143" s="24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6"/>
      <c r="AQ143" s="27"/>
      <c r="AR143" s="21"/>
      <c r="AS143" s="21"/>
    </row>
    <row r="144" spans="1:45" x14ac:dyDescent="0.35">
      <c r="A144" s="24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6"/>
      <c r="AQ144" s="27"/>
      <c r="AR144" s="21"/>
      <c r="AS144" s="21"/>
    </row>
    <row r="145" spans="1:45" x14ac:dyDescent="0.35">
      <c r="A145" s="24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6"/>
      <c r="AQ145" s="27"/>
      <c r="AR145" s="21"/>
      <c r="AS145" s="21"/>
    </row>
    <row r="146" spans="1:45" x14ac:dyDescent="0.35">
      <c r="A146" s="24"/>
      <c r="B146" s="21"/>
      <c r="C146" s="21"/>
      <c r="D146" s="21"/>
      <c r="E146" s="21"/>
      <c r="F146" s="21"/>
      <c r="G146" s="21"/>
      <c r="H146" s="21"/>
      <c r="I146" s="21"/>
      <c r="J146" s="21"/>
      <c r="K146" s="24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6"/>
      <c r="AQ146" s="27"/>
      <c r="AR146" s="21"/>
      <c r="AS146" s="21"/>
    </row>
    <row r="147" spans="1:45" x14ac:dyDescent="0.35">
      <c r="A147" s="24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6"/>
      <c r="AQ147" s="27"/>
      <c r="AR147" s="21"/>
      <c r="AS147" s="21"/>
    </row>
    <row r="148" spans="1:45" x14ac:dyDescent="0.35">
      <c r="A148" s="24"/>
      <c r="B148" s="21"/>
      <c r="C148" s="21"/>
      <c r="D148" s="21"/>
      <c r="E148" s="21"/>
      <c r="F148" s="21"/>
      <c r="G148" s="21"/>
      <c r="H148" s="21"/>
      <c r="I148" s="21"/>
      <c r="J148" s="21"/>
      <c r="K148" s="24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6"/>
      <c r="AQ148" s="27"/>
      <c r="AR148" s="21"/>
      <c r="AS148" s="21"/>
    </row>
    <row r="149" spans="1:45" x14ac:dyDescent="0.35">
      <c r="A149" s="24"/>
      <c r="B149" s="21"/>
      <c r="C149" s="21"/>
      <c r="D149" s="21"/>
      <c r="E149" s="21"/>
      <c r="F149" s="21"/>
      <c r="G149" s="21"/>
      <c r="H149" s="21"/>
      <c r="I149" s="21"/>
      <c r="J149" s="21"/>
      <c r="K149" s="24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6"/>
      <c r="AQ149" s="27"/>
      <c r="AR149" s="21"/>
      <c r="AS149" s="21"/>
    </row>
    <row r="150" spans="1:45" x14ac:dyDescent="0.35">
      <c r="A150" s="24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6"/>
      <c r="AQ150" s="27"/>
      <c r="AR150" s="21"/>
      <c r="AS150" s="21"/>
    </row>
    <row r="151" spans="1:45" x14ac:dyDescent="0.35">
      <c r="A151" s="24"/>
      <c r="B151" s="21"/>
      <c r="C151" s="21"/>
      <c r="D151" s="21"/>
      <c r="E151" s="21"/>
      <c r="F151" s="21"/>
      <c r="G151" s="21"/>
      <c r="H151" s="21"/>
      <c r="I151" s="21"/>
      <c r="J151" s="21"/>
      <c r="K151" s="24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6"/>
      <c r="AQ151" s="27"/>
      <c r="AR151" s="21"/>
      <c r="AS151" s="21"/>
    </row>
    <row r="152" spans="1:45" x14ac:dyDescent="0.35">
      <c r="A152" s="24"/>
      <c r="B152" s="21"/>
      <c r="C152" s="21"/>
      <c r="D152" s="21"/>
      <c r="E152" s="21"/>
      <c r="F152" s="21"/>
      <c r="G152" s="21"/>
      <c r="H152" s="21"/>
      <c r="I152" s="21"/>
      <c r="J152" s="21"/>
      <c r="K152" s="24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6"/>
      <c r="AQ152" s="27"/>
      <c r="AR152" s="21"/>
      <c r="AS152" s="21"/>
    </row>
    <row r="153" spans="1:45" x14ac:dyDescent="0.35">
      <c r="A153" s="24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6"/>
      <c r="AQ153" s="27"/>
      <c r="AR153" s="21"/>
      <c r="AS153" s="21"/>
    </row>
    <row r="154" spans="1:45" x14ac:dyDescent="0.35">
      <c r="A154" s="24"/>
      <c r="B154" s="21"/>
      <c r="C154" s="21"/>
      <c r="D154" s="21"/>
      <c r="E154" s="21"/>
      <c r="F154" s="21"/>
      <c r="G154" s="21"/>
      <c r="H154" s="21"/>
      <c r="I154" s="21"/>
      <c r="J154" s="21"/>
      <c r="K154" s="24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6"/>
      <c r="AQ154" s="27"/>
      <c r="AR154" s="21"/>
      <c r="AS154" s="21"/>
    </row>
    <row r="155" spans="1:45" x14ac:dyDescent="0.35">
      <c r="A155" s="24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6"/>
      <c r="AQ155" s="27"/>
      <c r="AR155" s="21"/>
      <c r="AS155" s="21"/>
    </row>
    <row r="156" spans="1:45" x14ac:dyDescent="0.35">
      <c r="A156" s="24"/>
      <c r="B156" s="21"/>
      <c r="C156" s="21"/>
      <c r="D156" s="21"/>
      <c r="E156" s="21"/>
      <c r="F156" s="21"/>
      <c r="G156" s="21"/>
      <c r="H156" s="21"/>
      <c r="I156" s="21"/>
      <c r="J156" s="21"/>
      <c r="K156" s="24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6"/>
      <c r="AQ156" s="27"/>
      <c r="AR156" s="21"/>
      <c r="AS156" s="21"/>
    </row>
    <row r="157" spans="1:45" x14ac:dyDescent="0.35">
      <c r="A157" s="24"/>
      <c r="B157" s="21"/>
      <c r="C157" s="21"/>
      <c r="D157" s="21"/>
      <c r="E157" s="21"/>
      <c r="F157" s="21"/>
      <c r="G157" s="21"/>
      <c r="H157" s="21"/>
      <c r="I157" s="21"/>
      <c r="J157" s="21"/>
      <c r="K157" s="24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6"/>
      <c r="AQ157" s="27"/>
      <c r="AR157" s="21"/>
      <c r="AS157" s="21"/>
    </row>
    <row r="158" spans="1:45" x14ac:dyDescent="0.35">
      <c r="A158" s="24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6"/>
      <c r="AQ158" s="27"/>
      <c r="AR158" s="21"/>
      <c r="AS158" s="21"/>
    </row>
    <row r="159" spans="1:45" x14ac:dyDescent="0.35">
      <c r="A159" s="24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6"/>
      <c r="AQ159" s="27"/>
      <c r="AR159" s="21"/>
      <c r="AS159" s="21"/>
    </row>
    <row r="160" spans="1:45" x14ac:dyDescent="0.35">
      <c r="A160" s="24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6"/>
      <c r="AQ160" s="27"/>
      <c r="AR160" s="21"/>
      <c r="AS160" s="21"/>
    </row>
    <row r="161" spans="1:45" x14ac:dyDescent="0.35">
      <c r="A161" s="24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6"/>
      <c r="AQ161" s="27"/>
      <c r="AR161" s="21"/>
      <c r="AS161" s="21"/>
    </row>
    <row r="162" spans="1:45" x14ac:dyDescent="0.35">
      <c r="A162" s="24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6"/>
      <c r="AQ162" s="27"/>
      <c r="AR162" s="21"/>
      <c r="AS162" s="21"/>
    </row>
    <row r="163" spans="1:45" x14ac:dyDescent="0.35">
      <c r="A163" s="31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21"/>
      <c r="AP163" s="26"/>
      <c r="AQ163" s="27"/>
      <c r="AR163" s="21"/>
      <c r="AS163" s="21"/>
    </row>
    <row r="164" spans="1:45" x14ac:dyDescent="0.35">
      <c r="A164" s="24"/>
      <c r="B164" s="21"/>
      <c r="C164" s="21"/>
      <c r="D164" s="21"/>
      <c r="E164" s="21"/>
      <c r="F164" s="21"/>
      <c r="G164" s="21"/>
      <c r="H164" s="21"/>
      <c r="I164" s="21"/>
      <c r="J164" s="21"/>
      <c r="K164" s="24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6"/>
      <c r="AQ164" s="27"/>
      <c r="AR164" s="21"/>
      <c r="AS164" s="21"/>
    </row>
    <row r="165" spans="1:45" x14ac:dyDescent="0.35">
      <c r="A165" s="24"/>
      <c r="B165" s="21"/>
      <c r="C165" s="21"/>
      <c r="D165" s="21"/>
      <c r="E165" s="21"/>
      <c r="F165" s="21"/>
      <c r="G165" s="21"/>
      <c r="H165" s="21"/>
      <c r="I165" s="21"/>
      <c r="J165" s="21"/>
      <c r="K165" s="24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6"/>
      <c r="AQ165" s="27"/>
      <c r="AR165" s="21"/>
      <c r="AS165" s="21"/>
    </row>
    <row r="166" spans="1:45" x14ac:dyDescent="0.35">
      <c r="A166" s="24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6"/>
      <c r="AQ166" s="27"/>
      <c r="AR166" s="21"/>
      <c r="AS166" s="21"/>
    </row>
    <row r="167" spans="1:45" x14ac:dyDescent="0.35">
      <c r="A167" s="24"/>
      <c r="B167" s="21"/>
      <c r="C167" s="21"/>
      <c r="D167" s="21"/>
      <c r="E167" s="21"/>
      <c r="F167" s="21"/>
      <c r="G167" s="21"/>
      <c r="H167" s="21"/>
      <c r="I167" s="21"/>
      <c r="J167" s="21"/>
      <c r="K167" s="24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6"/>
      <c r="AQ167" s="27"/>
      <c r="AR167" s="21"/>
      <c r="AS167" s="21"/>
    </row>
    <row r="168" spans="1:45" x14ac:dyDescent="0.35">
      <c r="A168" s="24"/>
      <c r="B168" s="21"/>
      <c r="C168" s="21"/>
      <c r="D168" s="21"/>
      <c r="E168" s="21"/>
      <c r="F168" s="21"/>
      <c r="G168" s="21"/>
      <c r="H168" s="21"/>
      <c r="I168" s="21"/>
      <c r="J168" s="21"/>
      <c r="K168" s="24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6"/>
      <c r="AQ168" s="27"/>
      <c r="AR168" s="21"/>
      <c r="AS168" s="21"/>
    </row>
    <row r="169" spans="1:45" x14ac:dyDescent="0.35">
      <c r="A169" s="24"/>
      <c r="B169" s="21"/>
      <c r="C169" s="21"/>
      <c r="D169" s="21"/>
      <c r="E169" s="21"/>
      <c r="F169" s="21"/>
      <c r="G169" s="21"/>
      <c r="H169" s="21"/>
      <c r="I169" s="21"/>
      <c r="J169" s="21"/>
      <c r="K169" s="24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6"/>
      <c r="AQ169" s="27"/>
      <c r="AR169" s="21"/>
      <c r="AS169" s="21"/>
    </row>
    <row r="170" spans="1:45" x14ac:dyDescent="0.35">
      <c r="A170" s="24"/>
      <c r="B170" s="21"/>
      <c r="C170" s="21"/>
      <c r="D170" s="21"/>
      <c r="E170" s="21"/>
      <c r="F170" s="21"/>
      <c r="G170" s="21"/>
      <c r="H170" s="21"/>
      <c r="I170" s="21"/>
      <c r="J170" s="21"/>
      <c r="K170" s="24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6"/>
      <c r="AQ170" s="27"/>
      <c r="AR170" s="21"/>
      <c r="AS170" s="21"/>
    </row>
    <row r="171" spans="1:45" x14ac:dyDescent="0.35">
      <c r="A171" s="24"/>
      <c r="B171" s="21"/>
      <c r="C171" s="21"/>
      <c r="D171" s="21"/>
      <c r="E171" s="21"/>
      <c r="F171" s="21"/>
      <c r="G171" s="21"/>
      <c r="H171" s="21"/>
      <c r="I171" s="21"/>
      <c r="J171" s="21"/>
      <c r="K171" s="24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6"/>
      <c r="AQ171" s="27"/>
      <c r="AR171" s="21"/>
      <c r="AS171" s="21"/>
    </row>
    <row r="172" spans="1:45" x14ac:dyDescent="0.35">
      <c r="A172" s="24"/>
      <c r="B172" s="21"/>
      <c r="C172" s="21"/>
      <c r="D172" s="21"/>
      <c r="E172" s="21"/>
      <c r="F172" s="21"/>
      <c r="G172" s="21"/>
      <c r="H172" s="21"/>
      <c r="I172" s="21"/>
      <c r="J172" s="21"/>
      <c r="K172" s="24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6"/>
      <c r="AQ172" s="27"/>
      <c r="AR172" s="21"/>
      <c r="AS172" s="21"/>
    </row>
    <row r="173" spans="1:45" x14ac:dyDescent="0.35">
      <c r="A173" s="24"/>
      <c r="B173" s="21"/>
      <c r="C173" s="21"/>
      <c r="D173" s="21"/>
      <c r="E173" s="21"/>
      <c r="F173" s="21"/>
      <c r="G173" s="21"/>
      <c r="H173" s="21"/>
      <c r="I173" s="21"/>
      <c r="J173" s="21"/>
      <c r="K173" s="24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6"/>
      <c r="AQ173" s="27"/>
      <c r="AR173" s="21"/>
      <c r="AS173" s="21"/>
    </row>
    <row r="174" spans="1:45" x14ac:dyDescent="0.35">
      <c r="A174" s="24"/>
      <c r="B174" s="21"/>
      <c r="C174" s="21"/>
      <c r="D174" s="21"/>
      <c r="E174" s="21"/>
      <c r="F174" s="21"/>
      <c r="G174" s="21"/>
      <c r="H174" s="21"/>
      <c r="I174" s="21"/>
      <c r="J174" s="21"/>
      <c r="K174" s="24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6"/>
      <c r="AQ174" s="27"/>
      <c r="AR174" s="21"/>
      <c r="AS174" s="21"/>
    </row>
    <row r="175" spans="1:45" x14ac:dyDescent="0.35">
      <c r="A175" s="24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6"/>
      <c r="AQ175" s="27"/>
      <c r="AR175" s="21"/>
      <c r="AS175" s="21"/>
    </row>
    <row r="176" spans="1:45" x14ac:dyDescent="0.35">
      <c r="A176" s="24"/>
      <c r="B176" s="21"/>
      <c r="C176" s="21"/>
      <c r="D176" s="21"/>
      <c r="E176" s="21"/>
      <c r="F176" s="21"/>
      <c r="G176" s="21"/>
      <c r="H176" s="21"/>
      <c r="I176" s="21"/>
      <c r="J176" s="21"/>
      <c r="K176" s="24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6"/>
      <c r="AQ176" s="27"/>
      <c r="AR176" s="21"/>
      <c r="AS176" s="21"/>
    </row>
    <row r="177" spans="1:45" x14ac:dyDescent="0.35">
      <c r="A177" s="24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6"/>
      <c r="AQ177" s="27"/>
      <c r="AR177" s="21"/>
      <c r="AS177" s="21"/>
    </row>
    <row r="178" spans="1:45" x14ac:dyDescent="0.35">
      <c r="A178" s="24"/>
      <c r="B178" s="21"/>
      <c r="C178" s="21"/>
      <c r="D178" s="21"/>
      <c r="E178" s="21"/>
      <c r="F178" s="21"/>
      <c r="G178" s="21"/>
      <c r="H178" s="21"/>
      <c r="I178" s="21"/>
      <c r="J178" s="21"/>
      <c r="K178" s="24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6"/>
      <c r="AQ178" s="27"/>
      <c r="AR178" s="21"/>
      <c r="AS178" s="21"/>
    </row>
    <row r="179" spans="1:45" x14ac:dyDescent="0.35">
      <c r="A179" s="24"/>
      <c r="B179" s="21"/>
      <c r="C179" s="21"/>
      <c r="D179" s="21"/>
      <c r="E179" s="21"/>
      <c r="F179" s="21"/>
      <c r="G179" s="21"/>
      <c r="H179" s="21"/>
      <c r="I179" s="21"/>
      <c r="J179" s="21"/>
      <c r="K179" s="24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6"/>
      <c r="AQ179" s="27"/>
      <c r="AR179" s="21"/>
      <c r="AS179" s="21"/>
    </row>
    <row r="180" spans="1:45" x14ac:dyDescent="0.35">
      <c r="A180" s="24"/>
      <c r="B180" s="21"/>
      <c r="C180" s="21"/>
      <c r="D180" s="21"/>
      <c r="E180" s="21"/>
      <c r="F180" s="21"/>
      <c r="G180" s="21"/>
      <c r="H180" s="21"/>
      <c r="I180" s="21"/>
      <c r="J180" s="21"/>
      <c r="K180" s="24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6"/>
      <c r="AQ180" s="27"/>
      <c r="AR180" s="21"/>
      <c r="AS180" s="21"/>
    </row>
    <row r="181" spans="1:45" x14ac:dyDescent="0.35">
      <c r="A181" s="24"/>
      <c r="B181" s="21"/>
      <c r="C181" s="21"/>
      <c r="D181" s="21"/>
      <c r="E181" s="21"/>
      <c r="F181" s="21"/>
      <c r="G181" s="21"/>
      <c r="H181" s="21"/>
      <c r="I181" s="21"/>
      <c r="J181" s="21"/>
      <c r="K181" s="24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6"/>
      <c r="AQ181" s="27"/>
      <c r="AR181" s="21"/>
      <c r="AS181" s="21"/>
    </row>
    <row r="182" spans="1:45" x14ac:dyDescent="0.35">
      <c r="A182" s="24"/>
      <c r="B182" s="21"/>
      <c r="C182" s="21"/>
      <c r="D182" s="21"/>
      <c r="E182" s="21"/>
      <c r="F182" s="21"/>
      <c r="G182" s="21"/>
      <c r="H182" s="21"/>
      <c r="I182" s="21"/>
      <c r="J182" s="21"/>
      <c r="K182" s="24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6"/>
      <c r="AQ182" s="27"/>
      <c r="AR182" s="21"/>
      <c r="AS182" s="21"/>
    </row>
    <row r="183" spans="1:45" x14ac:dyDescent="0.35">
      <c r="A183" s="24"/>
      <c r="B183" s="21"/>
      <c r="C183" s="21"/>
      <c r="D183" s="21"/>
      <c r="E183" s="21"/>
      <c r="F183" s="21"/>
      <c r="G183" s="21"/>
      <c r="H183" s="21"/>
      <c r="I183" s="21"/>
      <c r="J183" s="21"/>
      <c r="K183" s="24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6"/>
      <c r="AQ183" s="27"/>
      <c r="AR183" s="21"/>
      <c r="AS183" s="21"/>
    </row>
    <row r="184" spans="1:45" x14ac:dyDescent="0.35">
      <c r="A184" s="24"/>
      <c r="B184" s="21"/>
      <c r="C184" s="21"/>
      <c r="D184" s="21"/>
      <c r="E184" s="21"/>
      <c r="F184" s="21"/>
      <c r="G184" s="21"/>
      <c r="H184" s="21"/>
      <c r="I184" s="21"/>
      <c r="J184" s="21"/>
      <c r="K184" s="24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6"/>
      <c r="AQ184" s="27"/>
      <c r="AR184" s="21"/>
      <c r="AS184" s="21"/>
    </row>
    <row r="185" spans="1:45" x14ac:dyDescent="0.35">
      <c r="A185" s="24"/>
      <c r="B185" s="21"/>
      <c r="C185" s="21"/>
      <c r="D185" s="21"/>
      <c r="E185" s="21"/>
      <c r="F185" s="21"/>
      <c r="G185" s="21"/>
      <c r="H185" s="21"/>
      <c r="I185" s="21"/>
      <c r="J185" s="21"/>
      <c r="K185" s="24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6"/>
      <c r="AQ185" s="27"/>
      <c r="AR185" s="21"/>
      <c r="AS185" s="21"/>
    </row>
    <row r="186" spans="1:45" x14ac:dyDescent="0.35">
      <c r="A186" s="24"/>
      <c r="B186" s="21"/>
      <c r="C186" s="21"/>
      <c r="D186" s="21"/>
      <c r="E186" s="21"/>
      <c r="F186" s="21"/>
      <c r="G186" s="21"/>
      <c r="H186" s="21"/>
      <c r="I186" s="21"/>
      <c r="J186" s="21"/>
      <c r="K186" s="24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6"/>
      <c r="AQ186" s="27"/>
      <c r="AR186" s="21"/>
      <c r="AS186" s="21"/>
    </row>
    <row r="187" spans="1:45" x14ac:dyDescent="0.35">
      <c r="A187" s="24"/>
      <c r="B187" s="21"/>
      <c r="C187" s="21"/>
      <c r="D187" s="21"/>
      <c r="E187" s="21"/>
      <c r="F187" s="21"/>
      <c r="G187" s="21"/>
      <c r="H187" s="21"/>
      <c r="I187" s="21"/>
      <c r="J187" s="21"/>
      <c r="K187" s="24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6"/>
      <c r="AQ187" s="27"/>
      <c r="AR187" s="21"/>
      <c r="AS187" s="21"/>
    </row>
    <row r="188" spans="1:45" x14ac:dyDescent="0.35">
      <c r="A188" s="24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6"/>
      <c r="AQ188" s="27"/>
      <c r="AR188" s="21"/>
      <c r="AS188" s="21"/>
    </row>
    <row r="189" spans="1:45" x14ac:dyDescent="0.35">
      <c r="A189" s="24"/>
      <c r="B189" s="21"/>
      <c r="C189" s="21"/>
      <c r="D189" s="21"/>
      <c r="E189" s="21"/>
      <c r="F189" s="21"/>
      <c r="G189" s="21"/>
      <c r="H189" s="21"/>
      <c r="I189" s="21"/>
      <c r="J189" s="21"/>
      <c r="K189" s="24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6"/>
      <c r="AQ189" s="27"/>
      <c r="AR189" s="21"/>
      <c r="AS189" s="21"/>
    </row>
    <row r="190" spans="1:45" x14ac:dyDescent="0.35">
      <c r="A190" s="24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6"/>
      <c r="AQ190" s="27"/>
      <c r="AR190" s="21"/>
      <c r="AS190" s="21"/>
    </row>
    <row r="191" spans="1:45" x14ac:dyDescent="0.35">
      <c r="A191" s="24"/>
      <c r="B191" s="21"/>
      <c r="C191" s="21"/>
      <c r="D191" s="21"/>
      <c r="E191" s="21"/>
      <c r="F191" s="21"/>
      <c r="G191" s="21"/>
      <c r="H191" s="21"/>
      <c r="I191" s="21"/>
      <c r="J191" s="21"/>
      <c r="K191" s="24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6"/>
      <c r="AQ191" s="27"/>
      <c r="AR191" s="21"/>
      <c r="AS191" s="21"/>
    </row>
    <row r="192" spans="1:45" x14ac:dyDescent="0.35">
      <c r="A192" s="24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6"/>
      <c r="AQ192" s="27"/>
      <c r="AR192" s="21"/>
      <c r="AS192" s="21"/>
    </row>
    <row r="193" spans="1:45" x14ac:dyDescent="0.35">
      <c r="A193" s="24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6"/>
      <c r="AQ193" s="27"/>
      <c r="AR193" s="21"/>
      <c r="AS193" s="21"/>
    </row>
    <row r="194" spans="1:45" x14ac:dyDescent="0.35">
      <c r="A194" s="24"/>
      <c r="B194" s="21"/>
      <c r="C194" s="21"/>
      <c r="D194" s="21"/>
      <c r="E194" s="21"/>
      <c r="F194" s="21"/>
      <c r="G194" s="21"/>
      <c r="H194" s="21"/>
      <c r="I194" s="21"/>
      <c r="J194" s="21"/>
      <c r="K194" s="24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6"/>
      <c r="AQ194" s="27"/>
      <c r="AR194" s="21"/>
      <c r="AS194" s="21"/>
    </row>
    <row r="195" spans="1:45" x14ac:dyDescent="0.35">
      <c r="A195" s="24"/>
      <c r="B195" s="21"/>
      <c r="C195" s="21"/>
      <c r="D195" s="21"/>
      <c r="E195" s="21"/>
      <c r="F195" s="21"/>
      <c r="G195" s="21"/>
      <c r="H195" s="21"/>
      <c r="I195" s="21"/>
      <c r="J195" s="21"/>
      <c r="K195" s="24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6"/>
      <c r="AQ195" s="27"/>
      <c r="AR195" s="21"/>
      <c r="AS195" s="21"/>
    </row>
    <row r="196" spans="1:45" x14ac:dyDescent="0.35">
      <c r="A196" s="24"/>
      <c r="B196" s="21"/>
      <c r="C196" s="21"/>
      <c r="D196" s="21"/>
      <c r="E196" s="21"/>
      <c r="F196" s="21"/>
      <c r="G196" s="21"/>
      <c r="H196" s="21"/>
      <c r="I196" s="21"/>
      <c r="J196" s="21"/>
      <c r="K196" s="24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6"/>
      <c r="AQ196" s="27"/>
      <c r="AR196" s="21"/>
      <c r="AS196" s="21"/>
    </row>
    <row r="197" spans="1:45" x14ac:dyDescent="0.35">
      <c r="A197" s="24"/>
      <c r="B197" s="21"/>
      <c r="C197" s="21"/>
      <c r="D197" s="21"/>
      <c r="E197" s="21"/>
      <c r="F197" s="21"/>
      <c r="G197" s="21"/>
      <c r="H197" s="21"/>
      <c r="I197" s="21"/>
      <c r="J197" s="21"/>
      <c r="K197" s="24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6"/>
      <c r="AQ197" s="27"/>
      <c r="AR197" s="21"/>
      <c r="AS197" s="21"/>
    </row>
    <row r="198" spans="1:45" x14ac:dyDescent="0.35">
      <c r="A198" s="24"/>
      <c r="B198" s="21"/>
      <c r="C198" s="21"/>
      <c r="D198" s="21"/>
      <c r="E198" s="21"/>
      <c r="F198" s="21"/>
      <c r="G198" s="21"/>
      <c r="H198" s="21"/>
      <c r="I198" s="21"/>
      <c r="J198" s="21"/>
      <c r="K198" s="24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6"/>
      <c r="AQ198" s="27"/>
      <c r="AR198" s="21"/>
      <c r="AS198" s="21"/>
    </row>
    <row r="199" spans="1:45" x14ac:dyDescent="0.35">
      <c r="A199" s="24"/>
      <c r="B199" s="21"/>
      <c r="C199" s="21"/>
      <c r="D199" s="21"/>
      <c r="E199" s="21"/>
      <c r="F199" s="21"/>
      <c r="G199" s="21"/>
      <c r="H199" s="21"/>
      <c r="I199" s="21"/>
      <c r="J199" s="21"/>
      <c r="K199" s="24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6"/>
      <c r="AQ199" s="27"/>
      <c r="AR199" s="21"/>
      <c r="AS199" s="21"/>
    </row>
    <row r="200" spans="1:45" x14ac:dyDescent="0.35">
      <c r="A200" s="24"/>
      <c r="B200" s="21"/>
      <c r="C200" s="21"/>
      <c r="D200" s="21"/>
      <c r="E200" s="21"/>
      <c r="F200" s="21"/>
      <c r="G200" s="21"/>
      <c r="H200" s="21"/>
      <c r="I200" s="21"/>
      <c r="J200" s="21"/>
      <c r="K200" s="24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6"/>
      <c r="AQ200" s="27"/>
      <c r="AR200" s="21"/>
      <c r="AS200" s="21"/>
    </row>
    <row r="201" spans="1:45" x14ac:dyDescent="0.35">
      <c r="A201" s="24"/>
      <c r="B201" s="21"/>
      <c r="C201" s="21"/>
      <c r="D201" s="21"/>
      <c r="E201" s="21"/>
      <c r="F201" s="21"/>
      <c r="G201" s="21"/>
      <c r="H201" s="21"/>
      <c r="I201" s="21"/>
      <c r="J201" s="21"/>
      <c r="K201" s="24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6"/>
      <c r="AQ201" s="27"/>
      <c r="AR201" s="21"/>
      <c r="AS201" s="21"/>
    </row>
    <row r="202" spans="1:45" x14ac:dyDescent="0.35">
      <c r="A202" s="24"/>
      <c r="B202" s="21"/>
      <c r="C202" s="21"/>
      <c r="D202" s="21"/>
      <c r="E202" s="21"/>
      <c r="F202" s="21"/>
      <c r="G202" s="21"/>
      <c r="H202" s="21"/>
      <c r="I202" s="21"/>
      <c r="J202" s="21"/>
      <c r="K202" s="24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6"/>
      <c r="AQ202" s="27"/>
      <c r="AR202" s="21"/>
      <c r="AS202" s="21"/>
    </row>
    <row r="203" spans="1:45" x14ac:dyDescent="0.35">
      <c r="A203" s="24"/>
      <c r="B203" s="21"/>
      <c r="C203" s="21"/>
      <c r="D203" s="21"/>
      <c r="E203" s="21"/>
      <c r="F203" s="21"/>
      <c r="G203" s="21"/>
      <c r="H203" s="21"/>
      <c r="I203" s="21"/>
      <c r="J203" s="21"/>
      <c r="K203" s="24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6"/>
      <c r="AQ203" s="27"/>
      <c r="AR203" s="21"/>
      <c r="AS203" s="21"/>
    </row>
    <row r="204" spans="1:45" x14ac:dyDescent="0.35">
      <c r="A204" s="24"/>
      <c r="B204" s="21"/>
      <c r="C204" s="21"/>
      <c r="D204" s="21"/>
      <c r="E204" s="21"/>
      <c r="F204" s="21"/>
      <c r="G204" s="21"/>
      <c r="H204" s="21"/>
      <c r="I204" s="21"/>
      <c r="J204" s="21"/>
      <c r="K204" s="24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6"/>
      <c r="AQ204" s="27"/>
      <c r="AR204" s="21"/>
      <c r="AS204" s="21"/>
    </row>
    <row r="205" spans="1:45" x14ac:dyDescent="0.35">
      <c r="A205" s="24"/>
      <c r="B205" s="21"/>
      <c r="C205" s="21"/>
      <c r="D205" s="21"/>
      <c r="E205" s="21"/>
      <c r="F205" s="21"/>
      <c r="G205" s="21"/>
      <c r="H205" s="21"/>
      <c r="I205" s="21"/>
      <c r="J205" s="21"/>
      <c r="K205" s="24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6"/>
      <c r="AQ205" s="27"/>
      <c r="AR205" s="21"/>
      <c r="AS205" s="21"/>
    </row>
    <row r="206" spans="1:45" x14ac:dyDescent="0.35">
      <c r="A206" s="24"/>
      <c r="B206" s="21"/>
      <c r="C206" s="21"/>
      <c r="D206" s="21"/>
      <c r="E206" s="21"/>
      <c r="F206" s="21"/>
      <c r="G206" s="21"/>
      <c r="H206" s="21"/>
      <c r="I206" s="21"/>
      <c r="J206" s="21"/>
      <c r="K206" s="24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6"/>
      <c r="AQ206" s="27"/>
      <c r="AR206" s="21"/>
      <c r="AS206" s="21"/>
    </row>
    <row r="207" spans="1:45" x14ac:dyDescent="0.35">
      <c r="A207" s="24"/>
      <c r="B207" s="21"/>
      <c r="C207" s="21"/>
      <c r="D207" s="21"/>
      <c r="E207" s="21"/>
      <c r="F207" s="21"/>
      <c r="G207" s="21"/>
      <c r="H207" s="21"/>
      <c r="I207" s="21"/>
      <c r="J207" s="21"/>
      <c r="K207" s="24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6"/>
      <c r="AQ207" s="27"/>
      <c r="AR207" s="21"/>
      <c r="AS207" s="21"/>
    </row>
    <row r="208" spans="1:45" x14ac:dyDescent="0.35">
      <c r="A208" s="24"/>
      <c r="B208" s="21"/>
      <c r="C208" s="21"/>
      <c r="D208" s="21"/>
      <c r="E208" s="21"/>
      <c r="F208" s="21"/>
      <c r="G208" s="21"/>
      <c r="H208" s="21"/>
      <c r="I208" s="21"/>
      <c r="J208" s="21"/>
      <c r="K208" s="24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6"/>
      <c r="AQ208" s="27"/>
      <c r="AR208" s="21"/>
      <c r="AS208" s="21"/>
    </row>
    <row r="209" spans="1:45" x14ac:dyDescent="0.35">
      <c r="A209" s="24"/>
      <c r="B209" s="21"/>
      <c r="C209" s="21"/>
      <c r="D209" s="21"/>
      <c r="E209" s="21"/>
      <c r="F209" s="21"/>
      <c r="G209" s="21"/>
      <c r="H209" s="21"/>
      <c r="I209" s="21"/>
      <c r="J209" s="21"/>
      <c r="K209" s="24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6"/>
      <c r="AQ209" s="27"/>
      <c r="AR209" s="21"/>
      <c r="AS209" s="21"/>
    </row>
    <row r="210" spans="1:45" x14ac:dyDescent="0.35">
      <c r="A210" s="24"/>
      <c r="B210" s="21"/>
      <c r="C210" s="21"/>
      <c r="D210" s="21"/>
      <c r="E210" s="21"/>
      <c r="F210" s="21"/>
      <c r="G210" s="21"/>
      <c r="H210" s="21"/>
      <c r="I210" s="21"/>
      <c r="J210" s="21"/>
      <c r="K210" s="24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6"/>
      <c r="AQ210" s="27"/>
      <c r="AR210" s="21"/>
      <c r="AS210" s="21"/>
    </row>
    <row r="211" spans="1:45" x14ac:dyDescent="0.35">
      <c r="A211" s="24"/>
      <c r="B211" s="21"/>
      <c r="C211" s="21"/>
      <c r="D211" s="21"/>
      <c r="E211" s="21"/>
      <c r="F211" s="21"/>
      <c r="G211" s="21"/>
      <c r="H211" s="21"/>
      <c r="I211" s="21"/>
      <c r="J211" s="21"/>
      <c r="K211" s="24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6"/>
      <c r="AQ211" s="27"/>
      <c r="AR211" s="21"/>
      <c r="AS211" s="21"/>
    </row>
    <row r="212" spans="1:45" x14ac:dyDescent="0.35">
      <c r="A212" s="24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6"/>
      <c r="AQ212" s="27"/>
      <c r="AR212" s="21"/>
      <c r="AS212" s="21"/>
    </row>
    <row r="213" spans="1:45" x14ac:dyDescent="0.35">
      <c r="A213" s="24"/>
      <c r="B213" s="21"/>
      <c r="C213" s="21"/>
      <c r="D213" s="21"/>
      <c r="E213" s="21"/>
      <c r="F213" s="21"/>
      <c r="G213" s="21"/>
      <c r="H213" s="21"/>
      <c r="I213" s="21"/>
      <c r="J213" s="21"/>
      <c r="K213" s="24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6"/>
      <c r="AQ213" s="27"/>
      <c r="AR213" s="21"/>
      <c r="AS213" s="21"/>
    </row>
    <row r="214" spans="1:45" x14ac:dyDescent="0.35">
      <c r="A214" s="24"/>
      <c r="B214" s="21"/>
      <c r="C214" s="21"/>
      <c r="D214" s="21"/>
      <c r="E214" s="21"/>
      <c r="F214" s="21"/>
      <c r="G214" s="21"/>
      <c r="H214" s="21"/>
      <c r="I214" s="21"/>
      <c r="J214" s="21"/>
      <c r="K214" s="24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6"/>
      <c r="AQ214" s="27"/>
      <c r="AR214" s="21"/>
      <c r="AS214" s="21"/>
    </row>
    <row r="215" spans="1:45" x14ac:dyDescent="0.35">
      <c r="A215" s="24"/>
      <c r="B215" s="21"/>
      <c r="C215" s="21"/>
      <c r="D215" s="21"/>
      <c r="E215" s="21"/>
      <c r="F215" s="21"/>
      <c r="G215" s="21"/>
      <c r="H215" s="21"/>
      <c r="I215" s="21"/>
      <c r="J215" s="21"/>
      <c r="K215" s="24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6"/>
      <c r="AQ215" s="27"/>
      <c r="AR215" s="21"/>
      <c r="AS215" s="21"/>
    </row>
    <row r="216" spans="1:45" x14ac:dyDescent="0.35">
      <c r="A216" s="24"/>
      <c r="B216" s="21"/>
      <c r="C216" s="21"/>
      <c r="D216" s="21"/>
      <c r="E216" s="21"/>
      <c r="F216" s="21"/>
      <c r="G216" s="21"/>
      <c r="H216" s="21"/>
      <c r="I216" s="21"/>
      <c r="J216" s="21"/>
      <c r="K216" s="24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6"/>
      <c r="AQ216" s="27"/>
      <c r="AR216" s="21"/>
      <c r="AS216" s="21"/>
    </row>
    <row r="217" spans="1:45" x14ac:dyDescent="0.35">
      <c r="A217" s="24"/>
      <c r="B217" s="21"/>
      <c r="C217" s="21"/>
      <c r="D217" s="21"/>
      <c r="E217" s="21"/>
      <c r="F217" s="21"/>
      <c r="G217" s="21"/>
      <c r="H217" s="21"/>
      <c r="I217" s="21"/>
      <c r="J217" s="21"/>
      <c r="K217" s="24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6"/>
      <c r="AQ217" s="27"/>
      <c r="AR217" s="21"/>
      <c r="AS217" s="21"/>
    </row>
    <row r="218" spans="1:45" x14ac:dyDescent="0.35">
      <c r="A218" s="24"/>
      <c r="B218" s="21"/>
      <c r="C218" s="21"/>
      <c r="D218" s="21"/>
      <c r="E218" s="21"/>
      <c r="F218" s="21"/>
      <c r="G218" s="21"/>
      <c r="H218" s="21"/>
      <c r="I218" s="21"/>
      <c r="J218" s="21"/>
      <c r="K218" s="24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6"/>
      <c r="AQ218" s="27"/>
      <c r="AR218" s="21"/>
      <c r="AS218" s="21"/>
    </row>
    <row r="219" spans="1:45" x14ac:dyDescent="0.35">
      <c r="A219" s="24"/>
      <c r="B219" s="21"/>
      <c r="C219" s="21"/>
      <c r="D219" s="21"/>
      <c r="E219" s="21"/>
      <c r="F219" s="21"/>
      <c r="G219" s="21"/>
      <c r="H219" s="21"/>
      <c r="I219" s="21"/>
      <c r="J219" s="21"/>
      <c r="K219" s="24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6"/>
      <c r="AQ219" s="27"/>
      <c r="AR219" s="21"/>
      <c r="AS219" s="21"/>
    </row>
    <row r="220" spans="1:45" x14ac:dyDescent="0.35">
      <c r="A220" s="24"/>
      <c r="B220" s="21"/>
      <c r="C220" s="21"/>
      <c r="D220" s="21"/>
      <c r="E220" s="21"/>
      <c r="F220" s="21"/>
      <c r="G220" s="21"/>
      <c r="H220" s="21"/>
      <c r="I220" s="21"/>
      <c r="J220" s="21"/>
      <c r="K220" s="24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6"/>
      <c r="AQ220" s="27"/>
      <c r="AR220" s="21"/>
      <c r="AS220" s="21"/>
    </row>
    <row r="221" spans="1:45" x14ac:dyDescent="0.35">
      <c r="A221" s="24"/>
      <c r="B221" s="21"/>
      <c r="C221" s="21"/>
      <c r="D221" s="21"/>
      <c r="E221" s="21"/>
      <c r="F221" s="21"/>
      <c r="G221" s="21"/>
      <c r="H221" s="21"/>
      <c r="I221" s="21"/>
      <c r="J221" s="21"/>
      <c r="K221" s="24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6"/>
      <c r="AQ221" s="27"/>
      <c r="AR221" s="21"/>
      <c r="AS221" s="21"/>
    </row>
    <row r="222" spans="1:45" x14ac:dyDescent="0.35">
      <c r="A222" s="24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6"/>
      <c r="AQ222" s="27"/>
      <c r="AR222" s="21"/>
      <c r="AS222" s="21"/>
    </row>
    <row r="223" spans="1:45" x14ac:dyDescent="0.35">
      <c r="A223" s="24"/>
      <c r="B223" s="21"/>
      <c r="C223" s="21"/>
      <c r="D223" s="21"/>
      <c r="E223" s="21"/>
      <c r="F223" s="21"/>
      <c r="G223" s="21"/>
      <c r="H223" s="21"/>
      <c r="I223" s="21"/>
      <c r="J223" s="21"/>
      <c r="K223" s="24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6"/>
      <c r="AQ223" s="27"/>
      <c r="AR223" s="21"/>
      <c r="AS223" s="21"/>
    </row>
    <row r="224" spans="1:45" x14ac:dyDescent="0.35">
      <c r="A224" s="24"/>
      <c r="B224" s="21"/>
      <c r="C224" s="21"/>
      <c r="D224" s="21"/>
      <c r="E224" s="21"/>
      <c r="F224" s="21"/>
      <c r="G224" s="21"/>
      <c r="H224" s="21"/>
      <c r="I224" s="21"/>
      <c r="J224" s="21"/>
      <c r="K224" s="24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6"/>
      <c r="AQ224" s="27"/>
      <c r="AR224" s="21"/>
      <c r="AS224" s="21"/>
    </row>
    <row r="225" spans="1:45" x14ac:dyDescent="0.35">
      <c r="A225" s="24"/>
      <c r="B225" s="21"/>
      <c r="C225" s="21"/>
      <c r="D225" s="21"/>
      <c r="E225" s="21"/>
      <c r="F225" s="21"/>
      <c r="G225" s="21"/>
      <c r="H225" s="21"/>
      <c r="I225" s="21"/>
      <c r="J225" s="21"/>
      <c r="K225" s="24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6"/>
      <c r="AQ225" s="27"/>
      <c r="AR225" s="21"/>
      <c r="AS225" s="21"/>
    </row>
    <row r="226" spans="1:45" x14ac:dyDescent="0.35">
      <c r="A226" s="24"/>
      <c r="B226" s="21"/>
      <c r="C226" s="21"/>
      <c r="D226" s="21"/>
      <c r="E226" s="21"/>
      <c r="F226" s="21"/>
      <c r="G226" s="21"/>
      <c r="H226" s="21"/>
      <c r="I226" s="21"/>
      <c r="J226" s="21"/>
      <c r="K226" s="24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6"/>
      <c r="AQ226" s="27"/>
      <c r="AR226" s="21"/>
      <c r="AS226" s="21"/>
    </row>
    <row r="227" spans="1:45" x14ac:dyDescent="0.35">
      <c r="A227" s="24"/>
      <c r="B227" s="21"/>
      <c r="C227" s="21"/>
      <c r="D227" s="21"/>
      <c r="E227" s="21"/>
      <c r="F227" s="21"/>
      <c r="G227" s="21"/>
      <c r="H227" s="21"/>
      <c r="I227" s="21"/>
      <c r="J227" s="21"/>
      <c r="K227" s="24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6"/>
      <c r="AQ227" s="27"/>
      <c r="AR227" s="21"/>
      <c r="AS227" s="21"/>
    </row>
    <row r="228" spans="1:45" x14ac:dyDescent="0.35">
      <c r="A228" s="24"/>
      <c r="B228" s="21"/>
      <c r="C228" s="21"/>
      <c r="D228" s="21"/>
      <c r="E228" s="21"/>
      <c r="F228" s="21"/>
      <c r="G228" s="21"/>
      <c r="H228" s="21"/>
      <c r="I228" s="21"/>
      <c r="J228" s="21"/>
      <c r="K228" s="24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6"/>
      <c r="AQ228" s="27"/>
      <c r="AR228" s="21"/>
      <c r="AS228" s="21"/>
    </row>
    <row r="229" spans="1:45" x14ac:dyDescent="0.35">
      <c r="A229" s="24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6"/>
      <c r="AQ229" s="27"/>
      <c r="AR229" s="21"/>
      <c r="AS229" s="21"/>
    </row>
    <row r="230" spans="1:45" x14ac:dyDescent="0.35">
      <c r="A230" s="24"/>
      <c r="B230" s="21"/>
      <c r="C230" s="21"/>
      <c r="D230" s="21"/>
      <c r="E230" s="21"/>
      <c r="F230" s="21"/>
      <c r="G230" s="21"/>
      <c r="H230" s="21"/>
      <c r="I230" s="21"/>
      <c r="J230" s="21"/>
      <c r="K230" s="24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6"/>
      <c r="AQ230" s="27"/>
      <c r="AR230" s="21"/>
      <c r="AS230" s="21"/>
    </row>
    <row r="231" spans="1:45" x14ac:dyDescent="0.35">
      <c r="A231" s="24"/>
      <c r="B231" s="21"/>
      <c r="C231" s="21"/>
      <c r="D231" s="21"/>
      <c r="E231" s="21"/>
      <c r="F231" s="21"/>
      <c r="G231" s="21"/>
      <c r="H231" s="21"/>
      <c r="I231" s="21"/>
      <c r="J231" s="21"/>
      <c r="K231" s="24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6"/>
      <c r="AQ231" s="27"/>
      <c r="AR231" s="21"/>
      <c r="AS231" s="21"/>
    </row>
    <row r="232" spans="1:45" x14ac:dyDescent="0.35">
      <c r="A232" s="24"/>
      <c r="B232" s="21"/>
      <c r="C232" s="21"/>
      <c r="D232" s="21"/>
      <c r="E232" s="21"/>
      <c r="F232" s="21"/>
      <c r="G232" s="21"/>
      <c r="H232" s="21"/>
      <c r="I232" s="21"/>
      <c r="J232" s="21"/>
      <c r="K232" s="24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6"/>
      <c r="AQ232" s="27"/>
      <c r="AR232" s="21"/>
      <c r="AS232" s="21"/>
    </row>
    <row r="233" spans="1:45" x14ac:dyDescent="0.35">
      <c r="A233" s="24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6"/>
      <c r="AQ233" s="27"/>
      <c r="AR233" s="21"/>
      <c r="AS233" s="21"/>
    </row>
    <row r="234" spans="1:45" x14ac:dyDescent="0.35">
      <c r="A234" s="24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6"/>
      <c r="AQ234" s="27"/>
      <c r="AR234" s="21"/>
      <c r="AS234" s="21"/>
    </row>
    <row r="235" spans="1:45" x14ac:dyDescent="0.35">
      <c r="A235" s="24"/>
      <c r="B235" s="21"/>
      <c r="C235" s="21"/>
      <c r="D235" s="21"/>
      <c r="E235" s="21"/>
      <c r="F235" s="21"/>
      <c r="G235" s="21"/>
      <c r="H235" s="21"/>
      <c r="I235" s="21"/>
      <c r="J235" s="21"/>
      <c r="K235" s="24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6"/>
      <c r="AQ235" s="27"/>
      <c r="AR235" s="21"/>
      <c r="AS235" s="21"/>
    </row>
    <row r="236" spans="1:45" x14ac:dyDescent="0.35">
      <c r="A236" s="24"/>
      <c r="B236" s="21"/>
      <c r="C236" s="21"/>
      <c r="D236" s="21"/>
      <c r="E236" s="21"/>
      <c r="F236" s="21"/>
      <c r="G236" s="21"/>
      <c r="H236" s="21"/>
      <c r="I236" s="21"/>
      <c r="J236" s="21"/>
      <c r="K236" s="24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6"/>
      <c r="AQ236" s="27"/>
      <c r="AR236" s="21"/>
      <c r="AS236" s="21"/>
    </row>
    <row r="237" spans="1:45" x14ac:dyDescent="0.35">
      <c r="A237" s="24"/>
      <c r="B237" s="21"/>
      <c r="C237" s="21"/>
      <c r="D237" s="21"/>
      <c r="E237" s="21"/>
      <c r="F237" s="21"/>
      <c r="G237" s="21"/>
      <c r="H237" s="21"/>
      <c r="I237" s="21"/>
      <c r="J237" s="21"/>
      <c r="K237" s="24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6"/>
      <c r="AQ237" s="27"/>
      <c r="AR237" s="21"/>
      <c r="AS237" s="21"/>
    </row>
    <row r="238" spans="1:45" x14ac:dyDescent="0.35">
      <c r="A238" s="24"/>
      <c r="B238" s="21"/>
      <c r="C238" s="21"/>
      <c r="D238" s="21"/>
      <c r="E238" s="21"/>
      <c r="F238" s="21"/>
      <c r="G238" s="21"/>
      <c r="H238" s="21"/>
      <c r="I238" s="21"/>
      <c r="J238" s="21"/>
      <c r="K238" s="24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6"/>
      <c r="AQ238" s="27"/>
      <c r="AR238" s="21"/>
      <c r="AS238" s="21"/>
    </row>
    <row r="239" spans="1:45" x14ac:dyDescent="0.35">
      <c r="A239" s="24"/>
      <c r="B239" s="21"/>
      <c r="C239" s="21"/>
      <c r="D239" s="21"/>
      <c r="E239" s="21"/>
      <c r="F239" s="21"/>
      <c r="G239" s="21"/>
      <c r="H239" s="21"/>
      <c r="I239" s="21"/>
      <c r="J239" s="21"/>
      <c r="K239" s="24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6"/>
      <c r="AQ239" s="27"/>
      <c r="AR239" s="21"/>
      <c r="AS239" s="21"/>
    </row>
    <row r="240" spans="1:45" x14ac:dyDescent="0.35">
      <c r="A240" s="24"/>
      <c r="B240" s="21"/>
      <c r="C240" s="21"/>
      <c r="D240" s="21"/>
      <c r="E240" s="21"/>
      <c r="F240" s="21"/>
      <c r="G240" s="21"/>
      <c r="H240" s="21"/>
      <c r="I240" s="21"/>
      <c r="J240" s="21"/>
      <c r="K240" s="24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6"/>
      <c r="AQ240" s="27"/>
      <c r="AR240" s="21"/>
      <c r="AS240" s="21"/>
    </row>
    <row r="241" spans="1:45" x14ac:dyDescent="0.35">
      <c r="A241" s="24"/>
      <c r="B241" s="21"/>
      <c r="C241" s="21"/>
      <c r="D241" s="21"/>
      <c r="E241" s="21"/>
      <c r="F241" s="21"/>
      <c r="G241" s="21"/>
      <c r="H241" s="21"/>
      <c r="I241" s="21"/>
      <c r="J241" s="21"/>
      <c r="K241" s="24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6"/>
      <c r="AQ241" s="27"/>
      <c r="AR241" s="21"/>
      <c r="AS241" s="21"/>
    </row>
    <row r="242" spans="1:45" x14ac:dyDescent="0.35">
      <c r="A242" s="24"/>
      <c r="B242" s="21"/>
      <c r="C242" s="21"/>
      <c r="D242" s="21"/>
      <c r="E242" s="21"/>
      <c r="F242" s="21"/>
      <c r="G242" s="21"/>
      <c r="H242" s="21"/>
      <c r="I242" s="21"/>
      <c r="J242" s="21"/>
      <c r="K242" s="24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6"/>
      <c r="AQ242" s="27"/>
      <c r="AR242" s="21"/>
      <c r="AS242" s="21"/>
    </row>
    <row r="243" spans="1:45" x14ac:dyDescent="0.35">
      <c r="A243" s="24"/>
      <c r="B243" s="21"/>
      <c r="C243" s="21"/>
      <c r="D243" s="21"/>
      <c r="E243" s="21"/>
      <c r="F243" s="21"/>
      <c r="G243" s="21"/>
      <c r="H243" s="21"/>
      <c r="I243" s="21"/>
      <c r="J243" s="21"/>
      <c r="K243" s="24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6"/>
      <c r="AQ243" s="27"/>
      <c r="AR243" s="21"/>
      <c r="AS243" s="21"/>
    </row>
    <row r="244" spans="1:45" x14ac:dyDescent="0.35">
      <c r="A244" s="24"/>
      <c r="B244" s="21"/>
      <c r="C244" s="21"/>
      <c r="D244" s="21"/>
      <c r="E244" s="21"/>
      <c r="F244" s="21"/>
      <c r="G244" s="21"/>
      <c r="H244" s="21"/>
      <c r="I244" s="21"/>
      <c r="J244" s="21"/>
      <c r="K244" s="24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6"/>
      <c r="AQ244" s="27"/>
      <c r="AR244" s="21"/>
      <c r="AS244" s="21"/>
    </row>
    <row r="245" spans="1:45" x14ac:dyDescent="0.35">
      <c r="A245" s="24"/>
      <c r="B245" s="21"/>
      <c r="C245" s="21"/>
      <c r="D245" s="21"/>
      <c r="E245" s="21"/>
      <c r="F245" s="21"/>
      <c r="G245" s="21"/>
      <c r="H245" s="21"/>
      <c r="I245" s="21"/>
      <c r="J245" s="21"/>
      <c r="K245" s="24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6"/>
      <c r="AQ245" s="27"/>
      <c r="AR245" s="21"/>
      <c r="AS245" s="21"/>
    </row>
    <row r="246" spans="1:45" x14ac:dyDescent="0.35">
      <c r="A246" s="24"/>
      <c r="B246" s="21"/>
      <c r="C246" s="21"/>
      <c r="D246" s="21"/>
      <c r="E246" s="21"/>
      <c r="F246" s="21"/>
      <c r="G246" s="21"/>
      <c r="H246" s="21"/>
      <c r="I246" s="21"/>
      <c r="J246" s="21"/>
      <c r="K246" s="24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6"/>
      <c r="AQ246" s="27"/>
      <c r="AR246" s="21"/>
      <c r="AS246" s="21"/>
    </row>
    <row r="247" spans="1:45" x14ac:dyDescent="0.35">
      <c r="A247" s="24"/>
      <c r="B247" s="21"/>
      <c r="C247" s="21"/>
      <c r="D247" s="21"/>
      <c r="E247" s="21"/>
      <c r="F247" s="21"/>
      <c r="G247" s="21"/>
      <c r="H247" s="21"/>
      <c r="I247" s="21"/>
      <c r="J247" s="21"/>
      <c r="K247" s="24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6"/>
      <c r="AQ247" s="27"/>
      <c r="AR247" s="21"/>
      <c r="AS247" s="21"/>
    </row>
    <row r="248" spans="1:45" x14ac:dyDescent="0.35">
      <c r="A248" s="24"/>
      <c r="B248" s="21"/>
      <c r="C248" s="21"/>
      <c r="D248" s="21"/>
      <c r="E248" s="21"/>
      <c r="F248" s="21"/>
      <c r="G248" s="21"/>
      <c r="H248" s="21"/>
      <c r="I248" s="21"/>
      <c r="J248" s="21"/>
      <c r="K248" s="24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6"/>
      <c r="AQ248" s="27"/>
      <c r="AR248" s="21"/>
      <c r="AS248" s="21"/>
    </row>
    <row r="249" spans="1:45" x14ac:dyDescent="0.35">
      <c r="A249" s="24"/>
      <c r="B249" s="21"/>
      <c r="C249" s="21"/>
      <c r="D249" s="21"/>
      <c r="E249" s="21"/>
      <c r="F249" s="21"/>
      <c r="G249" s="21"/>
      <c r="H249" s="21"/>
      <c r="I249" s="21"/>
      <c r="J249" s="21"/>
      <c r="K249" s="24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6"/>
      <c r="AQ249" s="27"/>
      <c r="AR249" s="21"/>
      <c r="AS249" s="21"/>
    </row>
    <row r="250" spans="1:45" x14ac:dyDescent="0.35">
      <c r="A250" s="24"/>
      <c r="B250" s="21"/>
      <c r="C250" s="21"/>
      <c r="D250" s="21"/>
      <c r="E250" s="21"/>
      <c r="F250" s="21"/>
      <c r="G250" s="21"/>
      <c r="H250" s="21"/>
      <c r="I250" s="21"/>
      <c r="J250" s="21"/>
      <c r="K250" s="24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6"/>
      <c r="AQ250" s="27"/>
      <c r="AR250" s="21"/>
      <c r="AS250" s="21"/>
    </row>
    <row r="251" spans="1:45" x14ac:dyDescent="0.35">
      <c r="A251" s="24"/>
      <c r="B251" s="21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6"/>
      <c r="AQ251" s="27"/>
      <c r="AR251" s="21"/>
      <c r="AS251" s="21"/>
    </row>
    <row r="252" spans="1:45" x14ac:dyDescent="0.35">
      <c r="A252" s="24"/>
      <c r="B252" s="21"/>
      <c r="C252" s="21"/>
      <c r="D252" s="21"/>
      <c r="E252" s="21"/>
      <c r="F252" s="21"/>
      <c r="G252" s="21"/>
      <c r="H252" s="21"/>
      <c r="I252" s="21"/>
      <c r="J252" s="21"/>
      <c r="K252" s="24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6"/>
      <c r="AQ252" s="27"/>
      <c r="AR252" s="21"/>
      <c r="AS252" s="21"/>
    </row>
    <row r="253" spans="1:45" x14ac:dyDescent="0.35">
      <c r="A253" s="24"/>
      <c r="B253" s="21"/>
      <c r="C253" s="21"/>
      <c r="D253" s="21"/>
      <c r="E253" s="21"/>
      <c r="F253" s="21"/>
      <c r="G253" s="21"/>
      <c r="H253" s="21"/>
      <c r="I253" s="21"/>
      <c r="J253" s="21"/>
      <c r="K253" s="24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6"/>
      <c r="AQ253" s="27"/>
      <c r="AR253" s="21"/>
      <c r="AS253" s="21"/>
    </row>
    <row r="254" spans="1:45" x14ac:dyDescent="0.35">
      <c r="A254" s="24"/>
      <c r="B254" s="21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6"/>
      <c r="AQ254" s="27"/>
      <c r="AR254" s="21"/>
      <c r="AS254" s="21"/>
    </row>
    <row r="255" spans="1:45" x14ac:dyDescent="0.35">
      <c r="A255" s="24"/>
      <c r="B255" s="21"/>
      <c r="C255" s="21"/>
      <c r="D255" s="21"/>
      <c r="E255" s="21"/>
      <c r="F255" s="21"/>
      <c r="G255" s="21"/>
      <c r="H255" s="21"/>
      <c r="I255" s="21"/>
      <c r="J255" s="21"/>
      <c r="K255" s="24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6"/>
      <c r="AQ255" s="27"/>
      <c r="AR255" s="21"/>
      <c r="AS255" s="21"/>
    </row>
    <row r="256" spans="1:45" x14ac:dyDescent="0.35">
      <c r="A256" s="24"/>
      <c r="B256" s="21"/>
      <c r="C256" s="21"/>
      <c r="D256" s="21"/>
      <c r="E256" s="21"/>
      <c r="F256" s="21"/>
      <c r="G256" s="21"/>
      <c r="H256" s="21"/>
      <c r="I256" s="21"/>
      <c r="J256" s="21"/>
      <c r="K256" s="24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6"/>
      <c r="AQ256" s="27"/>
      <c r="AR256" s="21"/>
      <c r="AS256" s="21"/>
    </row>
    <row r="257" spans="1:45" x14ac:dyDescent="0.35">
      <c r="A257" s="24"/>
      <c r="B257" s="21"/>
      <c r="C257" s="21"/>
      <c r="D257" s="21"/>
      <c r="E257" s="21"/>
      <c r="F257" s="21"/>
      <c r="G257" s="21"/>
      <c r="H257" s="21"/>
      <c r="I257" s="21"/>
      <c r="J257" s="21"/>
      <c r="K257" s="24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6"/>
      <c r="AQ257" s="27"/>
      <c r="AR257" s="21"/>
      <c r="AS257" s="21"/>
    </row>
    <row r="258" spans="1:45" x14ac:dyDescent="0.35">
      <c r="A258" s="24"/>
      <c r="B258" s="21"/>
      <c r="C258" s="21"/>
      <c r="D258" s="21"/>
      <c r="E258" s="21"/>
      <c r="F258" s="21"/>
      <c r="G258" s="21"/>
      <c r="H258" s="21"/>
      <c r="I258" s="21"/>
      <c r="J258" s="21"/>
      <c r="K258" s="24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6"/>
      <c r="AQ258" s="27"/>
      <c r="AR258" s="21"/>
      <c r="AS258" s="21"/>
    </row>
    <row r="259" spans="1:45" x14ac:dyDescent="0.35">
      <c r="A259" s="24"/>
      <c r="B259" s="21"/>
      <c r="C259" s="21"/>
      <c r="D259" s="21"/>
      <c r="E259" s="21"/>
      <c r="F259" s="21"/>
      <c r="G259" s="21"/>
      <c r="H259" s="21"/>
      <c r="I259" s="21"/>
      <c r="J259" s="21"/>
      <c r="K259" s="24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6"/>
      <c r="AQ259" s="27"/>
      <c r="AR259" s="21"/>
      <c r="AS259" s="21"/>
    </row>
    <row r="260" spans="1:45" x14ac:dyDescent="0.35">
      <c r="A260" s="24"/>
      <c r="B260" s="21"/>
      <c r="C260" s="21"/>
      <c r="D260" s="21"/>
      <c r="E260" s="21"/>
      <c r="F260" s="21"/>
      <c r="G260" s="21"/>
      <c r="H260" s="21"/>
      <c r="I260" s="21"/>
      <c r="J260" s="21"/>
      <c r="K260" s="24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6"/>
      <c r="AQ260" s="27"/>
      <c r="AR260" s="21"/>
      <c r="AS260" s="21"/>
    </row>
    <row r="261" spans="1:45" x14ac:dyDescent="0.35">
      <c r="A261" s="24"/>
      <c r="B261" s="21"/>
      <c r="C261" s="21"/>
      <c r="D261" s="21"/>
      <c r="E261" s="21"/>
      <c r="F261" s="21"/>
      <c r="G261" s="21"/>
      <c r="H261" s="21"/>
      <c r="I261" s="21"/>
      <c r="J261" s="21"/>
      <c r="K261" s="24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6"/>
      <c r="AQ261" s="27"/>
      <c r="AR261" s="21"/>
      <c r="AS261" s="21"/>
    </row>
    <row r="262" spans="1:45" x14ac:dyDescent="0.35">
      <c r="A262" s="24"/>
      <c r="B262" s="21"/>
      <c r="C262" s="21"/>
      <c r="D262" s="21"/>
      <c r="E262" s="21"/>
      <c r="F262" s="21"/>
      <c r="G262" s="21"/>
      <c r="H262" s="21"/>
      <c r="I262" s="21"/>
      <c r="J262" s="21"/>
      <c r="K262" s="24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6"/>
      <c r="AQ262" s="27"/>
      <c r="AR262" s="21"/>
      <c r="AS262" s="21"/>
    </row>
    <row r="263" spans="1:45" x14ac:dyDescent="0.35">
      <c r="A263" s="24"/>
      <c r="B263" s="21"/>
      <c r="C263" s="21"/>
      <c r="D263" s="21"/>
      <c r="E263" s="21"/>
      <c r="F263" s="21"/>
      <c r="G263" s="21"/>
      <c r="H263" s="21"/>
      <c r="I263" s="21"/>
      <c r="J263" s="21"/>
      <c r="K263" s="24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6"/>
      <c r="AQ263" s="27"/>
      <c r="AR263" s="21"/>
      <c r="AS263" s="21"/>
    </row>
    <row r="264" spans="1:45" x14ac:dyDescent="0.35">
      <c r="A264" s="24"/>
      <c r="B264" s="21"/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6"/>
      <c r="AQ264" s="27"/>
      <c r="AR264" s="21"/>
      <c r="AS264" s="21"/>
    </row>
    <row r="265" spans="1:45" x14ac:dyDescent="0.35">
      <c r="A265" s="24"/>
      <c r="B265" s="21"/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6"/>
      <c r="AQ265" s="27"/>
      <c r="AR265" s="21"/>
      <c r="AS265" s="21"/>
    </row>
    <row r="266" spans="1:45" x14ac:dyDescent="0.35">
      <c r="A266" s="24"/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6"/>
      <c r="AQ266" s="27"/>
      <c r="AR266" s="21"/>
      <c r="AS266" s="21"/>
    </row>
    <row r="267" spans="1:45" x14ac:dyDescent="0.35">
      <c r="A267" s="24"/>
      <c r="B267" s="21"/>
      <c r="C267" s="21"/>
      <c r="D267" s="21"/>
      <c r="E267" s="21"/>
      <c r="F267" s="21"/>
      <c r="G267" s="21"/>
      <c r="H267" s="21"/>
      <c r="I267" s="21"/>
      <c r="J267" s="21"/>
      <c r="K267" s="24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6"/>
      <c r="AQ267" s="27"/>
      <c r="AR267" s="21"/>
      <c r="AS267" s="21"/>
    </row>
    <row r="268" spans="1:45" x14ac:dyDescent="0.35">
      <c r="A268" s="24"/>
      <c r="B268" s="21"/>
      <c r="C268" s="21"/>
      <c r="D268" s="21"/>
      <c r="E268" s="21"/>
      <c r="F268" s="21"/>
      <c r="G268" s="21"/>
      <c r="H268" s="21"/>
      <c r="I268" s="21"/>
      <c r="J268" s="21"/>
      <c r="K268" s="24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6"/>
      <c r="AQ268" s="27"/>
      <c r="AR268" s="21"/>
      <c r="AS268" s="21"/>
    </row>
    <row r="269" spans="1:45" x14ac:dyDescent="0.35">
      <c r="A269" s="24"/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6"/>
      <c r="AQ269" s="27"/>
      <c r="AR269" s="21"/>
      <c r="AS269" s="21"/>
    </row>
    <row r="270" spans="1:45" x14ac:dyDescent="0.35">
      <c r="A270" s="24"/>
      <c r="B270" s="21"/>
      <c r="C270" s="21"/>
      <c r="D270" s="21"/>
      <c r="E270" s="21"/>
      <c r="F270" s="21"/>
      <c r="G270" s="21"/>
      <c r="H270" s="21"/>
      <c r="I270" s="21"/>
      <c r="J270" s="21"/>
      <c r="K270" s="24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6"/>
      <c r="AQ270" s="27"/>
      <c r="AR270" s="21"/>
      <c r="AS270" s="21"/>
    </row>
    <row r="271" spans="1:45" x14ac:dyDescent="0.35">
      <c r="A271" s="24"/>
      <c r="B271" s="21"/>
      <c r="C271" s="21"/>
      <c r="D271" s="21"/>
      <c r="E271" s="21"/>
      <c r="F271" s="21"/>
      <c r="G271" s="21"/>
      <c r="H271" s="21"/>
      <c r="I271" s="21"/>
      <c r="J271" s="21"/>
      <c r="K271" s="24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6"/>
      <c r="AQ271" s="27"/>
      <c r="AR271" s="21"/>
      <c r="AS271" s="21"/>
    </row>
    <row r="272" spans="1:45" x14ac:dyDescent="0.35">
      <c r="A272" s="24"/>
      <c r="B272" s="21"/>
      <c r="C272" s="21"/>
      <c r="D272" s="21"/>
      <c r="E272" s="21"/>
      <c r="F272" s="21"/>
      <c r="G272" s="21"/>
      <c r="H272" s="21"/>
      <c r="I272" s="21"/>
      <c r="J272" s="21"/>
      <c r="K272" s="24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6"/>
      <c r="AQ272" s="27"/>
      <c r="AR272" s="21"/>
      <c r="AS272" s="21"/>
    </row>
    <row r="273" spans="1:45" x14ac:dyDescent="0.35">
      <c r="A273" s="24"/>
      <c r="B273" s="21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6"/>
      <c r="AQ273" s="27"/>
      <c r="AR273" s="21"/>
      <c r="AS273" s="21"/>
    </row>
    <row r="274" spans="1:45" x14ac:dyDescent="0.35">
      <c r="A274" s="24"/>
      <c r="B274" s="21"/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6"/>
      <c r="AQ274" s="27"/>
      <c r="AR274" s="21"/>
      <c r="AS274" s="21"/>
    </row>
    <row r="275" spans="1:45" x14ac:dyDescent="0.35">
      <c r="A275" s="24"/>
      <c r="B275" s="21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6"/>
      <c r="AQ275" s="27"/>
      <c r="AR275" s="21"/>
      <c r="AS275" s="21"/>
    </row>
    <row r="276" spans="1:45" x14ac:dyDescent="0.35">
      <c r="A276" s="24"/>
      <c r="B276" s="21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6"/>
      <c r="AQ276" s="27"/>
      <c r="AR276" s="21"/>
      <c r="AS276" s="21"/>
    </row>
    <row r="277" spans="1:45" x14ac:dyDescent="0.35">
      <c r="A277" s="24"/>
      <c r="B277" s="21"/>
      <c r="C277" s="21"/>
      <c r="D277" s="21"/>
      <c r="E277" s="21"/>
      <c r="F277" s="21"/>
      <c r="G277" s="21"/>
      <c r="H277" s="21"/>
      <c r="I277" s="21"/>
      <c r="J277" s="21"/>
      <c r="K277" s="24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6"/>
      <c r="AQ277" s="27"/>
      <c r="AR277" s="21"/>
      <c r="AS277" s="21"/>
    </row>
    <row r="278" spans="1:45" x14ac:dyDescent="0.35">
      <c r="A278" s="24"/>
      <c r="B278" s="21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6"/>
      <c r="AQ278" s="27"/>
      <c r="AR278" s="21"/>
      <c r="AS278" s="21"/>
    </row>
    <row r="279" spans="1:45" x14ac:dyDescent="0.35">
      <c r="A279" s="24"/>
      <c r="B279" s="21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6"/>
      <c r="AQ279" s="27"/>
      <c r="AR279" s="21"/>
      <c r="AS279" s="21"/>
    </row>
    <row r="280" spans="1:45" x14ac:dyDescent="0.35">
      <c r="A280" s="24"/>
      <c r="B280" s="21"/>
      <c r="C280" s="21"/>
      <c r="D280" s="21"/>
      <c r="E280" s="21"/>
      <c r="F280" s="21"/>
      <c r="G280" s="21"/>
      <c r="H280" s="21"/>
      <c r="I280" s="21"/>
      <c r="J280" s="21"/>
      <c r="K280" s="24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6"/>
      <c r="AQ280" s="27"/>
      <c r="AR280" s="21"/>
      <c r="AS280" s="21"/>
    </row>
    <row r="281" spans="1:45" x14ac:dyDescent="0.35">
      <c r="A281" s="24"/>
      <c r="B281" s="21"/>
      <c r="C281" s="21"/>
      <c r="D281" s="21"/>
      <c r="E281" s="21"/>
      <c r="F281" s="21"/>
      <c r="G281" s="21"/>
      <c r="H281" s="21"/>
      <c r="I281" s="21"/>
      <c r="J281" s="21"/>
      <c r="K281" s="24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6"/>
      <c r="AQ281" s="27"/>
      <c r="AR281" s="21"/>
      <c r="AS281" s="21"/>
    </row>
    <row r="282" spans="1:45" x14ac:dyDescent="0.35">
      <c r="A282" s="24"/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6"/>
      <c r="AQ282" s="27"/>
      <c r="AR282" s="21"/>
      <c r="AS282" s="21"/>
    </row>
    <row r="283" spans="1:45" x14ac:dyDescent="0.35">
      <c r="A283" s="24"/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6"/>
      <c r="AQ283" s="27"/>
      <c r="AR283" s="21"/>
      <c r="AS283" s="21"/>
    </row>
    <row r="284" spans="1:45" x14ac:dyDescent="0.35">
      <c r="A284" s="24"/>
      <c r="B284" s="21"/>
      <c r="C284" s="21"/>
      <c r="D284" s="21"/>
      <c r="E284" s="21"/>
      <c r="F284" s="21"/>
      <c r="G284" s="21"/>
      <c r="H284" s="21"/>
      <c r="I284" s="21"/>
      <c r="J284" s="21"/>
      <c r="K284" s="24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6"/>
      <c r="AQ284" s="27"/>
      <c r="AR284" s="21"/>
      <c r="AS284" s="21"/>
    </row>
    <row r="285" spans="1:45" x14ac:dyDescent="0.35">
      <c r="A285" s="24"/>
      <c r="B285" s="21"/>
      <c r="C285" s="21"/>
      <c r="D285" s="21"/>
      <c r="E285" s="21"/>
      <c r="F285" s="21"/>
      <c r="G285" s="21"/>
      <c r="H285" s="21"/>
      <c r="I285" s="21"/>
      <c r="J285" s="21"/>
      <c r="K285" s="24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6"/>
      <c r="AQ285" s="27"/>
      <c r="AR285" s="21"/>
      <c r="AS285" s="21"/>
    </row>
    <row r="286" spans="1:45" x14ac:dyDescent="0.35">
      <c r="A286" s="24"/>
      <c r="B286" s="21"/>
      <c r="C286" s="21"/>
      <c r="D286" s="21"/>
      <c r="E286" s="21"/>
      <c r="F286" s="21"/>
      <c r="G286" s="21"/>
      <c r="H286" s="21"/>
      <c r="I286" s="21"/>
      <c r="J286" s="21"/>
      <c r="K286" s="24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6"/>
      <c r="AQ286" s="27"/>
      <c r="AR286" s="21"/>
      <c r="AS286" s="21"/>
    </row>
    <row r="287" spans="1:45" x14ac:dyDescent="0.35">
      <c r="A287" s="24"/>
      <c r="B287" s="21"/>
      <c r="C287" s="21"/>
      <c r="D287" s="21"/>
      <c r="E287" s="21"/>
      <c r="F287" s="21"/>
      <c r="G287" s="21"/>
      <c r="H287" s="21"/>
      <c r="I287" s="21"/>
      <c r="J287" s="21"/>
      <c r="K287" s="24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6"/>
      <c r="AQ287" s="27"/>
      <c r="AR287" s="21"/>
      <c r="AS287" s="21"/>
    </row>
    <row r="288" spans="1:45" x14ac:dyDescent="0.35">
      <c r="A288" s="24"/>
      <c r="B288" s="21"/>
      <c r="C288" s="21"/>
      <c r="D288" s="21"/>
      <c r="E288" s="21"/>
      <c r="F288" s="21"/>
      <c r="G288" s="21"/>
      <c r="H288" s="21"/>
      <c r="I288" s="21"/>
      <c r="J288" s="21"/>
      <c r="K288" s="24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6"/>
      <c r="AQ288" s="27"/>
      <c r="AR288" s="21"/>
      <c r="AS288" s="21"/>
    </row>
    <row r="289" spans="1:45" x14ac:dyDescent="0.35">
      <c r="A289" s="24"/>
      <c r="B289" s="21"/>
      <c r="C289" s="21"/>
      <c r="D289" s="21"/>
      <c r="E289" s="21"/>
      <c r="F289" s="21"/>
      <c r="G289" s="21"/>
      <c r="H289" s="21"/>
      <c r="I289" s="21"/>
      <c r="J289" s="21"/>
      <c r="K289" s="24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6"/>
      <c r="AQ289" s="27"/>
      <c r="AR289" s="21"/>
      <c r="AS289" s="21"/>
    </row>
    <row r="290" spans="1:45" x14ac:dyDescent="0.35">
      <c r="A290" s="24"/>
      <c r="B290" s="21"/>
      <c r="C290" s="21"/>
      <c r="D290" s="21"/>
      <c r="E290" s="21"/>
      <c r="F290" s="21"/>
      <c r="G290" s="21"/>
      <c r="H290" s="21"/>
      <c r="I290" s="21"/>
      <c r="J290" s="21"/>
      <c r="K290" s="24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6"/>
      <c r="AQ290" s="27"/>
      <c r="AR290" s="21"/>
      <c r="AS290" s="21"/>
    </row>
    <row r="291" spans="1:45" x14ac:dyDescent="0.35">
      <c r="A291" s="24"/>
      <c r="B291" s="21"/>
      <c r="C291" s="21"/>
      <c r="D291" s="21"/>
      <c r="E291" s="21"/>
      <c r="F291" s="21"/>
      <c r="G291" s="21"/>
      <c r="H291" s="21"/>
      <c r="I291" s="21"/>
      <c r="J291" s="21"/>
      <c r="K291" s="24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6"/>
      <c r="AQ291" s="27"/>
      <c r="AR291" s="21"/>
      <c r="AS291" s="21"/>
    </row>
    <row r="292" spans="1:45" x14ac:dyDescent="0.35">
      <c r="A292" s="24"/>
      <c r="B292" s="21"/>
      <c r="C292" s="21"/>
      <c r="D292" s="21"/>
      <c r="E292" s="21"/>
      <c r="F292" s="21"/>
      <c r="G292" s="21"/>
      <c r="H292" s="21"/>
      <c r="I292" s="21"/>
      <c r="J292" s="21"/>
      <c r="K292" s="24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6"/>
      <c r="AQ292" s="27"/>
      <c r="AR292" s="21"/>
      <c r="AS292" s="21"/>
    </row>
    <row r="293" spans="1:45" x14ac:dyDescent="0.35">
      <c r="A293" s="24"/>
      <c r="B293" s="21"/>
      <c r="C293" s="21"/>
      <c r="D293" s="21"/>
      <c r="E293" s="21"/>
      <c r="F293" s="21"/>
      <c r="G293" s="21"/>
      <c r="H293" s="21"/>
      <c r="I293" s="21"/>
      <c r="J293" s="21"/>
      <c r="K293" s="24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6"/>
      <c r="AQ293" s="27"/>
      <c r="AR293" s="21"/>
      <c r="AS293" s="21"/>
    </row>
    <row r="294" spans="1:45" x14ac:dyDescent="0.35">
      <c r="A294" s="24"/>
      <c r="B294" s="21"/>
      <c r="C294" s="21"/>
      <c r="D294" s="21"/>
      <c r="E294" s="21"/>
      <c r="F294" s="21"/>
      <c r="G294" s="21"/>
      <c r="H294" s="21"/>
      <c r="I294" s="21"/>
      <c r="J294" s="21"/>
      <c r="K294" s="24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6"/>
      <c r="AQ294" s="27"/>
      <c r="AR294" s="21"/>
      <c r="AS294" s="21"/>
    </row>
    <row r="295" spans="1:45" x14ac:dyDescent="0.35">
      <c r="A295" s="24"/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6"/>
      <c r="AQ295" s="27"/>
      <c r="AR295" s="21"/>
      <c r="AS295" s="21"/>
    </row>
    <row r="296" spans="1:45" x14ac:dyDescent="0.35">
      <c r="A296" s="24"/>
      <c r="B296" s="21"/>
      <c r="C296" s="21"/>
      <c r="D296" s="21"/>
      <c r="E296" s="21"/>
      <c r="F296" s="21"/>
      <c r="G296" s="21"/>
      <c r="H296" s="21"/>
      <c r="I296" s="21"/>
      <c r="J296" s="21"/>
      <c r="K296" s="24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6"/>
      <c r="AQ296" s="27"/>
      <c r="AR296" s="21"/>
      <c r="AS296" s="21"/>
    </row>
    <row r="297" spans="1:45" x14ac:dyDescent="0.35">
      <c r="A297" s="24"/>
      <c r="B297" s="21"/>
      <c r="C297" s="21"/>
      <c r="D297" s="21"/>
      <c r="E297" s="21"/>
      <c r="F297" s="21"/>
      <c r="G297" s="21"/>
      <c r="H297" s="21"/>
      <c r="I297" s="21"/>
      <c r="J297" s="21"/>
      <c r="K297" s="24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6"/>
      <c r="AQ297" s="27"/>
      <c r="AR297" s="21"/>
      <c r="AS297" s="21"/>
    </row>
    <row r="298" spans="1:45" x14ac:dyDescent="0.35">
      <c r="A298" s="24"/>
      <c r="B298" s="21"/>
      <c r="C298" s="21"/>
      <c r="D298" s="21"/>
      <c r="E298" s="21"/>
      <c r="F298" s="21"/>
      <c r="G298" s="21"/>
      <c r="H298" s="21"/>
      <c r="I298" s="21"/>
      <c r="J298" s="21"/>
      <c r="K298" s="24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6"/>
      <c r="AQ298" s="27"/>
      <c r="AR298" s="21"/>
      <c r="AS298" s="21"/>
    </row>
    <row r="299" spans="1:45" x14ac:dyDescent="0.35">
      <c r="A299" s="24"/>
      <c r="B299" s="21"/>
      <c r="C299" s="21"/>
      <c r="D299" s="21"/>
      <c r="E299" s="21"/>
      <c r="F299" s="21"/>
      <c r="G299" s="21"/>
      <c r="H299" s="21"/>
      <c r="I299" s="21"/>
      <c r="J299" s="21"/>
      <c r="K299" s="24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6"/>
      <c r="AQ299" s="27"/>
      <c r="AR299" s="21"/>
      <c r="AS299" s="21"/>
    </row>
    <row r="300" spans="1:45" x14ac:dyDescent="0.35">
      <c r="A300" s="24"/>
      <c r="B300" s="21"/>
      <c r="C300" s="21"/>
      <c r="D300" s="21"/>
      <c r="E300" s="21"/>
      <c r="F300" s="21"/>
      <c r="G300" s="21"/>
      <c r="H300" s="21"/>
      <c r="I300" s="21"/>
      <c r="J300" s="21"/>
      <c r="K300" s="24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6"/>
      <c r="AQ300" s="27"/>
      <c r="AR300" s="21"/>
      <c r="AS300" s="21"/>
    </row>
    <row r="301" spans="1:45" x14ac:dyDescent="0.35">
      <c r="A301" s="24"/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6"/>
      <c r="AQ301" s="27"/>
      <c r="AR301" s="21"/>
      <c r="AS301" s="21"/>
    </row>
    <row r="302" spans="1:45" x14ac:dyDescent="0.35">
      <c r="A302" s="24"/>
      <c r="B302" s="21"/>
      <c r="C302" s="21"/>
      <c r="D302" s="21"/>
      <c r="E302" s="21"/>
      <c r="F302" s="21"/>
      <c r="G302" s="21"/>
      <c r="H302" s="21"/>
      <c r="I302" s="21"/>
      <c r="J302" s="21"/>
      <c r="K302" s="24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6"/>
      <c r="AQ302" s="27"/>
      <c r="AR302" s="21"/>
      <c r="AS302" s="21"/>
    </row>
    <row r="303" spans="1:45" x14ac:dyDescent="0.35">
      <c r="A303" s="24"/>
      <c r="B303" s="21"/>
      <c r="C303" s="21"/>
      <c r="D303" s="21"/>
      <c r="E303" s="21"/>
      <c r="F303" s="21"/>
      <c r="G303" s="21"/>
      <c r="H303" s="21"/>
      <c r="I303" s="21"/>
      <c r="J303" s="21"/>
      <c r="K303" s="24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6"/>
      <c r="AQ303" s="27"/>
      <c r="AR303" s="21"/>
      <c r="AS303" s="21"/>
    </row>
    <row r="304" spans="1:45" x14ac:dyDescent="0.35">
      <c r="A304" s="24"/>
      <c r="B304" s="21"/>
      <c r="C304" s="21"/>
      <c r="D304" s="21"/>
      <c r="E304" s="21"/>
      <c r="F304" s="21"/>
      <c r="G304" s="21"/>
      <c r="H304" s="21"/>
      <c r="I304" s="21"/>
      <c r="J304" s="21"/>
      <c r="K304" s="24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6"/>
      <c r="AQ304" s="27"/>
      <c r="AR304" s="21"/>
      <c r="AS304" s="21"/>
    </row>
    <row r="305" spans="1:45" x14ac:dyDescent="0.35">
      <c r="A305" s="24"/>
      <c r="B305" s="21"/>
      <c r="C305" s="21"/>
      <c r="D305" s="21"/>
      <c r="E305" s="21"/>
      <c r="F305" s="21"/>
      <c r="G305" s="21"/>
      <c r="H305" s="21"/>
      <c r="I305" s="21"/>
      <c r="J305" s="21"/>
      <c r="K305" s="24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6"/>
      <c r="AQ305" s="27"/>
      <c r="AR305" s="21"/>
      <c r="AS305" s="21"/>
    </row>
    <row r="306" spans="1:45" x14ac:dyDescent="0.35">
      <c r="A306" s="24"/>
      <c r="B306" s="21"/>
      <c r="C306" s="21"/>
      <c r="D306" s="21"/>
      <c r="E306" s="21"/>
      <c r="F306" s="21"/>
      <c r="G306" s="21"/>
      <c r="H306" s="21"/>
      <c r="I306" s="21"/>
      <c r="J306" s="21"/>
      <c r="K306" s="24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6"/>
      <c r="AQ306" s="27"/>
      <c r="AR306" s="21"/>
      <c r="AS306" s="21"/>
    </row>
    <row r="307" spans="1:45" x14ac:dyDescent="0.35">
      <c r="A307" s="24"/>
      <c r="B307" s="21"/>
      <c r="C307" s="21"/>
      <c r="D307" s="21"/>
      <c r="E307" s="21"/>
      <c r="F307" s="21"/>
      <c r="G307" s="21"/>
      <c r="H307" s="21"/>
      <c r="I307" s="21"/>
      <c r="J307" s="21"/>
      <c r="K307" s="24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6"/>
      <c r="AQ307" s="27"/>
      <c r="AR307" s="21"/>
      <c r="AS307" s="21"/>
    </row>
    <row r="308" spans="1:45" x14ac:dyDescent="0.35">
      <c r="A308" s="24"/>
      <c r="B308" s="21"/>
      <c r="C308" s="21"/>
      <c r="D308" s="21"/>
      <c r="E308" s="21"/>
      <c r="F308" s="21"/>
      <c r="G308" s="21"/>
      <c r="H308" s="21"/>
      <c r="I308" s="21"/>
      <c r="J308" s="21"/>
      <c r="K308" s="24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6"/>
      <c r="AQ308" s="27"/>
      <c r="AR308" s="21"/>
      <c r="AS308" s="21"/>
    </row>
    <row r="309" spans="1:45" x14ac:dyDescent="0.35">
      <c r="A309" s="31"/>
      <c r="B309" s="32"/>
      <c r="C309" s="32"/>
      <c r="D309" s="32"/>
      <c r="E309" s="32"/>
      <c r="F309" s="32"/>
      <c r="G309" s="32"/>
      <c r="H309" s="32"/>
      <c r="I309" s="32"/>
      <c r="J309" s="32"/>
      <c r="K309" s="31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  <c r="AD309" s="32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21"/>
      <c r="AP309" s="26"/>
      <c r="AQ309" s="27"/>
      <c r="AR309" s="21"/>
      <c r="AS309" s="21"/>
    </row>
    <row r="310" spans="1:45" x14ac:dyDescent="0.35">
      <c r="A310" s="24"/>
      <c r="B310" s="21"/>
      <c r="C310" s="21"/>
      <c r="D310" s="21"/>
      <c r="E310" s="21"/>
      <c r="F310" s="21"/>
      <c r="G310" s="21"/>
      <c r="H310" s="21"/>
      <c r="I310" s="21"/>
      <c r="J310" s="21"/>
      <c r="K310" s="24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6"/>
      <c r="AQ310" s="27"/>
      <c r="AR310" s="21"/>
      <c r="AS310" s="21"/>
    </row>
    <row r="311" spans="1:45" x14ac:dyDescent="0.35">
      <c r="A311" s="24"/>
      <c r="B311" s="21"/>
      <c r="C311" s="21"/>
      <c r="D311" s="21"/>
      <c r="E311" s="21"/>
      <c r="F311" s="21"/>
      <c r="G311" s="21"/>
      <c r="H311" s="21"/>
      <c r="I311" s="21"/>
      <c r="J311" s="21"/>
      <c r="K311" s="24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6"/>
      <c r="AQ311" s="27"/>
      <c r="AR311" s="21"/>
      <c r="AS311" s="21"/>
    </row>
    <row r="312" spans="1:45" x14ac:dyDescent="0.35">
      <c r="A312" s="24"/>
      <c r="B312" s="21"/>
      <c r="C312" s="21"/>
      <c r="D312" s="21"/>
      <c r="E312" s="21"/>
      <c r="F312" s="21"/>
      <c r="G312" s="21"/>
      <c r="H312" s="21"/>
      <c r="I312" s="21"/>
      <c r="J312" s="21"/>
      <c r="K312" s="24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6"/>
      <c r="AQ312" s="27"/>
      <c r="AR312" s="21"/>
      <c r="AS312" s="21"/>
    </row>
    <row r="313" spans="1:45" x14ac:dyDescent="0.35">
      <c r="A313" s="24"/>
      <c r="B313" s="21"/>
      <c r="C313" s="21"/>
      <c r="D313" s="21"/>
      <c r="E313" s="21"/>
      <c r="F313" s="21"/>
      <c r="G313" s="21"/>
      <c r="H313" s="21"/>
      <c r="I313" s="21"/>
      <c r="J313" s="21"/>
      <c r="K313" s="24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6"/>
      <c r="AQ313" s="27"/>
      <c r="AR313" s="21"/>
      <c r="AS313" s="21"/>
    </row>
    <row r="314" spans="1:45" x14ac:dyDescent="0.35">
      <c r="A314" s="24"/>
      <c r="B314" s="21"/>
      <c r="C314" s="21"/>
      <c r="D314" s="21"/>
      <c r="E314" s="21"/>
      <c r="F314" s="21"/>
      <c r="G314" s="21"/>
      <c r="H314" s="21"/>
      <c r="I314" s="21"/>
      <c r="J314" s="21"/>
      <c r="K314" s="24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6"/>
      <c r="AQ314" s="27"/>
      <c r="AR314" s="21"/>
      <c r="AS314" s="21"/>
    </row>
    <row r="315" spans="1:45" x14ac:dyDescent="0.35">
      <c r="A315" s="24"/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6"/>
      <c r="AQ315" s="27"/>
      <c r="AR315" s="21"/>
      <c r="AS315" s="21"/>
    </row>
    <row r="316" spans="1:45" x14ac:dyDescent="0.35">
      <c r="A316" s="24"/>
      <c r="B316" s="21"/>
      <c r="C316" s="21"/>
      <c r="D316" s="21"/>
      <c r="E316" s="21"/>
      <c r="F316" s="21"/>
      <c r="G316" s="21"/>
      <c r="H316" s="21"/>
      <c r="I316" s="21"/>
      <c r="J316" s="21"/>
      <c r="K316" s="24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6"/>
      <c r="AQ316" s="27"/>
      <c r="AR316" s="21"/>
      <c r="AS316" s="21"/>
    </row>
    <row r="317" spans="1:45" x14ac:dyDescent="0.35">
      <c r="A317" s="24"/>
      <c r="B317" s="21"/>
      <c r="C317" s="21"/>
      <c r="D317" s="21"/>
      <c r="E317" s="21"/>
      <c r="F317" s="21"/>
      <c r="G317" s="21"/>
      <c r="H317" s="21"/>
      <c r="I317" s="21"/>
      <c r="J317" s="21"/>
      <c r="K317" s="24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6"/>
      <c r="AQ317" s="27"/>
      <c r="AR317" s="21"/>
      <c r="AS317" s="21"/>
    </row>
    <row r="318" spans="1:45" x14ac:dyDescent="0.35">
      <c r="A318" s="24"/>
      <c r="B318" s="21"/>
      <c r="C318" s="21"/>
      <c r="D318" s="21"/>
      <c r="E318" s="21"/>
      <c r="F318" s="21"/>
      <c r="G318" s="21"/>
      <c r="H318" s="21"/>
      <c r="I318" s="21"/>
      <c r="J318" s="21"/>
      <c r="K318" s="24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6"/>
      <c r="AQ318" s="27"/>
      <c r="AR318" s="21"/>
      <c r="AS318" s="21"/>
    </row>
    <row r="319" spans="1:45" x14ac:dyDescent="0.35">
      <c r="A319" s="24"/>
      <c r="B319" s="21"/>
      <c r="C319" s="21"/>
      <c r="D319" s="21"/>
      <c r="E319" s="21"/>
      <c r="F319" s="21"/>
      <c r="G319" s="21"/>
      <c r="H319" s="21"/>
      <c r="I319" s="21"/>
      <c r="J319" s="21"/>
      <c r="K319" s="24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6"/>
      <c r="AQ319" s="27"/>
      <c r="AR319" s="21"/>
      <c r="AS319" s="21"/>
    </row>
    <row r="320" spans="1:45" x14ac:dyDescent="0.35">
      <c r="A320" s="24"/>
      <c r="B320" s="21"/>
      <c r="C320" s="21"/>
      <c r="D320" s="21"/>
      <c r="E320" s="21"/>
      <c r="F320" s="21"/>
      <c r="G320" s="21"/>
      <c r="H320" s="21"/>
      <c r="I320" s="21"/>
      <c r="J320" s="21"/>
      <c r="K320" s="24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6"/>
      <c r="AQ320" s="27"/>
      <c r="AR320" s="21"/>
      <c r="AS320" s="21"/>
    </row>
    <row r="321" spans="1:45" x14ac:dyDescent="0.35">
      <c r="A321" s="24"/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6"/>
      <c r="AQ321" s="27"/>
      <c r="AR321" s="21"/>
      <c r="AS321" s="21"/>
    </row>
    <row r="322" spans="1:45" x14ac:dyDescent="0.35">
      <c r="A322" s="24"/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6"/>
      <c r="AQ322" s="27"/>
      <c r="AR322" s="21"/>
      <c r="AS322" s="21"/>
    </row>
    <row r="323" spans="1:45" x14ac:dyDescent="0.35">
      <c r="A323" s="24"/>
      <c r="B323" s="21"/>
      <c r="C323" s="21"/>
      <c r="D323" s="21"/>
      <c r="E323" s="21"/>
      <c r="F323" s="21"/>
      <c r="G323" s="21"/>
      <c r="H323" s="21"/>
      <c r="I323" s="21"/>
      <c r="J323" s="21"/>
      <c r="K323" s="24"/>
      <c r="L323" s="21"/>
      <c r="M323" s="25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6"/>
      <c r="AQ323" s="27"/>
      <c r="AR323" s="21"/>
      <c r="AS323" s="28"/>
    </row>
    <row r="324" spans="1:45" x14ac:dyDescent="0.35">
      <c r="A324" s="24"/>
      <c r="B324" s="21"/>
      <c r="C324" s="21"/>
      <c r="D324" s="21"/>
      <c r="E324" s="21"/>
      <c r="F324" s="21"/>
      <c r="G324" s="21"/>
      <c r="H324" s="21"/>
      <c r="I324" s="21"/>
      <c r="J324" s="21"/>
      <c r="K324" s="24"/>
      <c r="L324" s="21"/>
      <c r="M324" s="25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6"/>
      <c r="AQ324" s="27"/>
      <c r="AR324" s="21"/>
      <c r="AS324" s="28"/>
    </row>
    <row r="325" spans="1:45" x14ac:dyDescent="0.35">
      <c r="A325" s="24"/>
      <c r="B325" s="21"/>
      <c r="C325" s="21"/>
      <c r="D325" s="21"/>
      <c r="E325" s="21"/>
      <c r="F325" s="21"/>
      <c r="G325" s="21"/>
      <c r="H325" s="21"/>
      <c r="I325" s="21"/>
      <c r="J325" s="21"/>
      <c r="K325" s="24"/>
      <c r="L325" s="21"/>
      <c r="M325" s="25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6"/>
      <c r="AQ325" s="27"/>
      <c r="AR325" s="21"/>
      <c r="AS325" s="28"/>
    </row>
    <row r="326" spans="1:45" x14ac:dyDescent="0.35">
      <c r="A326" s="24"/>
      <c r="B326" s="21"/>
      <c r="C326" s="21"/>
      <c r="D326" s="21"/>
      <c r="E326" s="21"/>
      <c r="F326" s="21"/>
      <c r="G326" s="21"/>
      <c r="H326" s="21"/>
      <c r="I326" s="21"/>
      <c r="J326" s="21"/>
      <c r="K326" s="24"/>
      <c r="L326" s="21"/>
      <c r="M326" s="25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6"/>
      <c r="AQ326" s="27"/>
      <c r="AR326" s="21"/>
      <c r="AS326" s="28"/>
    </row>
    <row r="327" spans="1:45" x14ac:dyDescent="0.35">
      <c r="A327" s="24"/>
      <c r="B327" s="21"/>
      <c r="C327" s="21"/>
      <c r="D327" s="21"/>
      <c r="E327" s="21"/>
      <c r="F327" s="21"/>
      <c r="G327" s="21"/>
      <c r="H327" s="21"/>
      <c r="I327" s="21"/>
      <c r="J327" s="21"/>
      <c r="K327" s="24"/>
      <c r="L327" s="21"/>
      <c r="M327" s="25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6"/>
      <c r="AQ327" s="27"/>
      <c r="AR327" s="21"/>
      <c r="AS327" s="28"/>
    </row>
    <row r="328" spans="1:45" x14ac:dyDescent="0.35">
      <c r="A328" s="24"/>
      <c r="B328" s="21"/>
      <c r="C328" s="21"/>
      <c r="D328" s="21"/>
      <c r="E328" s="21"/>
      <c r="F328" s="21"/>
      <c r="G328" s="21"/>
      <c r="H328" s="21"/>
      <c r="I328" s="21"/>
      <c r="J328" s="21"/>
      <c r="K328" s="24"/>
      <c r="L328" s="21"/>
      <c r="M328" s="25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6"/>
      <c r="AQ328" s="27"/>
      <c r="AR328" s="21"/>
      <c r="AS328" s="28"/>
    </row>
    <row r="329" spans="1:45" x14ac:dyDescent="0.35">
      <c r="A329" s="24"/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5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6"/>
      <c r="AQ329" s="27"/>
      <c r="AR329" s="21"/>
      <c r="AS329" s="28"/>
    </row>
    <row r="330" spans="1:45" x14ac:dyDescent="0.35">
      <c r="A330" s="29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30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  <c r="AO330" s="21"/>
      <c r="AP330" s="26"/>
      <c r="AQ330" s="27"/>
      <c r="AR330" s="21"/>
      <c r="AS330" s="28"/>
    </row>
    <row r="331" spans="1:45" x14ac:dyDescent="0.35">
      <c r="A331" s="24"/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5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6"/>
      <c r="AQ331" s="27"/>
      <c r="AR331" s="21"/>
      <c r="AS331" s="28"/>
    </row>
    <row r="332" spans="1:45" x14ac:dyDescent="0.35">
      <c r="A332" s="29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30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  <c r="AO332" s="21"/>
      <c r="AP332" s="26"/>
      <c r="AQ332" s="27"/>
      <c r="AR332" s="21"/>
      <c r="AS332" s="28"/>
    </row>
    <row r="333" spans="1:45" x14ac:dyDescent="0.35">
      <c r="A333" s="24"/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5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6"/>
      <c r="AQ333" s="27"/>
      <c r="AR333" s="21"/>
      <c r="AS333" s="28"/>
    </row>
    <row r="334" spans="1:45" x14ac:dyDescent="0.35">
      <c r="A334" s="24"/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5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6"/>
      <c r="AQ334" s="27"/>
      <c r="AR334" s="21"/>
      <c r="AS334" s="28"/>
    </row>
    <row r="335" spans="1:45" x14ac:dyDescent="0.35">
      <c r="A335" s="29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30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  <c r="AO335" s="21"/>
      <c r="AP335" s="26"/>
      <c r="AQ335" s="27"/>
      <c r="AR335" s="21"/>
      <c r="AS335" s="28"/>
    </row>
    <row r="336" spans="1:45" x14ac:dyDescent="0.35">
      <c r="A336" s="24"/>
      <c r="B336" s="21"/>
      <c r="C336" s="21"/>
      <c r="D336" s="21"/>
      <c r="E336" s="21"/>
      <c r="F336" s="21"/>
      <c r="G336" s="21"/>
      <c r="H336" s="21"/>
      <c r="I336" s="21"/>
      <c r="J336" s="21"/>
      <c r="K336" s="24"/>
      <c r="L336" s="21"/>
      <c r="M336" s="25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6"/>
      <c r="AQ336" s="27"/>
      <c r="AR336" s="21"/>
      <c r="AS336" s="28"/>
    </row>
    <row r="337" spans="1:45" x14ac:dyDescent="0.35">
      <c r="A337" s="24"/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5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6"/>
      <c r="AQ337" s="27"/>
      <c r="AR337" s="21"/>
      <c r="AS337" s="28"/>
    </row>
    <row r="338" spans="1:45" x14ac:dyDescent="0.35">
      <c r="A338" s="24"/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5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6"/>
      <c r="AQ338" s="27"/>
      <c r="AR338" s="21"/>
      <c r="AS338" s="28"/>
    </row>
    <row r="339" spans="1:45" x14ac:dyDescent="0.35">
      <c r="A339" s="24"/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5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6"/>
      <c r="AQ339" s="27"/>
      <c r="AR339" s="21"/>
      <c r="AS339" s="28"/>
    </row>
    <row r="340" spans="1:45" x14ac:dyDescent="0.35">
      <c r="A340" s="24"/>
      <c r="B340" s="21"/>
      <c r="C340" s="21"/>
      <c r="D340" s="21"/>
      <c r="E340" s="21"/>
      <c r="F340" s="21"/>
      <c r="G340" s="21"/>
      <c r="H340" s="21"/>
      <c r="I340" s="21"/>
      <c r="J340" s="21"/>
      <c r="K340" s="24"/>
      <c r="L340" s="21"/>
      <c r="M340" s="25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6"/>
      <c r="AQ340" s="27"/>
      <c r="AR340" s="21"/>
      <c r="AS340" s="28"/>
    </row>
    <row r="341" spans="1:45" x14ac:dyDescent="0.35">
      <c r="A341" s="24"/>
      <c r="B341" s="21"/>
      <c r="C341" s="21"/>
      <c r="D341" s="21"/>
      <c r="E341" s="21"/>
      <c r="F341" s="21"/>
      <c r="G341" s="21"/>
      <c r="H341" s="21"/>
      <c r="I341" s="21"/>
      <c r="J341" s="21"/>
      <c r="K341" s="24"/>
      <c r="L341" s="21"/>
      <c r="M341" s="25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6"/>
      <c r="AQ341" s="27"/>
      <c r="AR341" s="21"/>
      <c r="AS341" s="28"/>
    </row>
    <row r="342" spans="1:45" x14ac:dyDescent="0.35">
      <c r="A342" s="24"/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5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6"/>
      <c r="AQ342" s="27"/>
      <c r="AR342" s="21"/>
      <c r="AS342" s="28"/>
    </row>
    <row r="343" spans="1:45" x14ac:dyDescent="0.35">
      <c r="A343" s="24"/>
      <c r="B343" s="21"/>
      <c r="C343" s="21"/>
      <c r="D343" s="21"/>
      <c r="E343" s="21"/>
      <c r="F343" s="21"/>
      <c r="G343" s="21"/>
      <c r="H343" s="21"/>
      <c r="I343" s="21"/>
      <c r="J343" s="21"/>
      <c r="K343" s="24"/>
      <c r="L343" s="21"/>
      <c r="M343" s="25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6"/>
      <c r="AQ343" s="27"/>
      <c r="AR343" s="21"/>
      <c r="AS343" s="28"/>
    </row>
    <row r="344" spans="1:45" x14ac:dyDescent="0.35">
      <c r="A344" s="24"/>
      <c r="B344" s="21"/>
      <c r="C344" s="21"/>
      <c r="D344" s="21"/>
      <c r="E344" s="21"/>
      <c r="F344" s="21"/>
      <c r="G344" s="21"/>
      <c r="H344" s="21"/>
      <c r="I344" s="21"/>
      <c r="J344" s="21"/>
      <c r="K344" s="24"/>
      <c r="L344" s="21"/>
      <c r="M344" s="25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6"/>
      <c r="AQ344" s="27"/>
      <c r="AR344" s="21"/>
      <c r="AS344" s="28"/>
    </row>
    <row r="345" spans="1:45" x14ac:dyDescent="0.35">
      <c r="A345" s="24"/>
      <c r="B345" s="21"/>
      <c r="C345" s="21"/>
      <c r="D345" s="21"/>
      <c r="E345" s="21"/>
      <c r="F345" s="21"/>
      <c r="G345" s="21"/>
      <c r="H345" s="21"/>
      <c r="I345" s="21"/>
      <c r="J345" s="21"/>
      <c r="K345" s="24"/>
      <c r="L345" s="21"/>
      <c r="M345" s="25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6"/>
      <c r="AQ345" s="27"/>
      <c r="AR345" s="21"/>
      <c r="AS345" s="28"/>
    </row>
    <row r="346" spans="1:45" x14ac:dyDescent="0.35">
      <c r="A346" s="24"/>
      <c r="B346" s="21"/>
      <c r="C346" s="21"/>
      <c r="D346" s="21"/>
      <c r="E346" s="21"/>
      <c r="F346" s="21"/>
      <c r="G346" s="21"/>
      <c r="H346" s="21"/>
      <c r="I346" s="21"/>
      <c r="J346" s="21"/>
      <c r="K346" s="24"/>
      <c r="L346" s="21"/>
      <c r="M346" s="25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6"/>
      <c r="AQ346" s="27"/>
      <c r="AR346" s="21"/>
      <c r="AS346" s="28"/>
    </row>
    <row r="347" spans="1:45" x14ac:dyDescent="0.35">
      <c r="A347" s="29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30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  <c r="AO347" s="21"/>
      <c r="AP347" s="26"/>
      <c r="AQ347" s="27"/>
      <c r="AR347" s="21"/>
      <c r="AS347" s="28"/>
    </row>
    <row r="348" spans="1:45" x14ac:dyDescent="0.35">
      <c r="A348" s="29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30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  <c r="AO348" s="21"/>
      <c r="AP348" s="26"/>
      <c r="AQ348" s="27"/>
      <c r="AR348" s="21"/>
      <c r="AS348" s="28"/>
    </row>
    <row r="349" spans="1:45" x14ac:dyDescent="0.35">
      <c r="A349" s="24"/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5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6"/>
      <c r="AQ349" s="27"/>
      <c r="AR349" s="21"/>
      <c r="AS349" s="28"/>
    </row>
    <row r="350" spans="1:45" x14ac:dyDescent="0.35">
      <c r="A350" s="24"/>
      <c r="B350" s="21"/>
      <c r="C350" s="21"/>
      <c r="D350" s="21"/>
      <c r="E350" s="21"/>
      <c r="F350" s="21"/>
      <c r="G350" s="21"/>
      <c r="H350" s="21"/>
      <c r="I350" s="21"/>
      <c r="J350" s="21"/>
      <c r="K350" s="24"/>
      <c r="L350" s="21"/>
      <c r="M350" s="25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6"/>
      <c r="AQ350" s="27"/>
      <c r="AR350" s="21"/>
      <c r="AS350" s="28"/>
    </row>
    <row r="351" spans="1:45" x14ac:dyDescent="0.35">
      <c r="A351" s="24"/>
      <c r="B351" s="21"/>
      <c r="C351" s="21"/>
      <c r="D351" s="21"/>
      <c r="E351" s="21"/>
      <c r="F351" s="21"/>
      <c r="G351" s="21"/>
      <c r="H351" s="21"/>
      <c r="I351" s="21"/>
      <c r="J351" s="21"/>
      <c r="K351" s="24"/>
      <c r="L351" s="21"/>
      <c r="M351" s="25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6"/>
      <c r="AQ351" s="27"/>
      <c r="AR351" s="21"/>
      <c r="AS351" s="28"/>
    </row>
    <row r="352" spans="1:45" x14ac:dyDescent="0.35">
      <c r="A352" s="24"/>
      <c r="B352" s="21"/>
      <c r="C352" s="21"/>
      <c r="D352" s="21"/>
      <c r="E352" s="21"/>
      <c r="F352" s="21"/>
      <c r="G352" s="21"/>
      <c r="H352" s="21"/>
      <c r="I352" s="21"/>
      <c r="J352" s="21"/>
      <c r="K352" s="24"/>
      <c r="L352" s="21"/>
      <c r="M352" s="25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6"/>
      <c r="AQ352" s="27"/>
      <c r="AR352" s="21"/>
      <c r="AS352" s="28"/>
    </row>
    <row r="353" spans="1:45" x14ac:dyDescent="0.35">
      <c r="A353" s="24"/>
      <c r="B353" s="21"/>
      <c r="C353" s="21"/>
      <c r="D353" s="21"/>
      <c r="E353" s="21"/>
      <c r="F353" s="21"/>
      <c r="G353" s="21"/>
      <c r="H353" s="21"/>
      <c r="I353" s="21"/>
      <c r="J353" s="21"/>
      <c r="K353" s="24"/>
      <c r="L353" s="21"/>
      <c r="M353" s="25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6"/>
      <c r="AQ353" s="27"/>
      <c r="AR353" s="21"/>
      <c r="AS353" s="28"/>
    </row>
    <row r="354" spans="1:45" x14ac:dyDescent="0.35">
      <c r="A354" s="24"/>
      <c r="B354" s="21"/>
      <c r="C354" s="21"/>
      <c r="D354" s="21"/>
      <c r="E354" s="21"/>
      <c r="F354" s="21"/>
      <c r="G354" s="21"/>
      <c r="H354" s="21"/>
      <c r="I354" s="21"/>
      <c r="J354" s="21"/>
      <c r="K354" s="24"/>
      <c r="L354" s="21"/>
      <c r="M354" s="25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6"/>
      <c r="AQ354" s="27"/>
      <c r="AR354" s="21"/>
      <c r="AS354" s="28"/>
    </row>
    <row r="355" spans="1:45" x14ac:dyDescent="0.35">
      <c r="A355" s="24"/>
      <c r="B355" s="21"/>
      <c r="C355" s="21"/>
      <c r="D355" s="21"/>
      <c r="E355" s="21"/>
      <c r="F355" s="21"/>
      <c r="G355" s="21"/>
      <c r="H355" s="21"/>
      <c r="I355" s="21"/>
      <c r="J355" s="21"/>
      <c r="K355" s="24"/>
      <c r="L355" s="21"/>
      <c r="M355" s="25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6"/>
      <c r="AQ355" s="27"/>
      <c r="AR355" s="21"/>
      <c r="AS355" s="28"/>
    </row>
    <row r="356" spans="1:45" x14ac:dyDescent="0.35">
      <c r="A356" s="29"/>
      <c r="B356" s="22"/>
      <c r="C356" s="22"/>
      <c r="D356" s="22"/>
      <c r="E356" s="22"/>
      <c r="F356" s="22"/>
      <c r="G356" s="22"/>
      <c r="H356" s="22"/>
      <c r="I356" s="22"/>
      <c r="J356" s="22"/>
      <c r="K356" s="29"/>
      <c r="L356" s="22"/>
      <c r="M356" s="30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  <c r="AO356" s="21"/>
      <c r="AP356" s="26"/>
      <c r="AQ356" s="27"/>
      <c r="AR356" s="21"/>
      <c r="AS356" s="28"/>
    </row>
    <row r="357" spans="1:45" x14ac:dyDescent="0.35">
      <c r="A357" s="24"/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5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6"/>
      <c r="AQ357" s="27"/>
      <c r="AR357" s="21"/>
      <c r="AS357" s="28"/>
    </row>
    <row r="358" spans="1:45" x14ac:dyDescent="0.35">
      <c r="A358" s="24"/>
      <c r="B358" s="21"/>
      <c r="C358" s="21"/>
      <c r="D358" s="21"/>
      <c r="E358" s="21"/>
      <c r="F358" s="21"/>
      <c r="G358" s="21"/>
      <c r="H358" s="21"/>
      <c r="I358" s="21"/>
      <c r="J358" s="21"/>
      <c r="K358" s="24"/>
      <c r="L358" s="21"/>
      <c r="M358" s="25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6"/>
      <c r="AQ358" s="27"/>
      <c r="AR358" s="21"/>
      <c r="AS358" s="28"/>
    </row>
    <row r="359" spans="1:45" x14ac:dyDescent="0.35">
      <c r="A359" s="24"/>
      <c r="B359" s="21"/>
      <c r="C359" s="21"/>
      <c r="D359" s="21"/>
      <c r="E359" s="21"/>
      <c r="F359" s="21"/>
      <c r="G359" s="21"/>
      <c r="H359" s="21"/>
      <c r="I359" s="21"/>
      <c r="J359" s="21"/>
      <c r="K359" s="24"/>
      <c r="L359" s="21"/>
      <c r="M359" s="25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6"/>
      <c r="AQ359" s="27"/>
      <c r="AR359" s="21"/>
      <c r="AS359" s="28"/>
    </row>
    <row r="360" spans="1:45" x14ac:dyDescent="0.35">
      <c r="A360" s="24"/>
      <c r="B360" s="21"/>
      <c r="C360" s="21"/>
      <c r="D360" s="21"/>
      <c r="E360" s="21"/>
      <c r="F360" s="21"/>
      <c r="G360" s="21"/>
      <c r="H360" s="21"/>
      <c r="I360" s="21"/>
      <c r="J360" s="21"/>
      <c r="K360" s="24"/>
      <c r="L360" s="21"/>
      <c r="M360" s="25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6"/>
      <c r="AQ360" s="27"/>
      <c r="AR360" s="21"/>
      <c r="AS360" s="28"/>
    </row>
    <row r="361" spans="1:45" x14ac:dyDescent="0.35">
      <c r="A361" s="24"/>
      <c r="B361" s="21"/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5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6"/>
      <c r="AQ361" s="27"/>
      <c r="AR361" s="21"/>
      <c r="AS361" s="28"/>
    </row>
    <row r="362" spans="1:45" x14ac:dyDescent="0.35">
      <c r="A362" s="29"/>
      <c r="B362" s="22"/>
      <c r="C362" s="22"/>
      <c r="D362" s="22"/>
      <c r="E362" s="22"/>
      <c r="F362" s="22"/>
      <c r="G362" s="22"/>
      <c r="H362" s="22"/>
      <c r="I362" s="22"/>
      <c r="J362" s="22"/>
      <c r="K362" s="29"/>
      <c r="L362" s="22"/>
      <c r="M362" s="30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  <c r="AO362" s="21"/>
      <c r="AP362" s="26"/>
      <c r="AQ362" s="27"/>
      <c r="AR362" s="21"/>
      <c r="AS362" s="28"/>
    </row>
    <row r="363" spans="1:45" x14ac:dyDescent="0.35">
      <c r="A363" s="24"/>
      <c r="B363" s="21"/>
      <c r="C363" s="21"/>
      <c r="D363" s="21"/>
      <c r="E363" s="21"/>
      <c r="F363" s="21"/>
      <c r="G363" s="21"/>
      <c r="H363" s="21"/>
      <c r="I363" s="21"/>
      <c r="J363" s="21"/>
      <c r="K363" s="24"/>
      <c r="L363" s="21"/>
      <c r="M363" s="25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6"/>
      <c r="AQ363" s="27"/>
      <c r="AR363" s="21"/>
      <c r="AS363" s="28"/>
    </row>
    <row r="364" spans="1:45" x14ac:dyDescent="0.35">
      <c r="A364" s="24"/>
      <c r="B364" s="21"/>
      <c r="C364" s="21"/>
      <c r="D364" s="21"/>
      <c r="E364" s="21"/>
      <c r="F364" s="21"/>
      <c r="G364" s="21"/>
      <c r="H364" s="21"/>
      <c r="I364" s="21"/>
      <c r="J364" s="21"/>
      <c r="K364" s="24"/>
      <c r="L364" s="21"/>
      <c r="M364" s="25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6"/>
      <c r="AQ364" s="27"/>
      <c r="AR364" s="21"/>
      <c r="AS364" s="28"/>
    </row>
    <row r="365" spans="1:45" x14ac:dyDescent="0.35">
      <c r="A365" s="29"/>
      <c r="B365" s="22"/>
      <c r="C365" s="22"/>
      <c r="D365" s="22"/>
      <c r="E365" s="22"/>
      <c r="F365" s="22"/>
      <c r="G365" s="22"/>
      <c r="H365" s="22"/>
      <c r="I365" s="22"/>
      <c r="J365" s="22"/>
      <c r="K365" s="29"/>
      <c r="L365" s="22"/>
      <c r="M365" s="30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1"/>
      <c r="AP365" s="26"/>
      <c r="AQ365" s="27"/>
      <c r="AR365" s="21"/>
      <c r="AS365" s="28"/>
    </row>
    <row r="366" spans="1:45" x14ac:dyDescent="0.35">
      <c r="A366" s="29"/>
      <c r="B366" s="22"/>
      <c r="C366" s="22"/>
      <c r="D366" s="22"/>
      <c r="E366" s="22"/>
      <c r="F366" s="22"/>
      <c r="G366" s="22"/>
      <c r="H366" s="22"/>
      <c r="I366" s="22"/>
      <c r="J366" s="22"/>
      <c r="K366" s="29"/>
      <c r="L366" s="22"/>
      <c r="M366" s="30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1"/>
      <c r="AP366" s="26"/>
      <c r="AQ366" s="27"/>
      <c r="AR366" s="21"/>
      <c r="AS366" s="28"/>
    </row>
    <row r="367" spans="1:45" x14ac:dyDescent="0.35">
      <c r="A367" s="29"/>
      <c r="B367" s="22"/>
      <c r="C367" s="22"/>
      <c r="D367" s="22"/>
      <c r="E367" s="22"/>
      <c r="F367" s="22"/>
      <c r="G367" s="22"/>
      <c r="H367" s="22"/>
      <c r="I367" s="22"/>
      <c r="J367" s="22"/>
      <c r="K367" s="29"/>
      <c r="L367" s="22"/>
      <c r="M367" s="30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1"/>
      <c r="AP367" s="26"/>
      <c r="AQ367" s="27"/>
      <c r="AR367" s="21"/>
      <c r="AS367" s="28"/>
    </row>
    <row r="368" spans="1:45" x14ac:dyDescent="0.35">
      <c r="A368" s="29"/>
      <c r="B368" s="22"/>
      <c r="C368" s="22"/>
      <c r="D368" s="22"/>
      <c r="E368" s="22"/>
      <c r="F368" s="22"/>
      <c r="G368" s="22"/>
      <c r="H368" s="22"/>
      <c r="I368" s="22"/>
      <c r="J368" s="22"/>
      <c r="K368" s="29"/>
      <c r="L368" s="22"/>
      <c r="M368" s="30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1"/>
      <c r="AP368" s="26"/>
      <c r="AQ368" s="27"/>
      <c r="AR368" s="21"/>
      <c r="AS368" s="28"/>
    </row>
    <row r="369" spans="1:45" x14ac:dyDescent="0.35">
      <c r="A369" s="29"/>
      <c r="B369" s="22"/>
      <c r="C369" s="22"/>
      <c r="D369" s="22"/>
      <c r="E369" s="22"/>
      <c r="F369" s="22"/>
      <c r="G369" s="22"/>
      <c r="H369" s="22"/>
      <c r="I369" s="22"/>
      <c r="J369" s="22"/>
      <c r="K369" s="29"/>
      <c r="L369" s="22"/>
      <c r="M369" s="30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1"/>
      <c r="AP369" s="26"/>
      <c r="AQ369" s="27"/>
      <c r="AR369" s="21"/>
      <c r="AS369" s="28"/>
    </row>
    <row r="370" spans="1:45" x14ac:dyDescent="0.35">
      <c r="A370" s="29"/>
      <c r="B370" s="22"/>
      <c r="C370" s="22"/>
      <c r="D370" s="22"/>
      <c r="E370" s="22"/>
      <c r="F370" s="22"/>
      <c r="G370" s="22"/>
      <c r="H370" s="22"/>
      <c r="I370" s="22"/>
      <c r="J370" s="22"/>
      <c r="K370" s="29"/>
      <c r="L370" s="22"/>
      <c r="M370" s="30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1"/>
      <c r="AP370" s="26"/>
      <c r="AQ370" s="27"/>
      <c r="AR370" s="21"/>
      <c r="AS370" s="28"/>
    </row>
    <row r="371" spans="1:45" x14ac:dyDescent="0.35">
      <c r="A371" s="29"/>
      <c r="B371" s="22"/>
      <c r="C371" s="22"/>
      <c r="D371" s="22"/>
      <c r="E371" s="22"/>
      <c r="F371" s="22"/>
      <c r="G371" s="22"/>
      <c r="H371" s="22"/>
      <c r="I371" s="22"/>
      <c r="J371" s="22"/>
      <c r="K371" s="29"/>
      <c r="L371" s="22"/>
      <c r="M371" s="30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1"/>
      <c r="AP371" s="26"/>
      <c r="AQ371" s="27"/>
      <c r="AR371" s="21"/>
      <c r="AS371" s="28"/>
    </row>
    <row r="372" spans="1:45" x14ac:dyDescent="0.35">
      <c r="A372" s="29"/>
      <c r="B372" s="22"/>
      <c r="C372" s="22"/>
      <c r="D372" s="22"/>
      <c r="E372" s="22"/>
      <c r="F372" s="22"/>
      <c r="G372" s="22"/>
      <c r="H372" s="22"/>
      <c r="I372" s="22"/>
      <c r="J372" s="22"/>
      <c r="K372" s="29"/>
      <c r="L372" s="22"/>
      <c r="M372" s="30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1"/>
      <c r="AP372" s="26"/>
      <c r="AQ372" s="27"/>
      <c r="AR372" s="21"/>
      <c r="AS372" s="28"/>
    </row>
    <row r="373" spans="1:45" x14ac:dyDescent="0.35">
      <c r="A373" s="29"/>
      <c r="B373" s="22"/>
      <c r="C373" s="22"/>
      <c r="D373" s="22"/>
      <c r="E373" s="22"/>
      <c r="F373" s="22"/>
      <c r="G373" s="22"/>
      <c r="H373" s="22"/>
      <c r="I373" s="22"/>
      <c r="J373" s="22"/>
      <c r="K373" s="29"/>
      <c r="L373" s="22"/>
      <c r="M373" s="30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1"/>
      <c r="AP373" s="26"/>
      <c r="AQ373" s="27"/>
      <c r="AR373" s="21"/>
      <c r="AS373" s="28"/>
    </row>
    <row r="374" spans="1:45" x14ac:dyDescent="0.35">
      <c r="A374" s="29"/>
      <c r="B374" s="22"/>
      <c r="C374" s="22"/>
      <c r="D374" s="22"/>
      <c r="E374" s="22"/>
      <c r="F374" s="22"/>
      <c r="G374" s="22"/>
      <c r="H374" s="22"/>
      <c r="I374" s="22"/>
      <c r="J374" s="22"/>
      <c r="K374" s="29"/>
      <c r="L374" s="22"/>
      <c r="M374" s="30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1"/>
      <c r="AP374" s="26"/>
      <c r="AQ374" s="27"/>
      <c r="AR374" s="21"/>
      <c r="AS374" s="28"/>
    </row>
    <row r="375" spans="1:45" x14ac:dyDescent="0.35">
      <c r="A375" s="29"/>
      <c r="B375" s="22"/>
      <c r="C375" s="22"/>
      <c r="D375" s="22"/>
      <c r="E375" s="22"/>
      <c r="F375" s="22"/>
      <c r="G375" s="22"/>
      <c r="H375" s="22"/>
      <c r="I375" s="22"/>
      <c r="J375" s="22"/>
      <c r="K375" s="29"/>
      <c r="L375" s="22"/>
      <c r="M375" s="30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1"/>
      <c r="AP375" s="26"/>
      <c r="AQ375" s="27"/>
      <c r="AR375" s="21"/>
      <c r="AS375" s="28"/>
    </row>
    <row r="376" spans="1:45" x14ac:dyDescent="0.35">
      <c r="A376" s="29"/>
      <c r="B376" s="22"/>
      <c r="C376" s="22"/>
      <c r="D376" s="22"/>
      <c r="E376" s="22"/>
      <c r="F376" s="22"/>
      <c r="G376" s="22"/>
      <c r="H376" s="22"/>
      <c r="I376" s="22"/>
      <c r="J376" s="22"/>
      <c r="K376" s="29"/>
      <c r="L376" s="22"/>
      <c r="M376" s="30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1"/>
      <c r="AP376" s="26"/>
      <c r="AQ376" s="27"/>
      <c r="AR376" s="21"/>
      <c r="AS376" s="28"/>
    </row>
    <row r="377" spans="1:45" x14ac:dyDescent="0.35">
      <c r="A377" s="29"/>
      <c r="B377" s="22"/>
      <c r="C377" s="22"/>
      <c r="D377" s="22"/>
      <c r="E377" s="22"/>
      <c r="F377" s="22"/>
      <c r="G377" s="22"/>
      <c r="H377" s="22"/>
      <c r="I377" s="22"/>
      <c r="J377" s="22"/>
      <c r="K377" s="29"/>
      <c r="L377" s="22"/>
      <c r="M377" s="30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1"/>
      <c r="AP377" s="26"/>
      <c r="AQ377" s="27"/>
      <c r="AR377" s="21"/>
      <c r="AS377" s="28"/>
    </row>
    <row r="378" spans="1:45" x14ac:dyDescent="0.35">
      <c r="A378" s="29"/>
      <c r="B378" s="22"/>
      <c r="C378" s="22"/>
      <c r="D378" s="22"/>
      <c r="E378" s="22"/>
      <c r="F378" s="22"/>
      <c r="G378" s="22"/>
      <c r="H378" s="22"/>
      <c r="I378" s="22"/>
      <c r="J378" s="22"/>
      <c r="K378" s="29"/>
      <c r="L378" s="22"/>
      <c r="M378" s="30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1"/>
      <c r="AP378" s="26"/>
      <c r="AQ378" s="27"/>
      <c r="AR378" s="21"/>
      <c r="AS378" s="28"/>
    </row>
    <row r="379" spans="1:45" x14ac:dyDescent="0.35">
      <c r="A379" s="29"/>
      <c r="B379" s="22"/>
      <c r="C379" s="22"/>
      <c r="D379" s="22"/>
      <c r="E379" s="22"/>
      <c r="F379" s="22"/>
      <c r="G379" s="22"/>
      <c r="H379" s="22"/>
      <c r="I379" s="22"/>
      <c r="J379" s="22"/>
      <c r="K379" s="29"/>
      <c r="L379" s="22"/>
      <c r="M379" s="30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1"/>
      <c r="AP379" s="26"/>
      <c r="AQ379" s="27"/>
      <c r="AR379" s="21"/>
      <c r="AS379" s="28"/>
    </row>
    <row r="380" spans="1:45" x14ac:dyDescent="0.35">
      <c r="A380" s="29"/>
      <c r="B380" s="22"/>
      <c r="C380" s="22"/>
      <c r="D380" s="22"/>
      <c r="E380" s="22"/>
      <c r="F380" s="22"/>
      <c r="G380" s="22"/>
      <c r="H380" s="22"/>
      <c r="I380" s="22"/>
      <c r="J380" s="22"/>
      <c r="K380" s="29"/>
      <c r="L380" s="22"/>
      <c r="M380" s="30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1"/>
      <c r="AP380" s="26"/>
      <c r="AQ380" s="27"/>
      <c r="AR380" s="21"/>
      <c r="AS380" s="28"/>
    </row>
    <row r="381" spans="1:45" x14ac:dyDescent="0.35">
      <c r="A381" s="29"/>
      <c r="B381" s="22"/>
      <c r="C381" s="22"/>
      <c r="D381" s="22"/>
      <c r="E381" s="22"/>
      <c r="F381" s="22"/>
      <c r="G381" s="22"/>
      <c r="H381" s="22"/>
      <c r="I381" s="22"/>
      <c r="J381" s="22"/>
      <c r="K381" s="29"/>
      <c r="L381" s="22"/>
      <c r="M381" s="30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1"/>
      <c r="AP381" s="26"/>
      <c r="AQ381" s="27"/>
      <c r="AR381" s="21"/>
      <c r="AS381" s="28"/>
    </row>
    <row r="382" spans="1:45" x14ac:dyDescent="0.35">
      <c r="A382" s="29"/>
      <c r="B382" s="22"/>
      <c r="C382" s="22"/>
      <c r="D382" s="22"/>
      <c r="E382" s="22"/>
      <c r="F382" s="22"/>
      <c r="G382" s="22"/>
      <c r="H382" s="22"/>
      <c r="I382" s="22"/>
      <c r="J382" s="22"/>
      <c r="K382" s="29"/>
      <c r="L382" s="22"/>
      <c r="M382" s="30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1"/>
      <c r="AP382" s="26"/>
      <c r="AQ382" s="27"/>
      <c r="AR382" s="21"/>
      <c r="AS382" s="28"/>
    </row>
    <row r="383" spans="1:45" x14ac:dyDescent="0.35">
      <c r="A383" s="29"/>
      <c r="B383" s="22"/>
      <c r="C383" s="22"/>
      <c r="D383" s="22"/>
      <c r="E383" s="22"/>
      <c r="F383" s="22"/>
      <c r="G383" s="22"/>
      <c r="H383" s="22"/>
      <c r="I383" s="22"/>
      <c r="J383" s="22"/>
      <c r="K383" s="29"/>
      <c r="L383" s="22"/>
      <c r="M383" s="30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1"/>
      <c r="AP383" s="26"/>
      <c r="AQ383" s="27"/>
      <c r="AR383" s="21"/>
      <c r="AS383" s="28"/>
    </row>
    <row r="384" spans="1:45" x14ac:dyDescent="0.35">
      <c r="A384" s="29"/>
      <c r="B384" s="22"/>
      <c r="C384" s="22"/>
      <c r="D384" s="22"/>
      <c r="E384" s="22"/>
      <c r="F384" s="22"/>
      <c r="G384" s="22"/>
      <c r="H384" s="22"/>
      <c r="I384" s="22"/>
      <c r="J384" s="22"/>
      <c r="K384" s="29"/>
      <c r="L384" s="22"/>
      <c r="M384" s="30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1"/>
      <c r="AP384" s="26"/>
      <c r="AQ384" s="27"/>
      <c r="AR384" s="21"/>
      <c r="AS384" s="28"/>
    </row>
    <row r="385" spans="1:45" x14ac:dyDescent="0.35">
      <c r="A385" s="29"/>
      <c r="B385" s="22"/>
      <c r="C385" s="22"/>
      <c r="D385" s="22"/>
      <c r="E385" s="22"/>
      <c r="F385" s="22"/>
      <c r="G385" s="22"/>
      <c r="H385" s="22"/>
      <c r="I385" s="22"/>
      <c r="J385" s="22"/>
      <c r="K385" s="29"/>
      <c r="L385" s="22"/>
      <c r="M385" s="30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1"/>
      <c r="AP385" s="26"/>
      <c r="AQ385" s="27"/>
      <c r="AR385" s="21"/>
      <c r="AS385" s="28"/>
    </row>
    <row r="386" spans="1:45" x14ac:dyDescent="0.35">
      <c r="A386" s="29"/>
      <c r="B386" s="22"/>
      <c r="C386" s="22"/>
      <c r="D386" s="22"/>
      <c r="E386" s="22"/>
      <c r="F386" s="22"/>
      <c r="G386" s="22"/>
      <c r="H386" s="22"/>
      <c r="I386" s="22"/>
      <c r="J386" s="22"/>
      <c r="K386" s="29"/>
      <c r="L386" s="22"/>
      <c r="M386" s="30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1"/>
      <c r="AP386" s="26"/>
      <c r="AQ386" s="27"/>
      <c r="AR386" s="21"/>
      <c r="AS386" s="28"/>
    </row>
    <row r="387" spans="1:45" x14ac:dyDescent="0.35">
      <c r="A387" s="29"/>
      <c r="B387" s="22"/>
      <c r="C387" s="22"/>
      <c r="D387" s="22"/>
      <c r="E387" s="22"/>
      <c r="F387" s="22"/>
      <c r="G387" s="22"/>
      <c r="H387" s="22"/>
      <c r="I387" s="22"/>
      <c r="J387" s="22"/>
      <c r="K387" s="29"/>
      <c r="L387" s="22"/>
      <c r="M387" s="30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1"/>
      <c r="AP387" s="26"/>
      <c r="AQ387" s="27"/>
      <c r="AR387" s="21"/>
      <c r="AS387" s="28"/>
    </row>
    <row r="388" spans="1:45" x14ac:dyDescent="0.35">
      <c r="A388" s="29"/>
      <c r="B388" s="22"/>
      <c r="C388" s="22"/>
      <c r="D388" s="22"/>
      <c r="E388" s="22"/>
      <c r="F388" s="22"/>
      <c r="G388" s="22"/>
      <c r="H388" s="22"/>
      <c r="I388" s="22"/>
      <c r="J388" s="22"/>
      <c r="K388" s="29"/>
      <c r="L388" s="22"/>
      <c r="M388" s="30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1"/>
      <c r="AP388" s="26"/>
      <c r="AQ388" s="27"/>
      <c r="AR388" s="21"/>
      <c r="AS388" s="28"/>
    </row>
    <row r="389" spans="1:45" x14ac:dyDescent="0.35">
      <c r="A389" s="29"/>
      <c r="B389" s="22"/>
      <c r="C389" s="22"/>
      <c r="D389" s="22"/>
      <c r="E389" s="22"/>
      <c r="F389" s="22"/>
      <c r="G389" s="22"/>
      <c r="H389" s="22"/>
      <c r="I389" s="22"/>
      <c r="J389" s="22"/>
      <c r="K389" s="29"/>
      <c r="L389" s="22"/>
      <c r="M389" s="30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1"/>
      <c r="AP389" s="26"/>
      <c r="AQ389" s="27"/>
      <c r="AR389" s="21"/>
      <c r="AS389" s="28"/>
    </row>
    <row r="390" spans="1:45" x14ac:dyDescent="0.35">
      <c r="A390" s="29"/>
      <c r="B390" s="22"/>
      <c r="C390" s="22"/>
      <c r="D390" s="22"/>
      <c r="E390" s="22"/>
      <c r="F390" s="22"/>
      <c r="G390" s="22"/>
      <c r="H390" s="22"/>
      <c r="I390" s="22"/>
      <c r="J390" s="22"/>
      <c r="K390" s="29"/>
      <c r="L390" s="22"/>
      <c r="M390" s="30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1"/>
      <c r="AP390" s="26"/>
      <c r="AQ390" s="27"/>
      <c r="AR390" s="21"/>
      <c r="AS390" s="28"/>
    </row>
    <row r="391" spans="1:45" x14ac:dyDescent="0.35">
      <c r="A391" s="29"/>
      <c r="B391" s="22"/>
      <c r="C391" s="22"/>
      <c r="D391" s="22"/>
      <c r="E391" s="22"/>
      <c r="F391" s="22"/>
      <c r="G391" s="22"/>
      <c r="H391" s="22"/>
      <c r="I391" s="22"/>
      <c r="J391" s="22"/>
      <c r="K391" s="29"/>
      <c r="L391" s="22"/>
      <c r="M391" s="30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1"/>
      <c r="AP391" s="26"/>
      <c r="AQ391" s="27"/>
      <c r="AR391" s="21"/>
      <c r="AS391" s="28"/>
    </row>
    <row r="392" spans="1:45" x14ac:dyDescent="0.35">
      <c r="A392" s="29"/>
      <c r="B392" s="22"/>
      <c r="C392" s="22"/>
      <c r="D392" s="22"/>
      <c r="E392" s="22"/>
      <c r="F392" s="22"/>
      <c r="G392" s="22"/>
      <c r="H392" s="22"/>
      <c r="I392" s="22"/>
      <c r="J392" s="22"/>
      <c r="K392" s="29"/>
      <c r="L392" s="22"/>
      <c r="M392" s="30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1"/>
      <c r="AP392" s="26"/>
      <c r="AQ392" s="27"/>
      <c r="AR392" s="21"/>
      <c r="AS392" s="28"/>
    </row>
    <row r="393" spans="1:45" x14ac:dyDescent="0.35">
      <c r="A393" s="29"/>
      <c r="B393" s="22"/>
      <c r="C393" s="22"/>
      <c r="D393" s="22"/>
      <c r="E393" s="22"/>
      <c r="F393" s="22"/>
      <c r="G393" s="22"/>
      <c r="H393" s="22"/>
      <c r="I393" s="22"/>
      <c r="J393" s="22"/>
      <c r="K393" s="29"/>
      <c r="L393" s="22"/>
      <c r="M393" s="30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1"/>
      <c r="AP393" s="26"/>
      <c r="AQ393" s="27"/>
      <c r="AR393" s="21"/>
      <c r="AS393" s="28"/>
    </row>
    <row r="394" spans="1:45" x14ac:dyDescent="0.35">
      <c r="A394" s="29"/>
      <c r="B394" s="22"/>
      <c r="C394" s="22"/>
      <c r="D394" s="22"/>
      <c r="E394" s="22"/>
      <c r="F394" s="22"/>
      <c r="G394" s="22"/>
      <c r="H394" s="22"/>
      <c r="I394" s="22"/>
      <c r="J394" s="22"/>
      <c r="K394" s="29"/>
      <c r="L394" s="22"/>
      <c r="M394" s="30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1"/>
      <c r="AP394" s="26"/>
      <c r="AQ394" s="27"/>
      <c r="AR394" s="21"/>
      <c r="AS394" s="28"/>
    </row>
    <row r="395" spans="1:45" x14ac:dyDescent="0.35">
      <c r="A395" s="29"/>
      <c r="B395" s="22"/>
      <c r="C395" s="22"/>
      <c r="D395" s="22"/>
      <c r="E395" s="22"/>
      <c r="F395" s="22"/>
      <c r="G395" s="22"/>
      <c r="H395" s="22"/>
      <c r="I395" s="22"/>
      <c r="J395" s="22"/>
      <c r="K395" s="29"/>
      <c r="L395" s="22"/>
      <c r="M395" s="30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1"/>
      <c r="AP395" s="26"/>
      <c r="AQ395" s="27"/>
      <c r="AR395" s="21"/>
      <c r="AS395" s="28"/>
    </row>
    <row r="396" spans="1:45" x14ac:dyDescent="0.35">
      <c r="A396" s="29"/>
      <c r="B396" s="22"/>
      <c r="C396" s="22"/>
      <c r="D396" s="22"/>
      <c r="E396" s="22"/>
      <c r="F396" s="22"/>
      <c r="G396" s="22"/>
      <c r="H396" s="22"/>
      <c r="I396" s="22"/>
      <c r="J396" s="22"/>
      <c r="K396" s="29"/>
      <c r="L396" s="22"/>
      <c r="M396" s="30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1"/>
      <c r="AP396" s="26"/>
      <c r="AQ396" s="27"/>
      <c r="AR396" s="21"/>
      <c r="AS396" s="28"/>
    </row>
    <row r="397" spans="1:45" x14ac:dyDescent="0.35">
      <c r="A397" s="29"/>
      <c r="B397" s="22"/>
      <c r="C397" s="22"/>
      <c r="D397" s="22"/>
      <c r="E397" s="22"/>
      <c r="F397" s="22"/>
      <c r="G397" s="22"/>
      <c r="H397" s="22"/>
      <c r="I397" s="22"/>
      <c r="J397" s="22"/>
      <c r="K397" s="29"/>
      <c r="L397" s="22"/>
      <c r="M397" s="30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1"/>
      <c r="AP397" s="26"/>
      <c r="AQ397" s="27"/>
      <c r="AR397" s="21"/>
      <c r="AS397" s="28"/>
    </row>
    <row r="398" spans="1:45" x14ac:dyDescent="0.35">
      <c r="A398" s="29"/>
      <c r="B398" s="22"/>
      <c r="C398" s="22"/>
      <c r="D398" s="22"/>
      <c r="E398" s="22"/>
      <c r="F398" s="22"/>
      <c r="G398" s="22"/>
      <c r="H398" s="22"/>
      <c r="I398" s="22"/>
      <c r="J398" s="22"/>
      <c r="K398" s="29"/>
      <c r="L398" s="22"/>
      <c r="M398" s="30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1"/>
      <c r="AP398" s="26"/>
      <c r="AQ398" s="27"/>
      <c r="AR398" s="21"/>
      <c r="AS398" s="28"/>
    </row>
    <row r="399" spans="1:45" x14ac:dyDescent="0.35">
      <c r="A399" s="29"/>
      <c r="B399" s="22"/>
      <c r="C399" s="22"/>
      <c r="D399" s="22"/>
      <c r="E399" s="22"/>
      <c r="F399" s="22"/>
      <c r="G399" s="22"/>
      <c r="H399" s="22"/>
      <c r="I399" s="22"/>
      <c r="J399" s="22"/>
      <c r="K399" s="29"/>
      <c r="L399" s="22"/>
      <c r="M399" s="30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1"/>
      <c r="AP399" s="26"/>
      <c r="AQ399" s="27"/>
      <c r="AR399" s="21"/>
      <c r="AS399" s="28"/>
    </row>
    <row r="400" spans="1:45" x14ac:dyDescent="0.35">
      <c r="A400" s="29"/>
      <c r="B400" s="22"/>
      <c r="C400" s="22"/>
      <c r="D400" s="22"/>
      <c r="E400" s="22"/>
      <c r="F400" s="22"/>
      <c r="G400" s="22"/>
      <c r="H400" s="22"/>
      <c r="I400" s="22"/>
      <c r="J400" s="22"/>
      <c r="K400" s="29"/>
      <c r="L400" s="22"/>
      <c r="M400" s="30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1"/>
      <c r="AP400" s="26"/>
      <c r="AQ400" s="27"/>
      <c r="AR400" s="21"/>
      <c r="AS400" s="28"/>
    </row>
    <row r="401" spans="1:45" x14ac:dyDescent="0.35">
      <c r="A401" s="29"/>
      <c r="B401" s="22"/>
      <c r="C401" s="22"/>
      <c r="D401" s="22"/>
      <c r="E401" s="22"/>
      <c r="F401" s="22"/>
      <c r="G401" s="22"/>
      <c r="H401" s="22"/>
      <c r="I401" s="22"/>
      <c r="J401" s="22"/>
      <c r="K401" s="29"/>
      <c r="L401" s="22"/>
      <c r="M401" s="30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1"/>
      <c r="AP401" s="26"/>
      <c r="AQ401" s="27"/>
      <c r="AR401" s="21"/>
      <c r="AS401" s="28"/>
    </row>
    <row r="402" spans="1:45" x14ac:dyDescent="0.35">
      <c r="A402" s="29"/>
      <c r="B402" s="22"/>
      <c r="C402" s="22"/>
      <c r="D402" s="22"/>
      <c r="E402" s="22"/>
      <c r="F402" s="22"/>
      <c r="G402" s="22"/>
      <c r="H402" s="22"/>
      <c r="I402" s="22"/>
      <c r="J402" s="22"/>
      <c r="K402" s="29"/>
      <c r="L402" s="22"/>
      <c r="M402" s="30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1"/>
      <c r="AP402" s="26"/>
      <c r="AQ402" s="27"/>
      <c r="AR402" s="21"/>
      <c r="AS402" s="28"/>
    </row>
    <row r="403" spans="1:45" x14ac:dyDescent="0.35">
      <c r="A403" s="29"/>
      <c r="B403" s="22"/>
      <c r="C403" s="22"/>
      <c r="D403" s="22"/>
      <c r="E403" s="22"/>
      <c r="F403" s="22"/>
      <c r="G403" s="22"/>
      <c r="H403" s="22"/>
      <c r="I403" s="22"/>
      <c r="J403" s="22"/>
      <c r="K403" s="29"/>
      <c r="L403" s="22"/>
      <c r="M403" s="30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1"/>
      <c r="AP403" s="26"/>
      <c r="AQ403" s="27"/>
      <c r="AR403" s="21"/>
      <c r="AS403" s="28"/>
    </row>
    <row r="404" spans="1:45" x14ac:dyDescent="0.35">
      <c r="A404" s="29"/>
      <c r="B404" s="22"/>
      <c r="C404" s="22"/>
      <c r="D404" s="22"/>
      <c r="E404" s="22"/>
      <c r="F404" s="22"/>
      <c r="G404" s="22"/>
      <c r="H404" s="22"/>
      <c r="I404" s="22"/>
      <c r="J404" s="22"/>
      <c r="K404" s="29"/>
      <c r="L404" s="22"/>
      <c r="M404" s="30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1"/>
      <c r="AP404" s="26"/>
      <c r="AQ404" s="27"/>
      <c r="AR404" s="21"/>
      <c r="AS404" s="28"/>
    </row>
    <row r="405" spans="1:45" x14ac:dyDescent="0.35">
      <c r="A405" s="29"/>
      <c r="B405" s="22"/>
      <c r="C405" s="22"/>
      <c r="D405" s="22"/>
      <c r="E405" s="22"/>
      <c r="F405" s="22"/>
      <c r="G405" s="22"/>
      <c r="H405" s="22"/>
      <c r="I405" s="22"/>
      <c r="J405" s="22"/>
      <c r="K405" s="29"/>
      <c r="L405" s="22"/>
      <c r="M405" s="30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1"/>
      <c r="AP405" s="26"/>
      <c r="AQ405" s="27"/>
      <c r="AR405" s="21"/>
      <c r="AS405" s="28"/>
    </row>
    <row r="406" spans="1:45" x14ac:dyDescent="0.35">
      <c r="A406" s="29"/>
      <c r="B406" s="22"/>
      <c r="C406" s="22"/>
      <c r="D406" s="22"/>
      <c r="E406" s="22"/>
      <c r="F406" s="22"/>
      <c r="G406" s="22"/>
      <c r="H406" s="22"/>
      <c r="I406" s="22"/>
      <c r="J406" s="22"/>
      <c r="K406" s="29"/>
      <c r="L406" s="22"/>
      <c r="M406" s="30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1"/>
      <c r="AP406" s="26"/>
      <c r="AQ406" s="27"/>
      <c r="AR406" s="21"/>
      <c r="AS406" s="28"/>
    </row>
    <row r="407" spans="1:45" x14ac:dyDescent="0.35">
      <c r="A407" s="29"/>
      <c r="B407" s="22"/>
      <c r="C407" s="22"/>
      <c r="D407" s="22"/>
      <c r="E407" s="22"/>
      <c r="F407" s="22"/>
      <c r="G407" s="22"/>
      <c r="H407" s="22"/>
      <c r="I407" s="22"/>
      <c r="J407" s="22"/>
      <c r="K407" s="29"/>
      <c r="L407" s="22"/>
      <c r="M407" s="30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1"/>
      <c r="AP407" s="26"/>
      <c r="AQ407" s="27"/>
      <c r="AR407" s="21"/>
      <c r="AS407" s="28"/>
    </row>
    <row r="408" spans="1:45" x14ac:dyDescent="0.35">
      <c r="A408" s="29"/>
      <c r="B408" s="22"/>
      <c r="C408" s="22"/>
      <c r="D408" s="22"/>
      <c r="E408" s="22"/>
      <c r="F408" s="22"/>
      <c r="G408" s="22"/>
      <c r="H408" s="22"/>
      <c r="I408" s="22"/>
      <c r="J408" s="22"/>
      <c r="K408" s="29"/>
      <c r="L408" s="22"/>
      <c r="M408" s="30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1"/>
      <c r="AP408" s="26"/>
      <c r="AQ408" s="27"/>
      <c r="AR408" s="21"/>
      <c r="AS408" s="28"/>
    </row>
    <row r="409" spans="1:45" x14ac:dyDescent="0.35">
      <c r="A409" s="29"/>
      <c r="B409" s="22"/>
      <c r="C409" s="22"/>
      <c r="D409" s="22"/>
      <c r="E409" s="22"/>
      <c r="F409" s="22"/>
      <c r="G409" s="22"/>
      <c r="H409" s="22"/>
      <c r="I409" s="22"/>
      <c r="J409" s="22"/>
      <c r="K409" s="29"/>
      <c r="L409" s="22"/>
      <c r="M409" s="30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1"/>
      <c r="AP409" s="26"/>
      <c r="AQ409" s="27"/>
      <c r="AR409" s="21"/>
      <c r="AS409" s="28"/>
    </row>
    <row r="410" spans="1:45" x14ac:dyDescent="0.35">
      <c r="A410" s="29"/>
      <c r="B410" s="22"/>
      <c r="C410" s="22"/>
      <c r="D410" s="22"/>
      <c r="E410" s="22"/>
      <c r="F410" s="22"/>
      <c r="G410" s="22"/>
      <c r="H410" s="22"/>
      <c r="I410" s="22"/>
      <c r="J410" s="22"/>
      <c r="K410" s="29"/>
      <c r="L410" s="22"/>
      <c r="M410" s="30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1"/>
      <c r="AP410" s="26"/>
      <c r="AQ410" s="27"/>
      <c r="AR410" s="21"/>
      <c r="AS410" s="28"/>
    </row>
    <row r="411" spans="1:45" x14ac:dyDescent="0.35">
      <c r="A411" s="29"/>
      <c r="B411" s="22"/>
      <c r="C411" s="22"/>
      <c r="D411" s="22"/>
      <c r="E411" s="22"/>
      <c r="F411" s="22"/>
      <c r="G411" s="22"/>
      <c r="H411" s="22"/>
      <c r="I411" s="22"/>
      <c r="J411" s="22"/>
      <c r="K411" s="29"/>
      <c r="L411" s="22"/>
      <c r="M411" s="30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1"/>
      <c r="AP411" s="26"/>
      <c r="AQ411" s="27"/>
      <c r="AR411" s="21"/>
      <c r="AS411" s="28"/>
    </row>
    <row r="412" spans="1:45" x14ac:dyDescent="0.35">
      <c r="A412" s="29"/>
      <c r="B412" s="22"/>
      <c r="C412" s="22"/>
      <c r="D412" s="22"/>
      <c r="E412" s="22"/>
      <c r="F412" s="22"/>
      <c r="G412" s="22"/>
      <c r="H412" s="22"/>
      <c r="I412" s="22"/>
      <c r="J412" s="22"/>
      <c r="K412" s="29"/>
      <c r="L412" s="22"/>
      <c r="M412" s="30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1"/>
      <c r="AP412" s="26"/>
      <c r="AQ412" s="27"/>
      <c r="AR412" s="21"/>
      <c r="AS412" s="28"/>
    </row>
    <row r="413" spans="1:45" x14ac:dyDescent="0.35">
      <c r="A413" s="29"/>
      <c r="B413" s="22"/>
      <c r="C413" s="22"/>
      <c r="D413" s="22"/>
      <c r="E413" s="22"/>
      <c r="F413" s="22"/>
      <c r="G413" s="22"/>
      <c r="H413" s="22"/>
      <c r="I413" s="22"/>
      <c r="J413" s="22"/>
      <c r="K413" s="29"/>
      <c r="L413" s="22"/>
      <c r="M413" s="30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1"/>
      <c r="AP413" s="26"/>
      <c r="AQ413" s="27"/>
      <c r="AR413" s="21"/>
      <c r="AS413" s="28"/>
    </row>
    <row r="414" spans="1:45" x14ac:dyDescent="0.35">
      <c r="A414" s="29"/>
      <c r="B414" s="22"/>
      <c r="C414" s="22"/>
      <c r="D414" s="22"/>
      <c r="E414" s="22"/>
      <c r="F414" s="22"/>
      <c r="G414" s="22"/>
      <c r="H414" s="22"/>
      <c r="I414" s="22"/>
      <c r="J414" s="22"/>
      <c r="K414" s="29"/>
      <c r="L414" s="22"/>
      <c r="M414" s="30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1"/>
      <c r="AP414" s="26"/>
      <c r="AQ414" s="27"/>
      <c r="AR414" s="21"/>
      <c r="AS414" s="28"/>
    </row>
    <row r="415" spans="1:45" x14ac:dyDescent="0.35">
      <c r="A415" s="29"/>
      <c r="B415" s="22"/>
      <c r="C415" s="22"/>
      <c r="D415" s="22"/>
      <c r="E415" s="22"/>
      <c r="F415" s="22"/>
      <c r="G415" s="22"/>
      <c r="H415" s="22"/>
      <c r="I415" s="22"/>
      <c r="J415" s="22"/>
      <c r="K415" s="29"/>
      <c r="L415" s="22"/>
      <c r="M415" s="30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1"/>
      <c r="AP415" s="26"/>
      <c r="AQ415" s="27"/>
      <c r="AR415" s="21"/>
      <c r="AS415" s="28"/>
    </row>
    <row r="416" spans="1:45" x14ac:dyDescent="0.35">
      <c r="A416" s="29"/>
      <c r="B416" s="22"/>
      <c r="C416" s="22"/>
      <c r="D416" s="22"/>
      <c r="E416" s="22"/>
      <c r="F416" s="22"/>
      <c r="G416" s="22"/>
      <c r="H416" s="22"/>
      <c r="I416" s="22"/>
      <c r="J416" s="22"/>
      <c r="K416" s="29"/>
      <c r="L416" s="22"/>
      <c r="M416" s="30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1"/>
      <c r="AP416" s="26"/>
      <c r="AQ416" s="27"/>
      <c r="AR416" s="21"/>
      <c r="AS416" s="28"/>
    </row>
    <row r="417" spans="1:45" x14ac:dyDescent="0.35">
      <c r="A417" s="29"/>
      <c r="B417" s="22"/>
      <c r="C417" s="22"/>
      <c r="D417" s="22"/>
      <c r="E417" s="22"/>
      <c r="F417" s="22"/>
      <c r="G417" s="22"/>
      <c r="H417" s="22"/>
      <c r="I417" s="22"/>
      <c r="J417" s="22"/>
      <c r="K417" s="29"/>
      <c r="L417" s="22"/>
      <c r="M417" s="30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1"/>
      <c r="AP417" s="26"/>
      <c r="AQ417" s="27"/>
      <c r="AR417" s="21"/>
      <c r="AS417" s="28"/>
    </row>
    <row r="418" spans="1:45" x14ac:dyDescent="0.35">
      <c r="A418" s="29"/>
      <c r="B418" s="22"/>
      <c r="C418" s="22"/>
      <c r="D418" s="22"/>
      <c r="E418" s="22"/>
      <c r="F418" s="22"/>
      <c r="G418" s="22"/>
      <c r="H418" s="22"/>
      <c r="I418" s="22"/>
      <c r="J418" s="22"/>
      <c r="K418" s="29"/>
      <c r="L418" s="22"/>
      <c r="M418" s="30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1"/>
      <c r="AP418" s="26"/>
      <c r="AQ418" s="27"/>
      <c r="AR418" s="21"/>
      <c r="AS418" s="28"/>
    </row>
    <row r="419" spans="1:45" x14ac:dyDescent="0.35">
      <c r="A419" s="29"/>
      <c r="B419" s="22"/>
      <c r="C419" s="22"/>
      <c r="D419" s="22"/>
      <c r="E419" s="22"/>
      <c r="F419" s="22"/>
      <c r="G419" s="22"/>
      <c r="H419" s="22"/>
      <c r="I419" s="22"/>
      <c r="J419" s="22"/>
      <c r="K419" s="29"/>
      <c r="L419" s="22"/>
      <c r="M419" s="30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1"/>
      <c r="AP419" s="26"/>
      <c r="AQ419" s="27"/>
      <c r="AR419" s="21"/>
      <c r="AS419" s="28"/>
    </row>
    <row r="420" spans="1:45" x14ac:dyDescent="0.35">
      <c r="A420" s="29"/>
      <c r="B420" s="22"/>
      <c r="C420" s="22"/>
      <c r="D420" s="22"/>
      <c r="E420" s="22"/>
      <c r="F420" s="22"/>
      <c r="G420" s="22"/>
      <c r="H420" s="22"/>
      <c r="I420" s="22"/>
      <c r="J420" s="22"/>
      <c r="K420" s="29"/>
      <c r="L420" s="22"/>
      <c r="M420" s="30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1"/>
      <c r="AP420" s="26"/>
      <c r="AQ420" s="27"/>
      <c r="AR420" s="21"/>
      <c r="AS420" s="28"/>
    </row>
    <row r="421" spans="1:45" x14ac:dyDescent="0.35">
      <c r="A421" s="29"/>
      <c r="B421" s="22"/>
      <c r="C421" s="22"/>
      <c r="D421" s="22"/>
      <c r="E421" s="22"/>
      <c r="F421" s="22"/>
      <c r="G421" s="22"/>
      <c r="H421" s="22"/>
      <c r="I421" s="22"/>
      <c r="J421" s="22"/>
      <c r="K421" s="29"/>
      <c r="L421" s="22"/>
      <c r="M421" s="30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1"/>
      <c r="AP421" s="26"/>
      <c r="AQ421" s="27"/>
      <c r="AR421" s="21"/>
      <c r="AS421" s="28"/>
    </row>
    <row r="422" spans="1:45" x14ac:dyDescent="0.35">
      <c r="A422" s="29"/>
      <c r="B422" s="22"/>
      <c r="C422" s="22"/>
      <c r="D422" s="22"/>
      <c r="E422" s="22"/>
      <c r="F422" s="22"/>
      <c r="G422" s="22"/>
      <c r="H422" s="22"/>
      <c r="I422" s="22"/>
      <c r="J422" s="22"/>
      <c r="K422" s="29"/>
      <c r="L422" s="22"/>
      <c r="M422" s="30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1"/>
      <c r="AP422" s="26"/>
      <c r="AQ422" s="27"/>
      <c r="AR422" s="21"/>
      <c r="AS422" s="28"/>
    </row>
    <row r="423" spans="1:45" x14ac:dyDescent="0.35">
      <c r="A423" s="29"/>
      <c r="B423" s="22"/>
      <c r="C423" s="22"/>
      <c r="D423" s="22"/>
      <c r="E423" s="22"/>
      <c r="F423" s="22"/>
      <c r="G423" s="22"/>
      <c r="H423" s="22"/>
      <c r="I423" s="22"/>
      <c r="J423" s="22"/>
      <c r="K423" s="29"/>
      <c r="L423" s="22"/>
      <c r="M423" s="30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1"/>
      <c r="AP423" s="26"/>
      <c r="AQ423" s="27"/>
      <c r="AR423" s="21"/>
      <c r="AS423" s="28"/>
    </row>
    <row r="424" spans="1:45" x14ac:dyDescent="0.35">
      <c r="A424" s="29"/>
      <c r="B424" s="22"/>
      <c r="C424" s="22"/>
      <c r="D424" s="22"/>
      <c r="E424" s="22"/>
      <c r="F424" s="22"/>
      <c r="G424" s="22"/>
      <c r="H424" s="22"/>
      <c r="I424" s="22"/>
      <c r="J424" s="22"/>
      <c r="K424" s="29"/>
      <c r="L424" s="22"/>
      <c r="M424" s="30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1"/>
      <c r="AP424" s="26"/>
      <c r="AQ424" s="27"/>
      <c r="AR424" s="21"/>
      <c r="AS424" s="28"/>
    </row>
    <row r="425" spans="1:45" x14ac:dyDescent="0.35">
      <c r="A425" s="29"/>
      <c r="B425" s="22"/>
      <c r="C425" s="22"/>
      <c r="D425" s="22"/>
      <c r="E425" s="22"/>
      <c r="F425" s="22"/>
      <c r="G425" s="22"/>
      <c r="H425" s="22"/>
      <c r="I425" s="22"/>
      <c r="J425" s="22"/>
      <c r="K425" s="29"/>
      <c r="L425" s="22"/>
      <c r="M425" s="30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1"/>
      <c r="AP425" s="26"/>
      <c r="AQ425" s="27"/>
      <c r="AR425" s="21"/>
      <c r="AS425" s="28"/>
    </row>
    <row r="426" spans="1:45" x14ac:dyDescent="0.35">
      <c r="A426" s="29"/>
      <c r="B426" s="22"/>
      <c r="C426" s="22"/>
      <c r="D426" s="22"/>
      <c r="E426" s="22"/>
      <c r="F426" s="22"/>
      <c r="G426" s="22"/>
      <c r="H426" s="22"/>
      <c r="I426" s="22"/>
      <c r="J426" s="22"/>
      <c r="K426" s="29"/>
      <c r="L426" s="22"/>
      <c r="M426" s="30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1"/>
      <c r="AP426" s="26"/>
      <c r="AQ426" s="27"/>
      <c r="AR426" s="21"/>
      <c r="AS426" s="28"/>
    </row>
    <row r="427" spans="1:45" x14ac:dyDescent="0.35">
      <c r="A427" s="29"/>
      <c r="B427" s="22"/>
      <c r="C427" s="22"/>
      <c r="D427" s="22"/>
      <c r="E427" s="22"/>
      <c r="F427" s="22"/>
      <c r="G427" s="22"/>
      <c r="H427" s="22"/>
      <c r="I427" s="22"/>
      <c r="J427" s="22"/>
      <c r="K427" s="29"/>
      <c r="L427" s="22"/>
      <c r="M427" s="30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1"/>
      <c r="AP427" s="26"/>
      <c r="AQ427" s="27"/>
      <c r="AR427" s="21"/>
      <c r="AS427" s="28"/>
    </row>
    <row r="428" spans="1:45" x14ac:dyDescent="0.35">
      <c r="A428" s="29"/>
      <c r="B428" s="22"/>
      <c r="C428" s="22"/>
      <c r="D428" s="22"/>
      <c r="E428" s="22"/>
      <c r="F428" s="22"/>
      <c r="G428" s="22"/>
      <c r="H428" s="22"/>
      <c r="I428" s="22"/>
      <c r="J428" s="22"/>
      <c r="K428" s="29"/>
      <c r="L428" s="22"/>
      <c r="M428" s="30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1"/>
      <c r="AP428" s="26"/>
      <c r="AQ428" s="27"/>
      <c r="AR428" s="21"/>
      <c r="AS428" s="28"/>
    </row>
    <row r="429" spans="1:45" x14ac:dyDescent="0.35">
      <c r="A429" s="29"/>
      <c r="B429" s="22"/>
      <c r="C429" s="22"/>
      <c r="D429" s="22"/>
      <c r="E429" s="22"/>
      <c r="F429" s="22"/>
      <c r="G429" s="22"/>
      <c r="H429" s="22"/>
      <c r="I429" s="22"/>
      <c r="J429" s="22"/>
      <c r="K429" s="29"/>
      <c r="L429" s="22"/>
      <c r="M429" s="30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1"/>
      <c r="AP429" s="26"/>
      <c r="AQ429" s="27"/>
      <c r="AR429" s="21"/>
      <c r="AS429" s="28"/>
    </row>
    <row r="430" spans="1:45" x14ac:dyDescent="0.35">
      <c r="A430" s="29"/>
      <c r="B430" s="22"/>
      <c r="C430" s="22"/>
      <c r="D430" s="22"/>
      <c r="E430" s="22"/>
      <c r="F430" s="22"/>
      <c r="G430" s="22"/>
      <c r="H430" s="22"/>
      <c r="I430" s="22"/>
      <c r="J430" s="22"/>
      <c r="K430" s="29"/>
      <c r="L430" s="22"/>
      <c r="M430" s="30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1"/>
      <c r="AP430" s="26"/>
      <c r="AQ430" s="27"/>
      <c r="AR430" s="21"/>
      <c r="AS430" s="28"/>
    </row>
    <row r="431" spans="1:45" x14ac:dyDescent="0.35">
      <c r="A431" s="29"/>
      <c r="B431" s="22"/>
      <c r="C431" s="22"/>
      <c r="D431" s="22"/>
      <c r="E431" s="22"/>
      <c r="F431" s="22"/>
      <c r="G431" s="22"/>
      <c r="H431" s="22"/>
      <c r="I431" s="22"/>
      <c r="J431" s="22"/>
      <c r="K431" s="29"/>
      <c r="L431" s="22"/>
      <c r="M431" s="30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1"/>
      <c r="AP431" s="26"/>
      <c r="AQ431" s="27"/>
      <c r="AR431" s="21"/>
      <c r="AS431" s="28"/>
    </row>
    <row r="432" spans="1:45" x14ac:dyDescent="0.35">
      <c r="A432" s="29"/>
      <c r="B432" s="22"/>
      <c r="C432" s="22"/>
      <c r="D432" s="22"/>
      <c r="E432" s="22"/>
      <c r="F432" s="22"/>
      <c r="G432" s="22"/>
      <c r="H432" s="22"/>
      <c r="I432" s="22"/>
      <c r="J432" s="22"/>
      <c r="K432" s="29"/>
      <c r="L432" s="22"/>
      <c r="M432" s="30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1"/>
      <c r="AP432" s="26"/>
      <c r="AQ432" s="27"/>
      <c r="AR432" s="21"/>
      <c r="AS432" s="28"/>
    </row>
    <row r="433" spans="1:45" x14ac:dyDescent="0.35">
      <c r="A433" s="29"/>
      <c r="B433" s="22"/>
      <c r="C433" s="22"/>
      <c r="D433" s="22"/>
      <c r="E433" s="22"/>
      <c r="F433" s="22"/>
      <c r="G433" s="22"/>
      <c r="H433" s="22"/>
      <c r="I433" s="22"/>
      <c r="J433" s="22"/>
      <c r="K433" s="29"/>
      <c r="L433" s="22"/>
      <c r="M433" s="30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1"/>
      <c r="AP433" s="26"/>
      <c r="AQ433" s="27"/>
      <c r="AR433" s="21"/>
      <c r="AS433" s="28"/>
    </row>
    <row r="434" spans="1:45" x14ac:dyDescent="0.35">
      <c r="A434" s="29"/>
      <c r="B434" s="22"/>
      <c r="C434" s="22"/>
      <c r="D434" s="22"/>
      <c r="E434" s="22"/>
      <c r="F434" s="22"/>
      <c r="G434" s="22"/>
      <c r="H434" s="22"/>
      <c r="I434" s="22"/>
      <c r="J434" s="22"/>
      <c r="K434" s="29"/>
      <c r="L434" s="22"/>
      <c r="M434" s="30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  <c r="AO434" s="21"/>
      <c r="AP434" s="26"/>
      <c r="AQ434" s="27"/>
      <c r="AR434" s="21"/>
      <c r="AS434" s="28"/>
    </row>
    <row r="435" spans="1:45" x14ac:dyDescent="0.35">
      <c r="A435" s="29"/>
      <c r="B435" s="22"/>
      <c r="C435" s="22"/>
      <c r="D435" s="22"/>
      <c r="E435" s="22"/>
      <c r="F435" s="22"/>
      <c r="G435" s="22"/>
      <c r="H435" s="22"/>
      <c r="I435" s="22"/>
      <c r="J435" s="22"/>
      <c r="K435" s="29"/>
      <c r="L435" s="22"/>
      <c r="M435" s="30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  <c r="AO435" s="21"/>
      <c r="AP435" s="26"/>
      <c r="AQ435" s="27"/>
      <c r="AR435" s="21"/>
      <c r="AS435" s="28"/>
    </row>
    <row r="436" spans="1:45" x14ac:dyDescent="0.35">
      <c r="A436" s="29"/>
      <c r="B436" s="22"/>
      <c r="C436" s="22"/>
      <c r="D436" s="22"/>
      <c r="E436" s="22"/>
      <c r="F436" s="22"/>
      <c r="G436" s="22"/>
      <c r="H436" s="22"/>
      <c r="I436" s="22"/>
      <c r="J436" s="22"/>
      <c r="K436" s="29"/>
      <c r="L436" s="22"/>
      <c r="M436" s="30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  <c r="AO436" s="21"/>
      <c r="AP436" s="26"/>
      <c r="AQ436" s="27"/>
      <c r="AR436" s="21"/>
      <c r="AS436" s="28"/>
    </row>
    <row r="437" spans="1:45" x14ac:dyDescent="0.35">
      <c r="A437" s="29"/>
      <c r="B437" s="22"/>
      <c r="C437" s="22"/>
      <c r="D437" s="22"/>
      <c r="E437" s="22"/>
      <c r="F437" s="22"/>
      <c r="G437" s="22"/>
      <c r="H437" s="22"/>
      <c r="I437" s="22"/>
      <c r="J437" s="22"/>
      <c r="K437" s="29"/>
      <c r="L437" s="22"/>
      <c r="M437" s="30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  <c r="AO437" s="21"/>
      <c r="AP437" s="26"/>
      <c r="AQ437" s="27"/>
      <c r="AR437" s="21"/>
      <c r="AS437" s="28"/>
    </row>
    <row r="438" spans="1:45" x14ac:dyDescent="0.35">
      <c r="A438" s="29"/>
      <c r="B438" s="22"/>
      <c r="C438" s="22"/>
      <c r="D438" s="22"/>
      <c r="E438" s="22"/>
      <c r="F438" s="22"/>
      <c r="G438" s="22"/>
      <c r="H438" s="22"/>
      <c r="I438" s="22"/>
      <c r="J438" s="22"/>
      <c r="K438" s="29"/>
      <c r="L438" s="22"/>
      <c r="M438" s="30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  <c r="AO438" s="21"/>
      <c r="AP438" s="26"/>
      <c r="AQ438" s="27"/>
      <c r="AR438" s="21"/>
      <c r="AS438" s="28"/>
    </row>
    <row r="439" spans="1:45" x14ac:dyDescent="0.35">
      <c r="A439" s="29"/>
      <c r="B439" s="22"/>
      <c r="C439" s="22"/>
      <c r="D439" s="22"/>
      <c r="E439" s="22"/>
      <c r="F439" s="22"/>
      <c r="G439" s="22"/>
      <c r="H439" s="22"/>
      <c r="I439" s="22"/>
      <c r="J439" s="22"/>
      <c r="K439" s="29"/>
      <c r="L439" s="22"/>
      <c r="M439" s="30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1"/>
      <c r="AP439" s="26"/>
      <c r="AQ439" s="27"/>
      <c r="AR439" s="21"/>
      <c r="AS439" s="28"/>
    </row>
    <row r="440" spans="1:45" x14ac:dyDescent="0.35">
      <c r="A440" s="29"/>
      <c r="B440" s="22"/>
      <c r="C440" s="22"/>
      <c r="D440" s="22"/>
      <c r="E440" s="22"/>
      <c r="F440" s="22"/>
      <c r="G440" s="22"/>
      <c r="H440" s="22"/>
      <c r="I440" s="22"/>
      <c r="J440" s="22"/>
      <c r="K440" s="29"/>
      <c r="L440" s="22"/>
      <c r="M440" s="30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  <c r="AO440" s="21"/>
      <c r="AP440" s="26"/>
      <c r="AQ440" s="27"/>
      <c r="AR440" s="21"/>
      <c r="AS440" s="28"/>
    </row>
    <row r="441" spans="1:45" x14ac:dyDescent="0.35">
      <c r="A441" s="29"/>
      <c r="B441" s="22"/>
      <c r="C441" s="22"/>
      <c r="D441" s="22"/>
      <c r="E441" s="22"/>
      <c r="F441" s="22"/>
      <c r="G441" s="22"/>
      <c r="H441" s="22"/>
      <c r="I441" s="22"/>
      <c r="J441" s="22"/>
      <c r="K441" s="29"/>
      <c r="L441" s="22"/>
      <c r="M441" s="30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1"/>
      <c r="AP441" s="26"/>
      <c r="AQ441" s="27"/>
      <c r="AR441" s="21"/>
      <c r="AS441" s="28"/>
    </row>
    <row r="442" spans="1:45" x14ac:dyDescent="0.35">
      <c r="A442" s="29"/>
      <c r="B442" s="22"/>
      <c r="C442" s="22"/>
      <c r="D442" s="22"/>
      <c r="E442" s="22"/>
      <c r="F442" s="22"/>
      <c r="G442" s="22"/>
      <c r="H442" s="22"/>
      <c r="I442" s="22"/>
      <c r="J442" s="22"/>
      <c r="K442" s="29"/>
      <c r="L442" s="22"/>
      <c r="M442" s="30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  <c r="AO442" s="21"/>
      <c r="AP442" s="26"/>
      <c r="AQ442" s="27"/>
      <c r="AR442" s="21"/>
      <c r="AS442" s="28"/>
    </row>
    <row r="443" spans="1:45" x14ac:dyDescent="0.35">
      <c r="A443" s="29"/>
      <c r="B443" s="22"/>
      <c r="C443" s="22"/>
      <c r="D443" s="22"/>
      <c r="E443" s="22"/>
      <c r="F443" s="22"/>
      <c r="G443" s="22"/>
      <c r="H443" s="22"/>
      <c r="I443" s="22"/>
      <c r="J443" s="22"/>
      <c r="K443" s="29"/>
      <c r="L443" s="22"/>
      <c r="M443" s="30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  <c r="AO443" s="21"/>
      <c r="AP443" s="26"/>
      <c r="AQ443" s="27"/>
      <c r="AR443" s="21"/>
      <c r="AS443" s="28"/>
    </row>
    <row r="444" spans="1:45" x14ac:dyDescent="0.35">
      <c r="A444" s="29"/>
      <c r="B444" s="22"/>
      <c r="C444" s="22"/>
      <c r="D444" s="22"/>
      <c r="E444" s="22"/>
      <c r="F444" s="22"/>
      <c r="G444" s="22"/>
      <c r="H444" s="22"/>
      <c r="I444" s="22"/>
      <c r="J444" s="22"/>
      <c r="K444" s="29"/>
      <c r="L444" s="22"/>
      <c r="M444" s="30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  <c r="AO444" s="21"/>
      <c r="AP444" s="26"/>
      <c r="AQ444" s="27"/>
      <c r="AR444" s="21"/>
      <c r="AS444" s="28"/>
    </row>
    <row r="445" spans="1:45" x14ac:dyDescent="0.35">
      <c r="A445" s="29"/>
      <c r="B445" s="22"/>
      <c r="C445" s="22"/>
      <c r="D445" s="22"/>
      <c r="E445" s="22"/>
      <c r="F445" s="22"/>
      <c r="G445" s="22"/>
      <c r="H445" s="22"/>
      <c r="I445" s="22"/>
      <c r="J445" s="22"/>
      <c r="K445" s="29"/>
      <c r="L445" s="22"/>
      <c r="M445" s="30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1"/>
      <c r="AP445" s="26"/>
      <c r="AQ445" s="27"/>
      <c r="AR445" s="21"/>
      <c r="AS445" s="28"/>
    </row>
    <row r="446" spans="1:45" x14ac:dyDescent="0.35">
      <c r="A446" s="29"/>
      <c r="B446" s="22"/>
      <c r="C446" s="22"/>
      <c r="D446" s="22"/>
      <c r="E446" s="22"/>
      <c r="F446" s="22"/>
      <c r="G446" s="22"/>
      <c r="H446" s="22"/>
      <c r="I446" s="22"/>
      <c r="J446" s="22"/>
      <c r="K446" s="29"/>
      <c r="L446" s="22"/>
      <c r="M446" s="30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  <c r="AO446" s="21"/>
      <c r="AP446" s="26"/>
      <c r="AQ446" s="27"/>
      <c r="AR446" s="21"/>
      <c r="AS446" s="28"/>
    </row>
    <row r="447" spans="1:45" x14ac:dyDescent="0.35">
      <c r="A447" s="29"/>
      <c r="B447" s="22"/>
      <c r="C447" s="22"/>
      <c r="D447" s="22"/>
      <c r="E447" s="22"/>
      <c r="F447" s="22"/>
      <c r="G447" s="22"/>
      <c r="H447" s="22"/>
      <c r="I447" s="22"/>
      <c r="J447" s="22"/>
      <c r="K447" s="29"/>
      <c r="L447" s="22"/>
      <c r="M447" s="30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1"/>
      <c r="AP447" s="26"/>
      <c r="AQ447" s="27"/>
      <c r="AR447" s="21"/>
      <c r="AS447" s="28"/>
    </row>
    <row r="448" spans="1:45" x14ac:dyDescent="0.35">
      <c r="A448" s="29"/>
      <c r="B448" s="22"/>
      <c r="C448" s="22"/>
      <c r="D448" s="22"/>
      <c r="E448" s="22"/>
      <c r="F448" s="22"/>
      <c r="G448" s="22"/>
      <c r="H448" s="22"/>
      <c r="I448" s="22"/>
      <c r="J448" s="22"/>
      <c r="K448" s="29"/>
      <c r="L448" s="22"/>
      <c r="M448" s="30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1"/>
      <c r="AP448" s="26"/>
      <c r="AQ448" s="27"/>
      <c r="AR448" s="21"/>
      <c r="AS448" s="28"/>
    </row>
    <row r="449" spans="1:45" x14ac:dyDescent="0.35">
      <c r="A449" s="29"/>
      <c r="B449" s="22"/>
      <c r="C449" s="22"/>
      <c r="D449" s="22"/>
      <c r="E449" s="22"/>
      <c r="F449" s="22"/>
      <c r="G449" s="22"/>
      <c r="H449" s="22"/>
      <c r="I449" s="22"/>
      <c r="J449" s="22"/>
      <c r="K449" s="29"/>
      <c r="L449" s="22"/>
      <c r="M449" s="30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1"/>
      <c r="AP449" s="26"/>
      <c r="AQ449" s="27"/>
      <c r="AR449" s="21"/>
      <c r="AS449" s="28"/>
    </row>
    <row r="450" spans="1:45" x14ac:dyDescent="0.35">
      <c r="A450" s="29"/>
      <c r="B450" s="22"/>
      <c r="C450" s="22"/>
      <c r="D450" s="22"/>
      <c r="E450" s="22"/>
      <c r="F450" s="22"/>
      <c r="G450" s="22"/>
      <c r="H450" s="22"/>
      <c r="I450" s="22"/>
      <c r="J450" s="22"/>
      <c r="K450" s="29"/>
      <c r="L450" s="22"/>
      <c r="M450" s="30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1"/>
      <c r="AP450" s="26"/>
      <c r="AQ450" s="27"/>
      <c r="AR450" s="21"/>
      <c r="AS450" s="28"/>
    </row>
    <row r="451" spans="1:45" x14ac:dyDescent="0.35">
      <c r="A451" s="29"/>
      <c r="B451" s="22"/>
      <c r="C451" s="22"/>
      <c r="D451" s="22"/>
      <c r="E451" s="22"/>
      <c r="F451" s="22"/>
      <c r="G451" s="22"/>
      <c r="H451" s="22"/>
      <c r="I451" s="22"/>
      <c r="J451" s="22"/>
      <c r="K451" s="29"/>
      <c r="L451" s="22"/>
      <c r="M451" s="30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1"/>
      <c r="AP451" s="26"/>
      <c r="AQ451" s="27"/>
      <c r="AR451" s="21"/>
      <c r="AS451" s="28"/>
    </row>
    <row r="452" spans="1:45" x14ac:dyDescent="0.35">
      <c r="A452" s="29"/>
      <c r="B452" s="22"/>
      <c r="C452" s="22"/>
      <c r="D452" s="22"/>
      <c r="E452" s="22"/>
      <c r="F452" s="22"/>
      <c r="G452" s="22"/>
      <c r="H452" s="22"/>
      <c r="I452" s="22"/>
      <c r="J452" s="22"/>
      <c r="K452" s="29"/>
      <c r="L452" s="22"/>
      <c r="M452" s="30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  <c r="AO452" s="21"/>
      <c r="AP452" s="26"/>
      <c r="AQ452" s="27"/>
      <c r="AR452" s="21"/>
      <c r="AS452" s="28"/>
    </row>
    <row r="453" spans="1:45" x14ac:dyDescent="0.35">
      <c r="A453" s="29"/>
      <c r="B453" s="22"/>
      <c r="C453" s="22"/>
      <c r="D453" s="22"/>
      <c r="E453" s="22"/>
      <c r="F453" s="22"/>
      <c r="G453" s="22"/>
      <c r="H453" s="22"/>
      <c r="I453" s="22"/>
      <c r="J453" s="22"/>
      <c r="K453" s="29"/>
      <c r="L453" s="22"/>
      <c r="M453" s="30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  <c r="AO453" s="21"/>
      <c r="AP453" s="26"/>
      <c r="AQ453" s="27"/>
      <c r="AR453" s="21"/>
      <c r="AS453" s="28"/>
    </row>
    <row r="454" spans="1:45" x14ac:dyDescent="0.35">
      <c r="A454" s="29"/>
      <c r="B454" s="22"/>
      <c r="C454" s="22"/>
      <c r="D454" s="22"/>
      <c r="E454" s="22"/>
      <c r="F454" s="22"/>
      <c r="G454" s="22"/>
      <c r="H454" s="22"/>
      <c r="I454" s="22"/>
      <c r="J454" s="22"/>
      <c r="K454" s="29"/>
      <c r="L454" s="22"/>
      <c r="M454" s="30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  <c r="AO454" s="21"/>
      <c r="AP454" s="26"/>
      <c r="AQ454" s="27"/>
      <c r="AR454" s="21"/>
      <c r="AS454" s="28"/>
    </row>
    <row r="455" spans="1:45" x14ac:dyDescent="0.35">
      <c r="A455" s="29"/>
      <c r="B455" s="22"/>
      <c r="C455" s="22"/>
      <c r="D455" s="22"/>
      <c r="E455" s="22"/>
      <c r="F455" s="22"/>
      <c r="G455" s="22"/>
      <c r="H455" s="22"/>
      <c r="I455" s="22"/>
      <c r="J455" s="22"/>
      <c r="K455" s="29"/>
      <c r="L455" s="22"/>
      <c r="M455" s="30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  <c r="AO455" s="21"/>
      <c r="AP455" s="26"/>
      <c r="AQ455" s="27"/>
      <c r="AR455" s="21"/>
      <c r="AS455" s="28"/>
    </row>
    <row r="456" spans="1:45" x14ac:dyDescent="0.35">
      <c r="A456" s="29"/>
      <c r="B456" s="22"/>
      <c r="C456" s="22"/>
      <c r="D456" s="22"/>
      <c r="E456" s="22"/>
      <c r="F456" s="22"/>
      <c r="G456" s="22"/>
      <c r="H456" s="22"/>
      <c r="I456" s="22"/>
      <c r="J456" s="22"/>
      <c r="K456" s="29"/>
      <c r="L456" s="22"/>
      <c r="M456" s="30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22"/>
      <c r="AM456" s="22"/>
      <c r="AN456" s="22"/>
      <c r="AO456" s="21"/>
      <c r="AP456" s="26"/>
      <c r="AQ456" s="27"/>
      <c r="AR456" s="21"/>
      <c r="AS456" s="28"/>
    </row>
    <row r="457" spans="1:45" x14ac:dyDescent="0.35">
      <c r="A457" s="29"/>
      <c r="B457" s="22"/>
      <c r="C457" s="22"/>
      <c r="D457" s="22"/>
      <c r="E457" s="22"/>
      <c r="F457" s="22"/>
      <c r="G457" s="22"/>
      <c r="H457" s="22"/>
      <c r="I457" s="22"/>
      <c r="J457" s="22"/>
      <c r="K457" s="29"/>
      <c r="L457" s="22"/>
      <c r="M457" s="30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1"/>
      <c r="AP457" s="26"/>
      <c r="AQ457" s="27"/>
      <c r="AR457" s="21"/>
      <c r="AS457" s="28"/>
    </row>
    <row r="458" spans="1:45" x14ac:dyDescent="0.35">
      <c r="A458" s="29"/>
      <c r="B458" s="22"/>
      <c r="C458" s="22"/>
      <c r="D458" s="22"/>
      <c r="E458" s="22"/>
      <c r="F458" s="22"/>
      <c r="G458" s="22"/>
      <c r="H458" s="22"/>
      <c r="I458" s="22"/>
      <c r="J458" s="22"/>
      <c r="K458" s="29"/>
      <c r="L458" s="22"/>
      <c r="M458" s="30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22"/>
      <c r="AM458" s="22"/>
      <c r="AN458" s="22"/>
      <c r="AO458" s="21"/>
      <c r="AP458" s="26"/>
      <c r="AQ458" s="27"/>
      <c r="AR458" s="21"/>
      <c r="AS458" s="28"/>
    </row>
    <row r="459" spans="1:45" x14ac:dyDescent="0.35">
      <c r="A459" s="24"/>
      <c r="B459" s="21"/>
      <c r="C459" s="21"/>
      <c r="D459" s="21"/>
      <c r="E459" s="21"/>
      <c r="F459" s="21"/>
      <c r="G459" s="21"/>
      <c r="H459" s="21"/>
      <c r="I459" s="21"/>
      <c r="J459" s="21"/>
      <c r="K459" s="24"/>
      <c r="L459" s="21"/>
      <c r="M459" s="25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6"/>
      <c r="AQ459" s="27"/>
      <c r="AR459" s="21"/>
      <c r="AS459" s="28"/>
    </row>
    <row r="460" spans="1:45" x14ac:dyDescent="0.35">
      <c r="A460" s="24"/>
      <c r="B460" s="21"/>
      <c r="C460" s="21"/>
      <c r="D460" s="21"/>
      <c r="E460" s="21"/>
      <c r="F460" s="21"/>
      <c r="G460" s="21"/>
      <c r="H460" s="21"/>
      <c r="I460" s="21"/>
      <c r="J460" s="21"/>
      <c r="K460" s="24"/>
      <c r="L460" s="21"/>
      <c r="M460" s="25"/>
      <c r="N460" s="21"/>
      <c r="O460" s="21"/>
      <c r="P460" s="21"/>
      <c r="Q460" s="21"/>
      <c r="R460" s="21"/>
      <c r="S460" s="21"/>
      <c r="T460" s="21"/>
      <c r="U460" s="21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6"/>
      <c r="AQ460" s="27"/>
      <c r="AR460" s="21"/>
      <c r="AS460" s="28"/>
    </row>
    <row r="461" spans="1:45" x14ac:dyDescent="0.35">
      <c r="A461" s="24"/>
      <c r="B461" s="21"/>
      <c r="C461" s="21"/>
      <c r="D461" s="21"/>
      <c r="E461" s="21"/>
      <c r="F461" s="21"/>
      <c r="G461" s="21"/>
      <c r="H461" s="21"/>
      <c r="I461" s="21"/>
      <c r="J461" s="21"/>
      <c r="K461" s="24"/>
      <c r="L461" s="21"/>
      <c r="M461" s="25"/>
      <c r="N461" s="21"/>
      <c r="O461" s="21"/>
      <c r="P461" s="21"/>
      <c r="Q461" s="21"/>
      <c r="R461" s="21"/>
      <c r="S461" s="21"/>
      <c r="T461" s="21"/>
      <c r="U461" s="21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6"/>
      <c r="AQ461" s="27"/>
      <c r="AR461" s="21"/>
      <c r="AS461" s="28"/>
    </row>
    <row r="462" spans="1:45" x14ac:dyDescent="0.35">
      <c r="A462" s="24"/>
      <c r="B462" s="21"/>
      <c r="C462" s="21"/>
      <c r="D462" s="21"/>
      <c r="E462" s="21"/>
      <c r="F462" s="21"/>
      <c r="G462" s="21"/>
      <c r="H462" s="21"/>
      <c r="I462" s="21"/>
      <c r="J462" s="21"/>
      <c r="K462" s="24"/>
      <c r="L462" s="21"/>
      <c r="M462" s="25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6"/>
      <c r="AQ462" s="27"/>
      <c r="AR462" s="21"/>
      <c r="AS462" s="28"/>
    </row>
    <row r="463" spans="1:45" x14ac:dyDescent="0.35">
      <c r="A463" s="24"/>
      <c r="B463" s="21"/>
      <c r="C463" s="21"/>
      <c r="D463" s="21"/>
      <c r="E463" s="21"/>
      <c r="F463" s="21"/>
      <c r="G463" s="21"/>
      <c r="H463" s="21"/>
      <c r="I463" s="21"/>
      <c r="J463" s="21"/>
      <c r="K463" s="21"/>
      <c r="L463" s="21"/>
      <c r="M463" s="25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6"/>
      <c r="AQ463" s="27"/>
      <c r="AR463" s="21"/>
      <c r="AS463" s="28"/>
    </row>
    <row r="464" spans="1:45" x14ac:dyDescent="0.35">
      <c r="A464" s="29"/>
      <c r="B464" s="22"/>
      <c r="C464" s="22"/>
      <c r="D464" s="22"/>
      <c r="E464" s="22"/>
      <c r="F464" s="22"/>
      <c r="G464" s="22"/>
      <c r="H464" s="22"/>
      <c r="I464" s="22"/>
      <c r="J464" s="22"/>
      <c r="K464" s="29"/>
      <c r="L464" s="22"/>
      <c r="M464" s="30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22"/>
      <c r="AM464" s="22"/>
      <c r="AN464" s="22"/>
      <c r="AO464" s="21"/>
      <c r="AP464" s="26"/>
      <c r="AQ464" s="27"/>
      <c r="AR464" s="21"/>
      <c r="AS464" s="28"/>
    </row>
    <row r="465" spans="1:45" x14ac:dyDescent="0.35">
      <c r="A465" s="24"/>
      <c r="B465" s="21"/>
      <c r="C465" s="21"/>
      <c r="D465" s="21"/>
      <c r="E465" s="21"/>
      <c r="F465" s="21"/>
      <c r="G465" s="21"/>
      <c r="H465" s="21"/>
      <c r="I465" s="21"/>
      <c r="J465" s="21"/>
      <c r="K465" s="24"/>
      <c r="L465" s="21"/>
      <c r="M465" s="25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6"/>
      <c r="AQ465" s="27"/>
      <c r="AR465" s="21"/>
      <c r="AS465" s="28"/>
    </row>
    <row r="466" spans="1:45" x14ac:dyDescent="0.35">
      <c r="A466" s="29"/>
      <c r="B466" s="22"/>
      <c r="C466" s="22"/>
      <c r="D466" s="22"/>
      <c r="E466" s="22"/>
      <c r="F466" s="22"/>
      <c r="G466" s="22"/>
      <c r="H466" s="22"/>
      <c r="I466" s="22"/>
      <c r="J466" s="22"/>
      <c r="K466" s="29"/>
      <c r="L466" s="22"/>
      <c r="M466" s="30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22"/>
      <c r="AM466" s="22"/>
      <c r="AN466" s="22"/>
      <c r="AO466" s="21"/>
      <c r="AP466" s="26"/>
      <c r="AQ466" s="27"/>
      <c r="AR466" s="21"/>
      <c r="AS466" s="28"/>
    </row>
    <row r="467" spans="1:45" x14ac:dyDescent="0.35">
      <c r="A467" s="24"/>
      <c r="B467" s="21"/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5"/>
      <c r="N467" s="21"/>
      <c r="O467" s="21"/>
      <c r="P467" s="21"/>
      <c r="Q467" s="21"/>
      <c r="R467" s="21"/>
      <c r="S467" s="21"/>
      <c r="T467" s="21"/>
      <c r="U467" s="21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6"/>
      <c r="AQ467" s="27"/>
      <c r="AR467" s="21"/>
      <c r="AS467" s="28"/>
    </row>
    <row r="468" spans="1:45" x14ac:dyDescent="0.35">
      <c r="A468" s="24"/>
      <c r="B468" s="21"/>
      <c r="C468" s="21"/>
      <c r="D468" s="21"/>
      <c r="E468" s="21"/>
      <c r="F468" s="21"/>
      <c r="G468" s="21"/>
      <c r="H468" s="21"/>
      <c r="I468" s="21"/>
      <c r="J468" s="21"/>
      <c r="K468" s="24"/>
      <c r="L468" s="21"/>
      <c r="M468" s="25"/>
      <c r="N468" s="21"/>
      <c r="O468" s="21"/>
      <c r="P468" s="21"/>
      <c r="Q468" s="21"/>
      <c r="R468" s="21"/>
      <c r="S468" s="21"/>
      <c r="T468" s="21"/>
      <c r="U468" s="21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6"/>
      <c r="AQ468" s="27"/>
      <c r="AR468" s="21"/>
      <c r="AS468" s="28"/>
    </row>
    <row r="469" spans="1:45" x14ac:dyDescent="0.35">
      <c r="A469" s="24"/>
      <c r="B469" s="21"/>
      <c r="C469" s="21"/>
      <c r="D469" s="21"/>
      <c r="E469" s="21"/>
      <c r="F469" s="21"/>
      <c r="G469" s="21"/>
      <c r="H469" s="21"/>
      <c r="I469" s="21"/>
      <c r="J469" s="21"/>
      <c r="K469" s="21"/>
      <c r="L469" s="21"/>
      <c r="M469" s="25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6"/>
      <c r="AQ469" s="27"/>
      <c r="AR469" s="21"/>
      <c r="AS469" s="28"/>
    </row>
    <row r="470" spans="1:45" x14ac:dyDescent="0.35">
      <c r="A470" s="24"/>
      <c r="B470" s="21"/>
      <c r="C470" s="21"/>
      <c r="D470" s="21"/>
      <c r="E470" s="21"/>
      <c r="F470" s="21"/>
      <c r="G470" s="21"/>
      <c r="H470" s="21"/>
      <c r="I470" s="21"/>
      <c r="J470" s="21"/>
      <c r="K470" s="24"/>
      <c r="L470" s="21"/>
      <c r="M470" s="25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6"/>
      <c r="AQ470" s="27"/>
      <c r="AR470" s="21"/>
      <c r="AS470" s="28"/>
    </row>
    <row r="471" spans="1:45" x14ac:dyDescent="0.35">
      <c r="A471" s="24"/>
      <c r="B471" s="21"/>
      <c r="C471" s="21"/>
      <c r="D471" s="21"/>
      <c r="E471" s="21"/>
      <c r="F471" s="21"/>
      <c r="G471" s="21"/>
      <c r="H471" s="21"/>
      <c r="I471" s="21"/>
      <c r="J471" s="21"/>
      <c r="K471" s="24"/>
      <c r="L471" s="21"/>
      <c r="M471" s="25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6"/>
      <c r="AQ471" s="27"/>
      <c r="AR471" s="21"/>
      <c r="AS471" s="28"/>
    </row>
    <row r="472" spans="1:45" x14ac:dyDescent="0.35">
      <c r="A472" s="24"/>
      <c r="B472" s="21"/>
      <c r="C472" s="21"/>
      <c r="D472" s="21"/>
      <c r="E472" s="21"/>
      <c r="F472" s="21"/>
      <c r="G472" s="21"/>
      <c r="H472" s="21"/>
      <c r="I472" s="21"/>
      <c r="J472" s="21"/>
      <c r="K472" s="24"/>
      <c r="L472" s="21"/>
      <c r="M472" s="25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6"/>
      <c r="AQ472" s="27"/>
      <c r="AR472" s="21"/>
      <c r="AS472" s="28"/>
    </row>
    <row r="473" spans="1:45" x14ac:dyDescent="0.35">
      <c r="A473" s="24"/>
      <c r="B473" s="21"/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5"/>
      <c r="N473" s="21"/>
      <c r="O473" s="21"/>
      <c r="P473" s="21"/>
      <c r="Q473" s="21"/>
      <c r="R473" s="21"/>
      <c r="S473" s="21"/>
      <c r="T473" s="21"/>
      <c r="U473" s="21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6"/>
      <c r="AQ473" s="27"/>
      <c r="AR473" s="21"/>
      <c r="AS473" s="28"/>
    </row>
    <row r="474" spans="1:45" x14ac:dyDescent="0.35">
      <c r="A474" s="29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30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22"/>
      <c r="AM474" s="22"/>
      <c r="AN474" s="22"/>
      <c r="AO474" s="21"/>
      <c r="AP474" s="26"/>
      <c r="AQ474" s="27"/>
      <c r="AR474" s="21"/>
      <c r="AS474" s="28"/>
    </row>
    <row r="475" spans="1:45" x14ac:dyDescent="0.35">
      <c r="A475" s="24"/>
      <c r="B475" s="21"/>
      <c r="C475" s="21"/>
      <c r="D475" s="21"/>
      <c r="E475" s="21"/>
      <c r="F475" s="21"/>
      <c r="G475" s="21"/>
      <c r="H475" s="21"/>
      <c r="I475" s="21"/>
      <c r="J475" s="21"/>
      <c r="K475" s="21"/>
      <c r="L475" s="21"/>
      <c r="M475" s="25"/>
      <c r="N475" s="21"/>
      <c r="O475" s="21"/>
      <c r="P475" s="21"/>
      <c r="Q475" s="21"/>
      <c r="R475" s="21"/>
      <c r="S475" s="21"/>
      <c r="T475" s="21"/>
      <c r="U475" s="21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6"/>
      <c r="AQ475" s="27"/>
      <c r="AR475" s="21"/>
      <c r="AS475" s="28"/>
    </row>
    <row r="476" spans="1:45" x14ac:dyDescent="0.35">
      <c r="A476" s="24"/>
      <c r="B476" s="21"/>
      <c r="C476" s="21"/>
      <c r="D476" s="21"/>
      <c r="E476" s="21"/>
      <c r="F476" s="21"/>
      <c r="G476" s="21"/>
      <c r="H476" s="21"/>
      <c r="I476" s="21"/>
      <c r="J476" s="21"/>
      <c r="K476" s="24"/>
      <c r="L476" s="21"/>
      <c r="M476" s="25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6"/>
      <c r="AQ476" s="27"/>
      <c r="AR476" s="21"/>
      <c r="AS476" s="28"/>
    </row>
    <row r="477" spans="1:45" x14ac:dyDescent="0.35">
      <c r="A477" s="24"/>
      <c r="B477" s="21"/>
      <c r="C477" s="21"/>
      <c r="D477" s="21"/>
      <c r="E477" s="21"/>
      <c r="F477" s="21"/>
      <c r="G477" s="21"/>
      <c r="H477" s="21"/>
      <c r="I477" s="21"/>
      <c r="J477" s="21"/>
      <c r="K477" s="24"/>
      <c r="L477" s="21"/>
      <c r="M477" s="25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6"/>
      <c r="AQ477" s="27"/>
      <c r="AR477" s="21"/>
      <c r="AS477" s="28"/>
    </row>
    <row r="478" spans="1:45" x14ac:dyDescent="0.35">
      <c r="A478" s="24"/>
      <c r="B478" s="21"/>
      <c r="C478" s="21"/>
      <c r="D478" s="21"/>
      <c r="E478" s="21"/>
      <c r="F478" s="21"/>
      <c r="G478" s="21"/>
      <c r="H478" s="21"/>
      <c r="I478" s="21"/>
      <c r="J478" s="21"/>
      <c r="K478" s="21"/>
      <c r="L478" s="21"/>
      <c r="M478" s="25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6"/>
      <c r="AQ478" s="27"/>
      <c r="AR478" s="21"/>
      <c r="AS478" s="28"/>
    </row>
    <row r="479" spans="1:45" x14ac:dyDescent="0.35">
      <c r="A479" s="24"/>
      <c r="B479" s="21"/>
      <c r="C479" s="21"/>
      <c r="D479" s="21"/>
      <c r="E479" s="21"/>
      <c r="F479" s="21"/>
      <c r="G479" s="21"/>
      <c r="H479" s="21"/>
      <c r="I479" s="21"/>
      <c r="J479" s="21"/>
      <c r="K479" s="24"/>
      <c r="L479" s="21"/>
      <c r="M479" s="25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6"/>
      <c r="AQ479" s="27"/>
      <c r="AR479" s="21"/>
      <c r="AS479" s="28"/>
    </row>
    <row r="480" spans="1:45" x14ac:dyDescent="0.35">
      <c r="A480" s="29"/>
      <c r="B480" s="22"/>
      <c r="C480" s="22"/>
      <c r="D480" s="22"/>
      <c r="E480" s="22"/>
      <c r="F480" s="22"/>
      <c r="G480" s="22"/>
      <c r="H480" s="22"/>
      <c r="I480" s="22"/>
      <c r="J480" s="22"/>
      <c r="K480" s="29"/>
      <c r="L480" s="22"/>
      <c r="M480" s="30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1"/>
      <c r="AP480" s="26"/>
      <c r="AQ480" s="27"/>
      <c r="AR480" s="21"/>
      <c r="AS480" s="28"/>
    </row>
    <row r="481" spans="1:45" x14ac:dyDescent="0.35">
      <c r="A481" s="24"/>
      <c r="B481" s="21"/>
      <c r="C481" s="21"/>
      <c r="D481" s="21"/>
      <c r="E481" s="21"/>
      <c r="F481" s="21"/>
      <c r="G481" s="21"/>
      <c r="H481" s="21"/>
      <c r="I481" s="21"/>
      <c r="J481" s="21"/>
      <c r="K481" s="24"/>
      <c r="L481" s="21"/>
      <c r="M481" s="25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6"/>
      <c r="AQ481" s="27"/>
      <c r="AR481" s="21"/>
      <c r="AS481" s="28"/>
    </row>
    <row r="482" spans="1:45" x14ac:dyDescent="0.35">
      <c r="A482" s="24"/>
      <c r="B482" s="21"/>
      <c r="C482" s="21"/>
      <c r="D482" s="21"/>
      <c r="E482" s="21"/>
      <c r="F482" s="21"/>
      <c r="G482" s="21"/>
      <c r="H482" s="21"/>
      <c r="I482" s="21"/>
      <c r="J482" s="21"/>
      <c r="K482" s="24"/>
      <c r="L482" s="21"/>
      <c r="M482" s="25"/>
      <c r="N482" s="21"/>
      <c r="O482" s="21"/>
      <c r="P482" s="21"/>
      <c r="Q482" s="21"/>
      <c r="R482" s="21"/>
      <c r="S482" s="21"/>
      <c r="T482" s="21"/>
      <c r="U482" s="21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6"/>
      <c r="AQ482" s="27"/>
      <c r="AR482" s="21"/>
      <c r="AS482" s="28"/>
    </row>
    <row r="483" spans="1:45" x14ac:dyDescent="0.35">
      <c r="A483" s="24"/>
      <c r="B483" s="21"/>
      <c r="C483" s="21"/>
      <c r="D483" s="21"/>
      <c r="E483" s="21"/>
      <c r="F483" s="21"/>
      <c r="G483" s="21"/>
      <c r="H483" s="21"/>
      <c r="I483" s="21"/>
      <c r="J483" s="21"/>
      <c r="K483" s="24"/>
      <c r="L483" s="21"/>
      <c r="M483" s="25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6"/>
      <c r="AQ483" s="27"/>
      <c r="AR483" s="21"/>
      <c r="AS483" s="28"/>
    </row>
    <row r="484" spans="1:45" x14ac:dyDescent="0.35">
      <c r="A484" s="24"/>
      <c r="B484" s="21"/>
      <c r="C484" s="21"/>
      <c r="D484" s="21"/>
      <c r="E484" s="21"/>
      <c r="F484" s="21"/>
      <c r="G484" s="21"/>
      <c r="H484" s="21"/>
      <c r="I484" s="21"/>
      <c r="J484" s="21"/>
      <c r="K484" s="24"/>
      <c r="L484" s="21"/>
      <c r="M484" s="25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6"/>
      <c r="AQ484" s="27"/>
      <c r="AR484" s="21"/>
      <c r="AS484" s="28"/>
    </row>
    <row r="485" spans="1:45" x14ac:dyDescent="0.35">
      <c r="A485" s="24"/>
      <c r="B485" s="21"/>
      <c r="C485" s="21"/>
      <c r="D485" s="21"/>
      <c r="E485" s="21"/>
      <c r="F485" s="21"/>
      <c r="G485" s="21"/>
      <c r="H485" s="21"/>
      <c r="I485" s="21"/>
      <c r="J485" s="21"/>
      <c r="K485" s="24"/>
      <c r="L485" s="21"/>
      <c r="M485" s="25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6"/>
      <c r="AQ485" s="27"/>
      <c r="AR485" s="21"/>
      <c r="AS485" s="28"/>
    </row>
    <row r="486" spans="1:45" x14ac:dyDescent="0.35">
      <c r="A486" s="24"/>
      <c r="B486" s="21"/>
      <c r="C486" s="21"/>
      <c r="D486" s="21"/>
      <c r="E486" s="21"/>
      <c r="F486" s="21"/>
      <c r="G486" s="21"/>
      <c r="H486" s="21"/>
      <c r="I486" s="21"/>
      <c r="J486" s="21"/>
      <c r="K486" s="24"/>
      <c r="L486" s="21"/>
      <c r="M486" s="25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6"/>
      <c r="AQ486" s="27"/>
      <c r="AR486" s="21"/>
      <c r="AS486" s="28"/>
    </row>
    <row r="487" spans="1:45" x14ac:dyDescent="0.35">
      <c r="A487" s="29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30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22"/>
      <c r="AM487" s="22"/>
      <c r="AN487" s="22"/>
      <c r="AO487" s="21"/>
      <c r="AP487" s="26"/>
      <c r="AQ487" s="27"/>
      <c r="AR487" s="21"/>
      <c r="AS487" s="28"/>
    </row>
    <row r="488" spans="1:45" x14ac:dyDescent="0.35">
      <c r="A488" s="24"/>
      <c r="B488" s="21"/>
      <c r="C488" s="21"/>
      <c r="D488" s="21"/>
      <c r="E488" s="21"/>
      <c r="F488" s="21"/>
      <c r="G488" s="21"/>
      <c r="H488" s="21"/>
      <c r="I488" s="21"/>
      <c r="J488" s="21"/>
      <c r="K488" s="21"/>
      <c r="L488" s="21"/>
      <c r="M488" s="25"/>
      <c r="N488" s="21"/>
      <c r="O488" s="21"/>
      <c r="P488" s="21"/>
      <c r="Q488" s="21"/>
      <c r="R488" s="21"/>
      <c r="S488" s="21"/>
      <c r="T488" s="21"/>
      <c r="U488" s="21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6"/>
      <c r="AQ488" s="27"/>
      <c r="AR488" s="21"/>
      <c r="AS488" s="28"/>
    </row>
    <row r="489" spans="1:45" x14ac:dyDescent="0.35">
      <c r="A489" s="24"/>
      <c r="B489" s="21"/>
      <c r="C489" s="21"/>
      <c r="D489" s="21"/>
      <c r="E489" s="21"/>
      <c r="F489" s="21"/>
      <c r="G489" s="21"/>
      <c r="H489" s="21"/>
      <c r="I489" s="21"/>
      <c r="J489" s="21"/>
      <c r="K489" s="24"/>
      <c r="L489" s="21"/>
      <c r="M489" s="25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6"/>
      <c r="AQ489" s="27"/>
      <c r="AR489" s="21"/>
      <c r="AS489" s="28"/>
    </row>
    <row r="490" spans="1:45" x14ac:dyDescent="0.35">
      <c r="A490" s="24"/>
      <c r="B490" s="21"/>
      <c r="C490" s="21"/>
      <c r="D490" s="21"/>
      <c r="E490" s="21"/>
      <c r="F490" s="21"/>
      <c r="G490" s="21"/>
      <c r="H490" s="21"/>
      <c r="I490" s="21"/>
      <c r="J490" s="21"/>
      <c r="K490" s="24"/>
      <c r="L490" s="21"/>
      <c r="M490" s="25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6"/>
      <c r="AQ490" s="27"/>
      <c r="AR490" s="21"/>
      <c r="AS490" s="28"/>
    </row>
    <row r="491" spans="1:45" x14ac:dyDescent="0.35">
      <c r="A491" s="24"/>
      <c r="B491" s="21"/>
      <c r="C491" s="21"/>
      <c r="D491" s="21"/>
      <c r="E491" s="21"/>
      <c r="F491" s="21"/>
      <c r="G491" s="21"/>
      <c r="H491" s="21"/>
      <c r="I491" s="21"/>
      <c r="J491" s="21"/>
      <c r="K491" s="24"/>
      <c r="L491" s="21"/>
      <c r="M491" s="25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6"/>
      <c r="AQ491" s="27"/>
      <c r="AR491" s="21"/>
      <c r="AS491" s="28"/>
    </row>
    <row r="492" spans="1:45" x14ac:dyDescent="0.35">
      <c r="A492" s="29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30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22"/>
      <c r="AM492" s="22"/>
      <c r="AN492" s="22"/>
      <c r="AO492" s="21"/>
      <c r="AP492" s="26"/>
      <c r="AQ492" s="27"/>
      <c r="AR492" s="21"/>
      <c r="AS492" s="28"/>
    </row>
    <row r="493" spans="1:45" x14ac:dyDescent="0.35">
      <c r="A493" s="24"/>
      <c r="B493" s="21"/>
      <c r="C493" s="21"/>
      <c r="D493" s="21"/>
      <c r="E493" s="21"/>
      <c r="F493" s="21"/>
      <c r="G493" s="21"/>
      <c r="H493" s="21"/>
      <c r="I493" s="21"/>
      <c r="J493" s="21"/>
      <c r="K493" s="24"/>
      <c r="L493" s="21"/>
      <c r="M493" s="25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6"/>
      <c r="AQ493" s="27"/>
      <c r="AR493" s="21"/>
      <c r="AS493" s="28"/>
    </row>
    <row r="494" spans="1:45" x14ac:dyDescent="0.35">
      <c r="A494" s="24"/>
      <c r="B494" s="21"/>
      <c r="C494" s="21"/>
      <c r="D494" s="21"/>
      <c r="E494" s="21"/>
      <c r="F494" s="21"/>
      <c r="G494" s="21"/>
      <c r="H494" s="21"/>
      <c r="I494" s="21"/>
      <c r="J494" s="21"/>
      <c r="K494" s="24"/>
      <c r="L494" s="21"/>
      <c r="M494" s="25"/>
      <c r="N494" s="21"/>
      <c r="O494" s="21"/>
      <c r="P494" s="21"/>
      <c r="Q494" s="21"/>
      <c r="R494" s="21"/>
      <c r="S494" s="21"/>
      <c r="T494" s="21"/>
      <c r="U494" s="21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6"/>
      <c r="AQ494" s="27"/>
      <c r="AR494" s="21"/>
      <c r="AS494" s="28"/>
    </row>
    <row r="495" spans="1:45" x14ac:dyDescent="0.35">
      <c r="A495" s="24"/>
      <c r="B495" s="21"/>
      <c r="C495" s="21"/>
      <c r="D495" s="21"/>
      <c r="E495" s="21"/>
      <c r="F495" s="21"/>
      <c r="G495" s="21"/>
      <c r="H495" s="21"/>
      <c r="I495" s="21"/>
      <c r="J495" s="21"/>
      <c r="K495" s="24"/>
      <c r="L495" s="21"/>
      <c r="M495" s="25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6"/>
      <c r="AQ495" s="27"/>
      <c r="AR495" s="21"/>
      <c r="AS495" s="28"/>
    </row>
    <row r="496" spans="1:45" x14ac:dyDescent="0.35">
      <c r="A496" s="24"/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5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6"/>
      <c r="AQ496" s="27"/>
      <c r="AR496" s="21"/>
      <c r="AS496" s="28"/>
    </row>
    <row r="497" spans="1:45" x14ac:dyDescent="0.35">
      <c r="A497" s="29"/>
      <c r="B497" s="22"/>
      <c r="C497" s="22"/>
      <c r="D497" s="22"/>
      <c r="E497" s="22"/>
      <c r="F497" s="22"/>
      <c r="G497" s="22"/>
      <c r="H497" s="22"/>
      <c r="I497" s="22"/>
      <c r="J497" s="22"/>
      <c r="K497" s="29"/>
      <c r="L497" s="22"/>
      <c r="M497" s="30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22"/>
      <c r="AM497" s="22"/>
      <c r="AN497" s="22"/>
      <c r="AO497" s="21"/>
      <c r="AP497" s="26"/>
      <c r="AQ497" s="27"/>
      <c r="AR497" s="21"/>
      <c r="AS497" s="28"/>
    </row>
    <row r="498" spans="1:45" x14ac:dyDescent="0.35">
      <c r="A498" s="24"/>
      <c r="B498" s="21"/>
      <c r="C498" s="21"/>
      <c r="D498" s="21"/>
      <c r="E498" s="21"/>
      <c r="F498" s="21"/>
      <c r="G498" s="21"/>
      <c r="H498" s="21"/>
      <c r="I498" s="21"/>
      <c r="J498" s="21"/>
      <c r="K498" s="24"/>
      <c r="L498" s="21"/>
      <c r="M498" s="25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6"/>
      <c r="AQ498" s="27"/>
      <c r="AR498" s="21"/>
      <c r="AS498" s="28"/>
    </row>
    <row r="499" spans="1:45" x14ac:dyDescent="0.35">
      <c r="A499" s="24"/>
      <c r="B499" s="21"/>
      <c r="C499" s="21"/>
      <c r="D499" s="21"/>
      <c r="E499" s="21"/>
      <c r="F499" s="21"/>
      <c r="G499" s="21"/>
      <c r="H499" s="21"/>
      <c r="I499" s="21"/>
      <c r="J499" s="21"/>
      <c r="K499" s="24"/>
      <c r="L499" s="21"/>
      <c r="M499" s="25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6"/>
      <c r="AQ499" s="27"/>
      <c r="AR499" s="21"/>
      <c r="AS499" s="28"/>
    </row>
    <row r="500" spans="1:45" x14ac:dyDescent="0.35">
      <c r="A500" s="24"/>
      <c r="B500" s="21"/>
      <c r="C500" s="21"/>
      <c r="D500" s="21"/>
      <c r="E500" s="21"/>
      <c r="F500" s="21"/>
      <c r="G500" s="21"/>
      <c r="H500" s="21"/>
      <c r="I500" s="21"/>
      <c r="J500" s="21"/>
      <c r="K500" s="24"/>
      <c r="L500" s="21"/>
      <c r="M500" s="25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6"/>
      <c r="AQ500" s="27"/>
      <c r="AR500" s="21"/>
      <c r="AS500" s="28"/>
    </row>
    <row r="501" spans="1:45" x14ac:dyDescent="0.35">
      <c r="A501" s="24"/>
      <c r="B501" s="21"/>
      <c r="C501" s="21"/>
      <c r="D501" s="21"/>
      <c r="E501" s="21"/>
      <c r="F501" s="21"/>
      <c r="G501" s="21"/>
      <c r="H501" s="21"/>
      <c r="I501" s="21"/>
      <c r="J501" s="21"/>
      <c r="K501" s="24"/>
      <c r="L501" s="21"/>
      <c r="M501" s="25"/>
      <c r="N501" s="21"/>
      <c r="O501" s="21"/>
      <c r="P501" s="21"/>
      <c r="Q501" s="21"/>
      <c r="R501" s="21"/>
      <c r="S501" s="21"/>
      <c r="T501" s="21"/>
      <c r="U501" s="21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6"/>
      <c r="AQ501" s="27"/>
      <c r="AR501" s="21"/>
      <c r="AS501" s="28"/>
    </row>
    <row r="502" spans="1:45" x14ac:dyDescent="0.35">
      <c r="A502" s="24"/>
      <c r="B502" s="21"/>
      <c r="C502" s="21"/>
      <c r="D502" s="21"/>
      <c r="E502" s="21"/>
      <c r="F502" s="21"/>
      <c r="G502" s="21"/>
      <c r="H502" s="21"/>
      <c r="I502" s="21"/>
      <c r="J502" s="21"/>
      <c r="K502" s="21"/>
      <c r="L502" s="21"/>
      <c r="M502" s="25"/>
      <c r="N502" s="21"/>
      <c r="O502" s="21"/>
      <c r="P502" s="21"/>
      <c r="Q502" s="21"/>
      <c r="R502" s="21"/>
      <c r="S502" s="21"/>
      <c r="T502" s="21"/>
      <c r="U502" s="21"/>
      <c r="V502" s="2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6"/>
      <c r="AQ502" s="27"/>
      <c r="AR502" s="21"/>
      <c r="AS502" s="28"/>
    </row>
    <row r="503" spans="1:45" x14ac:dyDescent="0.35">
      <c r="A503" s="24"/>
      <c r="B503" s="21"/>
      <c r="C503" s="21"/>
      <c r="D503" s="21"/>
      <c r="E503" s="21"/>
      <c r="F503" s="21"/>
      <c r="G503" s="21"/>
      <c r="H503" s="21"/>
      <c r="I503" s="21"/>
      <c r="J503" s="21"/>
      <c r="K503" s="24"/>
      <c r="L503" s="21"/>
      <c r="M503" s="25"/>
      <c r="N503" s="21"/>
      <c r="O503" s="21"/>
      <c r="P503" s="21"/>
      <c r="Q503" s="21"/>
      <c r="R503" s="21"/>
      <c r="S503" s="21"/>
      <c r="T503" s="21"/>
      <c r="U503" s="21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1"/>
      <c r="AI503" s="21"/>
      <c r="AJ503" s="21"/>
      <c r="AK503" s="21"/>
      <c r="AL503" s="21"/>
      <c r="AM503" s="21"/>
      <c r="AN503" s="21"/>
      <c r="AO503" s="21"/>
      <c r="AP503" s="26"/>
      <c r="AQ503" s="27"/>
      <c r="AR503" s="21"/>
      <c r="AS503" s="28"/>
    </row>
    <row r="504" spans="1:45" x14ac:dyDescent="0.35">
      <c r="A504" s="24"/>
      <c r="B504" s="21"/>
      <c r="C504" s="21"/>
      <c r="D504" s="21"/>
      <c r="E504" s="21"/>
      <c r="F504" s="21"/>
      <c r="G504" s="21"/>
      <c r="H504" s="21"/>
      <c r="I504" s="21"/>
      <c r="J504" s="21"/>
      <c r="K504" s="21"/>
      <c r="L504" s="21"/>
      <c r="M504" s="25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  <c r="AF504" s="21"/>
      <c r="AG504" s="21"/>
      <c r="AH504" s="21"/>
      <c r="AI504" s="21"/>
      <c r="AJ504" s="21"/>
      <c r="AK504" s="21"/>
      <c r="AL504" s="21"/>
      <c r="AM504" s="21"/>
      <c r="AN504" s="21"/>
      <c r="AO504" s="21"/>
      <c r="AP504" s="26"/>
      <c r="AQ504" s="27"/>
      <c r="AR504" s="21"/>
      <c r="AS504" s="28"/>
    </row>
    <row r="505" spans="1:45" x14ac:dyDescent="0.35">
      <c r="A505" s="24"/>
      <c r="B505" s="21"/>
      <c r="C505" s="21"/>
      <c r="D505" s="21"/>
      <c r="E505" s="21"/>
      <c r="F505" s="21"/>
      <c r="G505" s="21"/>
      <c r="H505" s="21"/>
      <c r="I505" s="21"/>
      <c r="J505" s="21"/>
      <c r="K505" s="24"/>
      <c r="L505" s="21"/>
      <c r="M505" s="25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  <c r="AF505" s="21"/>
      <c r="AG505" s="21"/>
      <c r="AH505" s="21"/>
      <c r="AI505" s="21"/>
      <c r="AJ505" s="21"/>
      <c r="AK505" s="21"/>
      <c r="AL505" s="21"/>
      <c r="AM505" s="21"/>
      <c r="AN505" s="21"/>
      <c r="AO505" s="21"/>
      <c r="AP505" s="26"/>
      <c r="AQ505" s="27"/>
      <c r="AR505" s="21"/>
      <c r="AS505" s="28"/>
    </row>
    <row r="506" spans="1:45" x14ac:dyDescent="0.35">
      <c r="A506" s="24"/>
      <c r="B506" s="21"/>
      <c r="C506" s="21"/>
      <c r="D506" s="21"/>
      <c r="E506" s="21"/>
      <c r="F506" s="21"/>
      <c r="G506" s="21"/>
      <c r="H506" s="21"/>
      <c r="I506" s="21"/>
      <c r="J506" s="21"/>
      <c r="K506" s="24"/>
      <c r="L506" s="21"/>
      <c r="M506" s="25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6"/>
      <c r="AQ506" s="27"/>
      <c r="AR506" s="21"/>
      <c r="AS506" s="28"/>
    </row>
    <row r="507" spans="1:45" x14ac:dyDescent="0.35">
      <c r="A507" s="24"/>
      <c r="B507" s="21"/>
      <c r="C507" s="21"/>
      <c r="D507" s="21"/>
      <c r="E507" s="21"/>
      <c r="F507" s="21"/>
      <c r="G507" s="21"/>
      <c r="H507" s="21"/>
      <c r="I507" s="21"/>
      <c r="J507" s="21"/>
      <c r="K507" s="24"/>
      <c r="L507" s="21"/>
      <c r="M507" s="25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6"/>
      <c r="AQ507" s="27"/>
      <c r="AR507" s="21"/>
      <c r="AS507" s="28"/>
    </row>
    <row r="508" spans="1:45" x14ac:dyDescent="0.35">
      <c r="A508" s="24"/>
      <c r="B508" s="21"/>
      <c r="C508" s="21"/>
      <c r="D508" s="21"/>
      <c r="E508" s="21"/>
      <c r="F508" s="21"/>
      <c r="G508" s="21"/>
      <c r="H508" s="21"/>
      <c r="I508" s="21"/>
      <c r="J508" s="21"/>
      <c r="K508" s="21"/>
      <c r="L508" s="21"/>
      <c r="M508" s="25"/>
      <c r="N508" s="21"/>
      <c r="O508" s="21"/>
      <c r="P508" s="21"/>
      <c r="Q508" s="21"/>
      <c r="R508" s="21"/>
      <c r="S508" s="21"/>
      <c r="T508" s="21"/>
      <c r="U508" s="21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6"/>
      <c r="AQ508" s="27"/>
      <c r="AR508" s="21"/>
      <c r="AS508" s="28"/>
    </row>
    <row r="509" spans="1:45" x14ac:dyDescent="0.35">
      <c r="A509" s="29"/>
      <c r="B509" s="22"/>
      <c r="C509" s="22"/>
      <c r="D509" s="22"/>
      <c r="E509" s="22"/>
      <c r="F509" s="22"/>
      <c r="G509" s="22"/>
      <c r="H509" s="22"/>
      <c r="I509" s="22"/>
      <c r="J509" s="22"/>
      <c r="K509" s="29"/>
      <c r="L509" s="22"/>
      <c r="M509" s="30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1"/>
      <c r="AP509" s="26"/>
      <c r="AQ509" s="27"/>
      <c r="AR509" s="21"/>
      <c r="AS509" s="28"/>
    </row>
    <row r="510" spans="1:45" x14ac:dyDescent="0.35">
      <c r="A510" s="24"/>
      <c r="B510" s="21"/>
      <c r="C510" s="21"/>
      <c r="D510" s="21"/>
      <c r="E510" s="21"/>
      <c r="F510" s="21"/>
      <c r="G510" s="21"/>
      <c r="H510" s="21"/>
      <c r="I510" s="21"/>
      <c r="J510" s="21"/>
      <c r="K510" s="21"/>
      <c r="L510" s="21"/>
      <c r="M510" s="25"/>
      <c r="N510" s="21"/>
      <c r="O510" s="21"/>
      <c r="P510" s="21"/>
      <c r="Q510" s="21"/>
      <c r="R510" s="21"/>
      <c r="S510" s="21"/>
      <c r="T510" s="21"/>
      <c r="U510" s="21"/>
      <c r="V510" s="21"/>
      <c r="W510" s="21"/>
      <c r="X510" s="21"/>
      <c r="Y510" s="21"/>
      <c r="Z510" s="21"/>
      <c r="AA510" s="21"/>
      <c r="AB510" s="21"/>
      <c r="AC510" s="21"/>
      <c r="AD510" s="21"/>
      <c r="AE510" s="21"/>
      <c r="AF510" s="21"/>
      <c r="AG510" s="21"/>
      <c r="AH510" s="21"/>
      <c r="AI510" s="21"/>
      <c r="AJ510" s="21"/>
      <c r="AK510" s="21"/>
      <c r="AL510" s="21"/>
      <c r="AM510" s="21"/>
      <c r="AN510" s="21"/>
      <c r="AO510" s="21"/>
      <c r="AP510" s="26"/>
      <c r="AQ510" s="27"/>
      <c r="AR510" s="21"/>
      <c r="AS510" s="28"/>
    </row>
    <row r="511" spans="1:45" x14ac:dyDescent="0.35">
      <c r="A511" s="24"/>
      <c r="B511" s="21"/>
      <c r="C511" s="21"/>
      <c r="D511" s="21"/>
      <c r="E511" s="21"/>
      <c r="F511" s="21"/>
      <c r="G511" s="21"/>
      <c r="H511" s="21"/>
      <c r="I511" s="21"/>
      <c r="J511" s="21"/>
      <c r="K511" s="24"/>
      <c r="L511" s="21"/>
      <c r="M511" s="25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1"/>
      <c r="AI511" s="21"/>
      <c r="AJ511" s="21"/>
      <c r="AK511" s="21"/>
      <c r="AL511" s="21"/>
      <c r="AM511" s="21"/>
      <c r="AN511" s="21"/>
      <c r="AO511" s="21"/>
      <c r="AP511" s="26"/>
      <c r="AQ511" s="27"/>
      <c r="AR511" s="21"/>
      <c r="AS511" s="28"/>
    </row>
    <row r="512" spans="1:45" x14ac:dyDescent="0.35">
      <c r="A512" s="29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30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1"/>
      <c r="AP512" s="26"/>
      <c r="AQ512" s="27"/>
      <c r="AR512" s="21"/>
      <c r="AS512" s="28"/>
    </row>
    <row r="513" spans="1:45" x14ac:dyDescent="0.35">
      <c r="A513" s="24"/>
      <c r="B513" s="21"/>
      <c r="C513" s="21"/>
      <c r="D513" s="21"/>
      <c r="E513" s="21"/>
      <c r="F513" s="21"/>
      <c r="G513" s="21"/>
      <c r="H513" s="21"/>
      <c r="I513" s="21"/>
      <c r="J513" s="21"/>
      <c r="K513" s="21"/>
      <c r="L513" s="21"/>
      <c r="M513" s="25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  <c r="AF513" s="21"/>
      <c r="AG513" s="21"/>
      <c r="AH513" s="21"/>
      <c r="AI513" s="21"/>
      <c r="AJ513" s="21"/>
      <c r="AK513" s="21"/>
      <c r="AL513" s="21"/>
      <c r="AM513" s="21"/>
      <c r="AN513" s="21"/>
      <c r="AO513" s="21"/>
      <c r="AP513" s="26"/>
      <c r="AQ513" s="27"/>
      <c r="AR513" s="21"/>
      <c r="AS513" s="28"/>
    </row>
    <row r="514" spans="1:45" x14ac:dyDescent="0.35">
      <c r="A514" s="24"/>
      <c r="B514" s="21"/>
      <c r="C514" s="21"/>
      <c r="D514" s="21"/>
      <c r="E514" s="21"/>
      <c r="F514" s="21"/>
      <c r="G514" s="21"/>
      <c r="H514" s="21"/>
      <c r="I514" s="21"/>
      <c r="J514" s="21"/>
      <c r="K514" s="21"/>
      <c r="L514" s="21"/>
      <c r="M514" s="25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  <c r="AF514" s="21"/>
      <c r="AG514" s="21"/>
      <c r="AH514" s="21"/>
      <c r="AI514" s="21"/>
      <c r="AJ514" s="21"/>
      <c r="AK514" s="21"/>
      <c r="AL514" s="21"/>
      <c r="AM514" s="21"/>
      <c r="AN514" s="21"/>
      <c r="AO514" s="21"/>
      <c r="AP514" s="26"/>
      <c r="AQ514" s="27"/>
      <c r="AR514" s="21"/>
      <c r="AS514" s="28"/>
    </row>
    <row r="515" spans="1:45" x14ac:dyDescent="0.35">
      <c r="A515" s="24"/>
      <c r="B515" s="21"/>
      <c r="C515" s="21"/>
      <c r="D515" s="21"/>
      <c r="E515" s="21"/>
      <c r="F515" s="21"/>
      <c r="G515" s="21"/>
      <c r="H515" s="21"/>
      <c r="I515" s="21"/>
      <c r="J515" s="21"/>
      <c r="K515" s="24"/>
      <c r="L515" s="21"/>
      <c r="M515" s="25"/>
      <c r="N515" s="21"/>
      <c r="O515" s="21"/>
      <c r="P515" s="21"/>
      <c r="Q515" s="21"/>
      <c r="R515" s="21"/>
      <c r="S515" s="21"/>
      <c r="T515" s="21"/>
      <c r="U515" s="21"/>
      <c r="V515" s="21"/>
      <c r="W515" s="21"/>
      <c r="X515" s="21"/>
      <c r="Y515" s="21"/>
      <c r="Z515" s="21"/>
      <c r="AA515" s="21"/>
      <c r="AB515" s="21"/>
      <c r="AC515" s="21"/>
      <c r="AD515" s="21"/>
      <c r="AE515" s="21"/>
      <c r="AF515" s="21"/>
      <c r="AG515" s="21"/>
      <c r="AH515" s="21"/>
      <c r="AI515" s="21"/>
      <c r="AJ515" s="21"/>
      <c r="AK515" s="21"/>
      <c r="AL515" s="21"/>
      <c r="AM515" s="21"/>
      <c r="AN515" s="21"/>
      <c r="AO515" s="21"/>
      <c r="AP515" s="26"/>
      <c r="AQ515" s="27"/>
      <c r="AR515" s="21"/>
      <c r="AS515" s="28"/>
    </row>
    <row r="516" spans="1:45" x14ac:dyDescent="0.35">
      <c r="A516" s="29"/>
      <c r="B516" s="22"/>
      <c r="C516" s="22"/>
      <c r="D516" s="22"/>
      <c r="E516" s="22"/>
      <c r="F516" s="22"/>
      <c r="G516" s="22"/>
      <c r="H516" s="22"/>
      <c r="I516" s="22"/>
      <c r="J516" s="22"/>
      <c r="K516" s="29"/>
      <c r="L516" s="22"/>
      <c r="M516" s="30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22"/>
      <c r="AM516" s="22"/>
      <c r="AN516" s="22"/>
      <c r="AO516" s="21"/>
      <c r="AP516" s="26"/>
      <c r="AQ516" s="27"/>
      <c r="AR516" s="21"/>
      <c r="AS516" s="28"/>
    </row>
    <row r="517" spans="1:45" x14ac:dyDescent="0.35">
      <c r="A517" s="29"/>
      <c r="B517" s="22"/>
      <c r="C517" s="22"/>
      <c r="D517" s="22"/>
      <c r="E517" s="22"/>
      <c r="F517" s="22"/>
      <c r="G517" s="22"/>
      <c r="H517" s="22"/>
      <c r="I517" s="22"/>
      <c r="J517" s="22"/>
      <c r="K517" s="29"/>
      <c r="L517" s="22"/>
      <c r="M517" s="30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22"/>
      <c r="AM517" s="22"/>
      <c r="AN517" s="22"/>
      <c r="AO517" s="21"/>
      <c r="AP517" s="26"/>
      <c r="AQ517" s="27"/>
      <c r="AR517" s="21"/>
      <c r="AS517" s="28"/>
    </row>
    <row r="518" spans="1:45" x14ac:dyDescent="0.35">
      <c r="A518" s="29"/>
      <c r="B518" s="22"/>
      <c r="C518" s="22"/>
      <c r="D518" s="22"/>
      <c r="E518" s="22"/>
      <c r="F518" s="22"/>
      <c r="G518" s="22"/>
      <c r="H518" s="22"/>
      <c r="I518" s="22"/>
      <c r="J518" s="22"/>
      <c r="K518" s="29"/>
      <c r="L518" s="22"/>
      <c r="M518" s="30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22"/>
      <c r="AM518" s="22"/>
      <c r="AN518" s="22"/>
      <c r="AO518" s="21"/>
      <c r="AP518" s="26"/>
      <c r="AQ518" s="27"/>
      <c r="AR518" s="21"/>
      <c r="AS518" s="28"/>
    </row>
    <row r="519" spans="1:45" x14ac:dyDescent="0.35">
      <c r="A519" s="29"/>
      <c r="B519" s="22"/>
      <c r="C519" s="22"/>
      <c r="D519" s="22"/>
      <c r="E519" s="22"/>
      <c r="F519" s="22"/>
      <c r="G519" s="22"/>
      <c r="H519" s="22"/>
      <c r="I519" s="22"/>
      <c r="J519" s="22"/>
      <c r="K519" s="29"/>
      <c r="L519" s="22"/>
      <c r="M519" s="30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22"/>
      <c r="AM519" s="22"/>
      <c r="AN519" s="22"/>
      <c r="AO519" s="21"/>
      <c r="AP519" s="26"/>
      <c r="AQ519" s="27"/>
      <c r="AR519" s="21"/>
      <c r="AS519" s="28"/>
    </row>
    <row r="520" spans="1:45" x14ac:dyDescent="0.35">
      <c r="A520" s="29"/>
      <c r="B520" s="22"/>
      <c r="C520" s="22"/>
      <c r="D520" s="22"/>
      <c r="E520" s="22"/>
      <c r="F520" s="22"/>
      <c r="G520" s="22"/>
      <c r="H520" s="22"/>
      <c r="I520" s="22"/>
      <c r="J520" s="22"/>
      <c r="K520" s="29"/>
      <c r="L520" s="22"/>
      <c r="M520" s="30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1"/>
      <c r="AP520" s="26"/>
      <c r="AQ520" s="27"/>
      <c r="AR520" s="21"/>
      <c r="AS520" s="28"/>
    </row>
    <row r="521" spans="1:45" x14ac:dyDescent="0.35">
      <c r="A521" s="29"/>
      <c r="B521" s="22"/>
      <c r="C521" s="22"/>
      <c r="D521" s="22"/>
      <c r="E521" s="22"/>
      <c r="F521" s="22"/>
      <c r="G521" s="22"/>
      <c r="H521" s="22"/>
      <c r="I521" s="22"/>
      <c r="J521" s="22"/>
      <c r="K521" s="29"/>
      <c r="L521" s="22"/>
      <c r="M521" s="30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1"/>
      <c r="AP521" s="26"/>
      <c r="AQ521" s="27"/>
      <c r="AR521" s="21"/>
      <c r="AS521" s="28"/>
    </row>
    <row r="522" spans="1:45" x14ac:dyDescent="0.35">
      <c r="A522" s="29"/>
      <c r="B522" s="22"/>
      <c r="C522" s="22"/>
      <c r="D522" s="22"/>
      <c r="E522" s="22"/>
      <c r="F522" s="22"/>
      <c r="G522" s="22"/>
      <c r="H522" s="22"/>
      <c r="I522" s="22"/>
      <c r="J522" s="22"/>
      <c r="K522" s="29"/>
      <c r="L522" s="22"/>
      <c r="M522" s="30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1"/>
      <c r="AP522" s="26"/>
      <c r="AQ522" s="27"/>
      <c r="AR522" s="21"/>
      <c r="AS522" s="28"/>
    </row>
    <row r="523" spans="1:45" x14ac:dyDescent="0.35">
      <c r="A523" s="29"/>
      <c r="B523" s="22"/>
      <c r="C523" s="22"/>
      <c r="D523" s="22"/>
      <c r="E523" s="22"/>
      <c r="F523" s="22"/>
      <c r="G523" s="22"/>
      <c r="H523" s="22"/>
      <c r="I523" s="22"/>
      <c r="J523" s="22"/>
      <c r="K523" s="29"/>
      <c r="L523" s="22"/>
      <c r="M523" s="30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1"/>
      <c r="AP523" s="26"/>
      <c r="AQ523" s="27"/>
      <c r="AR523" s="21"/>
      <c r="AS523" s="28"/>
    </row>
    <row r="524" spans="1:45" x14ac:dyDescent="0.35">
      <c r="A524" s="29"/>
      <c r="B524" s="22"/>
      <c r="C524" s="22"/>
      <c r="D524" s="22"/>
      <c r="E524" s="22"/>
      <c r="F524" s="22"/>
      <c r="G524" s="22"/>
      <c r="H524" s="22"/>
      <c r="I524" s="22"/>
      <c r="J524" s="22"/>
      <c r="K524" s="29"/>
      <c r="L524" s="22"/>
      <c r="M524" s="30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1"/>
      <c r="AP524" s="26"/>
      <c r="AQ524" s="27"/>
      <c r="AR524" s="21"/>
      <c r="AS524" s="28"/>
    </row>
    <row r="525" spans="1:45" x14ac:dyDescent="0.35">
      <c r="A525" s="29"/>
      <c r="B525" s="22"/>
      <c r="C525" s="22"/>
      <c r="D525" s="22"/>
      <c r="E525" s="22"/>
      <c r="F525" s="22"/>
      <c r="G525" s="22"/>
      <c r="H525" s="22"/>
      <c r="I525" s="22"/>
      <c r="J525" s="22"/>
      <c r="K525" s="29"/>
      <c r="L525" s="22"/>
      <c r="M525" s="30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1"/>
      <c r="AP525" s="26"/>
      <c r="AQ525" s="27"/>
      <c r="AR525" s="21"/>
      <c r="AS525" s="28"/>
    </row>
    <row r="526" spans="1:45" x14ac:dyDescent="0.35">
      <c r="A526" s="29"/>
      <c r="B526" s="22"/>
      <c r="C526" s="22"/>
      <c r="D526" s="22"/>
      <c r="E526" s="22"/>
      <c r="F526" s="22"/>
      <c r="G526" s="22"/>
      <c r="H526" s="22"/>
      <c r="I526" s="22"/>
      <c r="J526" s="22"/>
      <c r="K526" s="29"/>
      <c r="L526" s="22"/>
      <c r="M526" s="30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1"/>
      <c r="AP526" s="26"/>
      <c r="AQ526" s="27"/>
      <c r="AR526" s="21"/>
      <c r="AS526" s="28"/>
    </row>
    <row r="527" spans="1:45" x14ac:dyDescent="0.35">
      <c r="A527" s="29"/>
      <c r="B527" s="22"/>
      <c r="C527" s="22"/>
      <c r="D527" s="22"/>
      <c r="E527" s="22"/>
      <c r="F527" s="22"/>
      <c r="G527" s="22"/>
      <c r="H527" s="22"/>
      <c r="I527" s="22"/>
      <c r="J527" s="22"/>
      <c r="K527" s="29"/>
      <c r="L527" s="22"/>
      <c r="M527" s="30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1"/>
      <c r="AP527" s="26"/>
      <c r="AQ527" s="27"/>
      <c r="AR527" s="21"/>
      <c r="AS527" s="28"/>
    </row>
    <row r="528" spans="1:45" x14ac:dyDescent="0.35">
      <c r="A528" s="24"/>
      <c r="B528" s="21"/>
      <c r="C528" s="21"/>
      <c r="D528" s="21"/>
      <c r="E528" s="21"/>
      <c r="F528" s="21"/>
      <c r="G528" s="21"/>
      <c r="H528" s="21"/>
      <c r="I528" s="21"/>
      <c r="J528" s="21"/>
      <c r="K528" s="24"/>
      <c r="L528" s="21"/>
      <c r="M528" s="25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6"/>
      <c r="AQ528" s="27"/>
      <c r="AR528" s="21"/>
      <c r="AS528" s="28"/>
    </row>
    <row r="529" spans="1:45" x14ac:dyDescent="0.35">
      <c r="A529" s="24"/>
      <c r="B529" s="21"/>
      <c r="C529" s="21"/>
      <c r="D529" s="21"/>
      <c r="E529" s="21"/>
      <c r="F529" s="21"/>
      <c r="G529" s="21"/>
      <c r="H529" s="21"/>
      <c r="I529" s="21"/>
      <c r="J529" s="21"/>
      <c r="K529" s="24"/>
      <c r="L529" s="21"/>
      <c r="M529" s="25"/>
      <c r="N529" s="21"/>
      <c r="O529" s="21"/>
      <c r="P529" s="21"/>
      <c r="Q529" s="21"/>
      <c r="R529" s="21"/>
      <c r="S529" s="21"/>
      <c r="T529" s="21"/>
      <c r="U529" s="21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6"/>
      <c r="AQ529" s="27"/>
      <c r="AR529" s="21"/>
      <c r="AS529" s="28"/>
    </row>
    <row r="530" spans="1:45" x14ac:dyDescent="0.35">
      <c r="A530" s="24"/>
      <c r="B530" s="21"/>
      <c r="C530" s="21"/>
      <c r="D530" s="21"/>
      <c r="E530" s="21"/>
      <c r="F530" s="21"/>
      <c r="G530" s="21"/>
      <c r="H530" s="21"/>
      <c r="I530" s="21"/>
      <c r="J530" s="21"/>
      <c r="K530" s="24"/>
      <c r="L530" s="21"/>
      <c r="M530" s="25"/>
      <c r="N530" s="21"/>
      <c r="O530" s="21"/>
      <c r="P530" s="21"/>
      <c r="Q530" s="21"/>
      <c r="R530" s="21"/>
      <c r="S530" s="21"/>
      <c r="T530" s="21"/>
      <c r="U530" s="21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6"/>
      <c r="AQ530" s="27"/>
      <c r="AR530" s="21"/>
      <c r="AS530" s="28"/>
    </row>
    <row r="531" spans="1:45" x14ac:dyDescent="0.35">
      <c r="A531" s="24"/>
      <c r="B531" s="21"/>
      <c r="C531" s="21"/>
      <c r="D531" s="21"/>
      <c r="E531" s="21"/>
      <c r="F531" s="21"/>
      <c r="G531" s="21"/>
      <c r="H531" s="21"/>
      <c r="I531" s="21"/>
      <c r="J531" s="21"/>
      <c r="K531" s="24"/>
      <c r="L531" s="21"/>
      <c r="M531" s="25"/>
      <c r="N531" s="21"/>
      <c r="O531" s="21"/>
      <c r="P531" s="21"/>
      <c r="Q531" s="21"/>
      <c r="R531" s="21"/>
      <c r="S531" s="21"/>
      <c r="T531" s="21"/>
      <c r="U531" s="21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6"/>
      <c r="AQ531" s="27"/>
      <c r="AR531" s="21"/>
      <c r="AS531" s="28"/>
    </row>
    <row r="532" spans="1:45" x14ac:dyDescent="0.35">
      <c r="A532" s="24"/>
      <c r="B532" s="21"/>
      <c r="C532" s="21"/>
      <c r="D532" s="21"/>
      <c r="E532" s="21"/>
      <c r="F532" s="21"/>
      <c r="G532" s="21"/>
      <c r="H532" s="21"/>
      <c r="I532" s="21"/>
      <c r="J532" s="21"/>
      <c r="K532" s="21"/>
      <c r="L532" s="21"/>
      <c r="M532" s="25"/>
      <c r="N532" s="21"/>
      <c r="O532" s="21"/>
      <c r="P532" s="21"/>
      <c r="Q532" s="21"/>
      <c r="R532" s="21"/>
      <c r="S532" s="21"/>
      <c r="T532" s="21"/>
      <c r="U532" s="21"/>
      <c r="V532" s="2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6"/>
      <c r="AQ532" s="27"/>
      <c r="AR532" s="21"/>
      <c r="AS532" s="28"/>
    </row>
    <row r="533" spans="1:45" x14ac:dyDescent="0.35">
      <c r="A533" s="24"/>
      <c r="B533" s="21"/>
      <c r="C533" s="21"/>
      <c r="D533" s="21"/>
      <c r="E533" s="21"/>
      <c r="F533" s="21"/>
      <c r="G533" s="21"/>
      <c r="H533" s="21"/>
      <c r="I533" s="21"/>
      <c r="J533" s="21"/>
      <c r="K533" s="21"/>
      <c r="L533" s="21"/>
      <c r="M533" s="25"/>
      <c r="N533" s="21"/>
      <c r="O533" s="21"/>
      <c r="P533" s="21"/>
      <c r="Q533" s="21"/>
      <c r="R533" s="21"/>
      <c r="S533" s="21"/>
      <c r="T533" s="21"/>
      <c r="U533" s="21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6"/>
      <c r="AQ533" s="27"/>
      <c r="AR533" s="21"/>
      <c r="AS533" s="28"/>
    </row>
    <row r="534" spans="1:45" x14ac:dyDescent="0.35">
      <c r="A534" s="24"/>
      <c r="B534" s="21"/>
      <c r="C534" s="21"/>
      <c r="D534" s="21"/>
      <c r="E534" s="21"/>
      <c r="F534" s="21"/>
      <c r="G534" s="21"/>
      <c r="H534" s="21"/>
      <c r="I534" s="21"/>
      <c r="J534" s="21"/>
      <c r="K534" s="21"/>
      <c r="L534" s="21"/>
      <c r="M534" s="25"/>
      <c r="N534" s="21"/>
      <c r="O534" s="21"/>
      <c r="P534" s="21"/>
      <c r="Q534" s="21"/>
      <c r="R534" s="21"/>
      <c r="S534" s="21"/>
      <c r="T534" s="21"/>
      <c r="U534" s="21"/>
      <c r="V534" s="2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6"/>
      <c r="AQ534" s="27"/>
      <c r="AR534" s="21"/>
      <c r="AS534" s="28"/>
    </row>
    <row r="535" spans="1:45" x14ac:dyDescent="0.35">
      <c r="A535" s="31"/>
      <c r="B535" s="32"/>
      <c r="C535" s="32"/>
      <c r="D535" s="32"/>
      <c r="E535" s="32"/>
      <c r="F535" s="32"/>
      <c r="G535" s="32"/>
      <c r="H535" s="32"/>
      <c r="I535" s="32"/>
      <c r="J535" s="32"/>
      <c r="K535" s="32"/>
      <c r="L535" s="32"/>
      <c r="M535" s="33"/>
      <c r="N535" s="32"/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21"/>
      <c r="AP535" s="26"/>
      <c r="AQ535" s="27"/>
      <c r="AR535" s="21"/>
      <c r="AS535" s="28"/>
    </row>
    <row r="536" spans="1:45" x14ac:dyDescent="0.35">
      <c r="A536" s="24"/>
      <c r="B536" s="21"/>
      <c r="C536" s="21"/>
      <c r="D536" s="21"/>
      <c r="E536" s="21"/>
      <c r="F536" s="21"/>
      <c r="G536" s="21"/>
      <c r="H536" s="21"/>
      <c r="I536" s="21"/>
      <c r="J536" s="21"/>
      <c r="K536" s="21"/>
      <c r="L536" s="21"/>
      <c r="M536" s="25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6"/>
      <c r="AQ536" s="27"/>
      <c r="AR536" s="21"/>
      <c r="AS536" s="28"/>
    </row>
    <row r="537" spans="1:45" x14ac:dyDescent="0.35">
      <c r="A537" s="24"/>
      <c r="B537" s="21"/>
      <c r="C537" s="21"/>
      <c r="D537" s="21"/>
      <c r="E537" s="21"/>
      <c r="F537" s="21"/>
      <c r="G537" s="21"/>
      <c r="H537" s="21"/>
      <c r="I537" s="21"/>
      <c r="J537" s="21"/>
      <c r="K537" s="24"/>
      <c r="L537" s="21"/>
      <c r="M537" s="25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6"/>
      <c r="AQ537" s="27"/>
      <c r="AR537" s="21"/>
      <c r="AS537" s="28"/>
    </row>
    <row r="538" spans="1:45" x14ac:dyDescent="0.35">
      <c r="A538" s="24"/>
      <c r="B538" s="21"/>
      <c r="C538" s="21"/>
      <c r="D538" s="21"/>
      <c r="E538" s="21"/>
      <c r="F538" s="21"/>
      <c r="G538" s="21"/>
      <c r="H538" s="21"/>
      <c r="I538" s="21"/>
      <c r="J538" s="21"/>
      <c r="K538" s="24"/>
      <c r="L538" s="21"/>
      <c r="M538" s="25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6"/>
      <c r="AQ538" s="27"/>
      <c r="AR538" s="21"/>
      <c r="AS538" s="28"/>
    </row>
    <row r="539" spans="1:45" x14ac:dyDescent="0.35">
      <c r="A539" s="24"/>
      <c r="B539" s="21"/>
      <c r="C539" s="21"/>
      <c r="D539" s="21"/>
      <c r="E539" s="21"/>
      <c r="F539" s="21"/>
      <c r="G539" s="21"/>
      <c r="H539" s="21"/>
      <c r="I539" s="21"/>
      <c r="J539" s="21"/>
      <c r="K539" s="24"/>
      <c r="L539" s="21"/>
      <c r="M539" s="25"/>
      <c r="N539" s="21"/>
      <c r="O539" s="21"/>
      <c r="P539" s="21"/>
      <c r="Q539" s="21"/>
      <c r="R539" s="21"/>
      <c r="S539" s="21"/>
      <c r="T539" s="21"/>
      <c r="U539" s="21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6"/>
      <c r="AQ539" s="27"/>
      <c r="AR539" s="21"/>
      <c r="AS539" s="28"/>
    </row>
    <row r="540" spans="1:45" x14ac:dyDescent="0.35">
      <c r="A540" s="24"/>
      <c r="B540" s="21"/>
      <c r="C540" s="21"/>
      <c r="D540" s="21"/>
      <c r="E540" s="21"/>
      <c r="F540" s="21"/>
      <c r="G540" s="21"/>
      <c r="H540" s="21"/>
      <c r="I540" s="21"/>
      <c r="J540" s="21"/>
      <c r="K540" s="21"/>
      <c r="L540" s="21"/>
      <c r="M540" s="25"/>
      <c r="N540" s="21"/>
      <c r="O540" s="21"/>
      <c r="P540" s="21"/>
      <c r="Q540" s="21"/>
      <c r="R540" s="21"/>
      <c r="S540" s="21"/>
      <c r="T540" s="21"/>
      <c r="U540" s="21"/>
      <c r="V540" s="21"/>
      <c r="W540" s="21"/>
      <c r="X540" s="21"/>
      <c r="Y540" s="21"/>
      <c r="Z540" s="21"/>
      <c r="AA540" s="21"/>
      <c r="AB540" s="21"/>
      <c r="AC540" s="21"/>
      <c r="AD540" s="21"/>
      <c r="AE540" s="21"/>
      <c r="AF540" s="21"/>
      <c r="AG540" s="21"/>
      <c r="AH540" s="21"/>
      <c r="AI540" s="21"/>
      <c r="AJ540" s="21"/>
      <c r="AK540" s="21"/>
      <c r="AL540" s="21"/>
      <c r="AM540" s="21"/>
      <c r="AN540" s="21"/>
      <c r="AO540" s="21"/>
      <c r="AP540" s="26"/>
      <c r="AQ540" s="27"/>
      <c r="AR540" s="21"/>
      <c r="AS540" s="28"/>
    </row>
    <row r="541" spans="1:45" x14ac:dyDescent="0.35">
      <c r="A541" s="29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30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22"/>
      <c r="AM541" s="22"/>
      <c r="AN541" s="22"/>
      <c r="AO541" s="21"/>
      <c r="AP541" s="26"/>
      <c r="AQ541" s="27"/>
      <c r="AR541" s="21"/>
      <c r="AS541" s="28"/>
    </row>
    <row r="542" spans="1:45" x14ac:dyDescent="0.35">
      <c r="A542" s="24"/>
      <c r="B542" s="21"/>
      <c r="C542" s="21"/>
      <c r="D542" s="21"/>
      <c r="E542" s="21"/>
      <c r="F542" s="21"/>
      <c r="G542" s="21"/>
      <c r="H542" s="21"/>
      <c r="I542" s="21"/>
      <c r="J542" s="21"/>
      <c r="K542" s="21"/>
      <c r="L542" s="21"/>
      <c r="M542" s="25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6"/>
      <c r="AQ542" s="27"/>
      <c r="AR542" s="21"/>
      <c r="AS542" s="28"/>
    </row>
    <row r="543" spans="1:45" x14ac:dyDescent="0.35">
      <c r="A543" s="24"/>
      <c r="B543" s="21"/>
      <c r="C543" s="21"/>
      <c r="D543" s="21"/>
      <c r="E543" s="21"/>
      <c r="F543" s="21"/>
      <c r="G543" s="21"/>
      <c r="H543" s="21"/>
      <c r="I543" s="21"/>
      <c r="J543" s="21"/>
      <c r="K543" s="24"/>
      <c r="L543" s="21"/>
      <c r="M543" s="25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6"/>
      <c r="AQ543" s="27"/>
      <c r="AR543" s="21"/>
      <c r="AS543" s="28"/>
    </row>
    <row r="544" spans="1:45" x14ac:dyDescent="0.35">
      <c r="A544" s="24"/>
      <c r="B544" s="21"/>
      <c r="C544" s="21"/>
      <c r="D544" s="21"/>
      <c r="E544" s="21"/>
      <c r="F544" s="21"/>
      <c r="G544" s="21"/>
      <c r="H544" s="21"/>
      <c r="I544" s="21"/>
      <c r="J544" s="21"/>
      <c r="K544" s="24"/>
      <c r="L544" s="21"/>
      <c r="M544" s="25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6"/>
      <c r="AQ544" s="27"/>
      <c r="AR544" s="21"/>
      <c r="AS544" s="28"/>
    </row>
    <row r="545" spans="1:45" x14ac:dyDescent="0.35">
      <c r="A545" s="24"/>
      <c r="B545" s="21"/>
      <c r="C545" s="21"/>
      <c r="D545" s="21"/>
      <c r="E545" s="21"/>
      <c r="F545" s="21"/>
      <c r="G545" s="21"/>
      <c r="H545" s="21"/>
      <c r="I545" s="21"/>
      <c r="J545" s="21"/>
      <c r="K545" s="21"/>
      <c r="L545" s="21"/>
      <c r="M545" s="25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6"/>
      <c r="AQ545" s="27"/>
      <c r="AR545" s="21"/>
      <c r="AS545" s="28"/>
    </row>
    <row r="546" spans="1:45" x14ac:dyDescent="0.35">
      <c r="A546" s="24"/>
      <c r="B546" s="21"/>
      <c r="C546" s="21"/>
      <c r="D546" s="21"/>
      <c r="E546" s="21"/>
      <c r="F546" s="21"/>
      <c r="G546" s="21"/>
      <c r="H546" s="21"/>
      <c r="I546" s="21"/>
      <c r="J546" s="21"/>
      <c r="K546" s="24"/>
      <c r="L546" s="21"/>
      <c r="M546" s="25"/>
      <c r="N546" s="21"/>
      <c r="O546" s="21"/>
      <c r="P546" s="21"/>
      <c r="Q546" s="21"/>
      <c r="R546" s="21"/>
      <c r="S546" s="21"/>
      <c r="T546" s="21"/>
      <c r="U546" s="21"/>
      <c r="V546" s="2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1"/>
      <c r="AI546" s="21"/>
      <c r="AJ546" s="21"/>
      <c r="AK546" s="21"/>
      <c r="AL546" s="21"/>
      <c r="AM546" s="21"/>
      <c r="AN546" s="21"/>
      <c r="AO546" s="21"/>
      <c r="AP546" s="26"/>
      <c r="AQ546" s="27"/>
      <c r="AR546" s="21"/>
      <c r="AS546" s="28"/>
    </row>
    <row r="547" spans="1:45" x14ac:dyDescent="0.35">
      <c r="A547" s="29"/>
      <c r="B547" s="22"/>
      <c r="C547" s="22"/>
      <c r="D547" s="22"/>
      <c r="E547" s="22"/>
      <c r="F547" s="22"/>
      <c r="G547" s="22"/>
      <c r="H547" s="22"/>
      <c r="I547" s="22"/>
      <c r="J547" s="22"/>
      <c r="K547" s="29"/>
      <c r="L547" s="22"/>
      <c r="M547" s="30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22"/>
      <c r="AM547" s="22"/>
      <c r="AN547" s="22"/>
      <c r="AO547" s="21"/>
      <c r="AP547" s="26"/>
      <c r="AQ547" s="27"/>
      <c r="AR547" s="21"/>
      <c r="AS547" s="28"/>
    </row>
    <row r="548" spans="1:45" x14ac:dyDescent="0.35">
      <c r="A548" s="24"/>
      <c r="B548" s="21"/>
      <c r="C548" s="21"/>
      <c r="D548" s="21"/>
      <c r="E548" s="21"/>
      <c r="F548" s="21"/>
      <c r="G548" s="21"/>
      <c r="H548" s="21"/>
      <c r="I548" s="21"/>
      <c r="J548" s="21"/>
      <c r="K548" s="24"/>
      <c r="L548" s="21"/>
      <c r="M548" s="25"/>
      <c r="N548" s="21"/>
      <c r="O548" s="21"/>
      <c r="P548" s="21"/>
      <c r="Q548" s="21"/>
      <c r="R548" s="21"/>
      <c r="S548" s="21"/>
      <c r="T548" s="21"/>
      <c r="U548" s="21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6"/>
      <c r="AQ548" s="27"/>
      <c r="AR548" s="21"/>
      <c r="AS548" s="28"/>
    </row>
    <row r="549" spans="1:45" x14ac:dyDescent="0.35">
      <c r="A549" s="24"/>
      <c r="B549" s="21"/>
      <c r="C549" s="21"/>
      <c r="D549" s="21"/>
      <c r="E549" s="21"/>
      <c r="F549" s="21"/>
      <c r="G549" s="21"/>
      <c r="H549" s="21"/>
      <c r="I549" s="21"/>
      <c r="J549" s="21"/>
      <c r="K549" s="24"/>
      <c r="L549" s="21"/>
      <c r="M549" s="25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6"/>
      <c r="AQ549" s="27"/>
      <c r="AR549" s="21"/>
      <c r="AS549" s="28"/>
    </row>
    <row r="550" spans="1:45" x14ac:dyDescent="0.35">
      <c r="A550" s="24"/>
      <c r="B550" s="21"/>
      <c r="C550" s="21"/>
      <c r="D550" s="21"/>
      <c r="E550" s="21"/>
      <c r="F550" s="21"/>
      <c r="G550" s="21"/>
      <c r="H550" s="21"/>
      <c r="I550" s="21"/>
      <c r="J550" s="21"/>
      <c r="K550" s="24"/>
      <c r="L550" s="21"/>
      <c r="M550" s="25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6"/>
      <c r="AQ550" s="27"/>
      <c r="AR550" s="21"/>
      <c r="AS550" s="28"/>
    </row>
    <row r="551" spans="1:45" x14ac:dyDescent="0.35">
      <c r="A551" s="24"/>
      <c r="B551" s="21"/>
      <c r="C551" s="21"/>
      <c r="D551" s="21"/>
      <c r="E551" s="21"/>
      <c r="F551" s="21"/>
      <c r="G551" s="21"/>
      <c r="H551" s="21"/>
      <c r="I551" s="21"/>
      <c r="J551" s="21"/>
      <c r="K551" s="24"/>
      <c r="L551" s="21"/>
      <c r="M551" s="25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6"/>
      <c r="AQ551" s="27"/>
      <c r="AR551" s="21"/>
      <c r="AS551" s="28"/>
    </row>
    <row r="552" spans="1:45" x14ac:dyDescent="0.35">
      <c r="A552" s="24"/>
      <c r="B552" s="21"/>
      <c r="C552" s="21"/>
      <c r="D552" s="21"/>
      <c r="E552" s="21"/>
      <c r="F552" s="21"/>
      <c r="G552" s="21"/>
      <c r="H552" s="21"/>
      <c r="I552" s="21"/>
      <c r="J552" s="21"/>
      <c r="K552" s="24"/>
      <c r="L552" s="21"/>
      <c r="M552" s="25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6"/>
      <c r="AQ552" s="27"/>
      <c r="AR552" s="21"/>
      <c r="AS552" s="28"/>
    </row>
    <row r="553" spans="1:45" x14ac:dyDescent="0.35">
      <c r="A553" s="29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30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22"/>
      <c r="AM553" s="22"/>
      <c r="AN553" s="22"/>
      <c r="AO553" s="21"/>
      <c r="AP553" s="26"/>
      <c r="AQ553" s="27"/>
      <c r="AR553" s="21"/>
      <c r="AS553" s="28"/>
    </row>
    <row r="554" spans="1:45" x14ac:dyDescent="0.35">
      <c r="A554" s="24"/>
      <c r="B554" s="21"/>
      <c r="C554" s="21"/>
      <c r="D554" s="21"/>
      <c r="E554" s="21"/>
      <c r="F554" s="21"/>
      <c r="G554" s="21"/>
      <c r="H554" s="21"/>
      <c r="I554" s="21"/>
      <c r="J554" s="21"/>
      <c r="K554" s="21"/>
      <c r="L554" s="21"/>
      <c r="M554" s="25"/>
      <c r="N554" s="21"/>
      <c r="O554" s="21"/>
      <c r="P554" s="21"/>
      <c r="Q554" s="21"/>
      <c r="R554" s="21"/>
      <c r="S554" s="21"/>
      <c r="T554" s="21"/>
      <c r="U554" s="21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6"/>
      <c r="AQ554" s="27"/>
      <c r="AR554" s="21"/>
      <c r="AS554" s="28"/>
    </row>
    <row r="555" spans="1:45" x14ac:dyDescent="0.35">
      <c r="A555" s="24"/>
      <c r="B555" s="21"/>
      <c r="C555" s="21"/>
      <c r="D555" s="21"/>
      <c r="E555" s="21"/>
      <c r="F555" s="21"/>
      <c r="G555" s="21"/>
      <c r="H555" s="21"/>
      <c r="I555" s="21"/>
      <c r="J555" s="21"/>
      <c r="K555" s="24"/>
      <c r="L555" s="21"/>
      <c r="M555" s="25"/>
      <c r="N555" s="21"/>
      <c r="O555" s="21"/>
      <c r="P555" s="21"/>
      <c r="Q555" s="21"/>
      <c r="R555" s="21"/>
      <c r="S555" s="21"/>
      <c r="T555" s="21"/>
      <c r="U555" s="21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6"/>
      <c r="AQ555" s="27"/>
      <c r="AR555" s="21"/>
      <c r="AS555" s="28"/>
    </row>
    <row r="556" spans="1:45" x14ac:dyDescent="0.35">
      <c r="A556" s="24"/>
      <c r="B556" s="21"/>
      <c r="C556" s="21"/>
      <c r="D556" s="21"/>
      <c r="E556" s="21"/>
      <c r="F556" s="21"/>
      <c r="G556" s="21"/>
      <c r="H556" s="21"/>
      <c r="I556" s="21"/>
      <c r="J556" s="21"/>
      <c r="K556" s="24"/>
      <c r="L556" s="21"/>
      <c r="M556" s="25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6"/>
      <c r="AQ556" s="27"/>
      <c r="AR556" s="21"/>
      <c r="AS556" s="28"/>
    </row>
    <row r="557" spans="1:45" x14ac:dyDescent="0.35">
      <c r="A557" s="24"/>
      <c r="B557" s="21"/>
      <c r="C557" s="21"/>
      <c r="D557" s="21"/>
      <c r="E557" s="21"/>
      <c r="F557" s="21"/>
      <c r="G557" s="21"/>
      <c r="H557" s="21"/>
      <c r="I557" s="21"/>
      <c r="J557" s="21"/>
      <c r="K557" s="24"/>
      <c r="L557" s="21"/>
      <c r="M557" s="25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6"/>
      <c r="AQ557" s="27"/>
      <c r="AR557" s="21"/>
      <c r="AS557" s="28"/>
    </row>
    <row r="558" spans="1:45" x14ac:dyDescent="0.35">
      <c r="A558" s="31"/>
      <c r="B558" s="32"/>
      <c r="C558" s="32"/>
      <c r="D558" s="32"/>
      <c r="E558" s="32"/>
      <c r="F558" s="32"/>
      <c r="G558" s="32"/>
      <c r="H558" s="32"/>
      <c r="I558" s="32"/>
      <c r="J558" s="32"/>
      <c r="K558" s="32"/>
      <c r="L558" s="32"/>
      <c r="M558" s="33"/>
      <c r="N558" s="32"/>
      <c r="O558" s="32"/>
      <c r="P558" s="32"/>
      <c r="Q558" s="32"/>
      <c r="R558" s="32"/>
      <c r="S558" s="32"/>
      <c r="T558" s="32"/>
      <c r="U558" s="32"/>
      <c r="V558" s="32"/>
      <c r="W558" s="32"/>
      <c r="X558" s="32"/>
      <c r="Y558" s="32"/>
      <c r="Z558" s="32"/>
      <c r="AA558" s="32"/>
      <c r="AB558" s="32"/>
      <c r="AC558" s="32"/>
      <c r="AD558" s="32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21"/>
      <c r="AP558" s="26"/>
      <c r="AQ558" s="27"/>
      <c r="AR558" s="21"/>
      <c r="AS558" s="28"/>
    </row>
    <row r="559" spans="1:45" x14ac:dyDescent="0.35">
      <c r="A559" s="31"/>
      <c r="B559" s="32"/>
      <c r="C559" s="32"/>
      <c r="D559" s="32"/>
      <c r="E559" s="32"/>
      <c r="F559" s="32"/>
      <c r="G559" s="32"/>
      <c r="H559" s="32"/>
      <c r="I559" s="32"/>
      <c r="J559" s="32"/>
      <c r="K559" s="32"/>
      <c r="L559" s="32"/>
      <c r="M559" s="33"/>
      <c r="N559" s="32"/>
      <c r="O559" s="32"/>
      <c r="P559" s="32"/>
      <c r="Q559" s="32"/>
      <c r="R559" s="32"/>
      <c r="S559" s="32"/>
      <c r="T559" s="32"/>
      <c r="U559" s="32"/>
      <c r="V559" s="32"/>
      <c r="W559" s="32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21"/>
      <c r="AP559" s="26"/>
      <c r="AQ559" s="27"/>
      <c r="AR559" s="21"/>
      <c r="AS559" s="28"/>
    </row>
    <row r="560" spans="1:45" x14ac:dyDescent="0.35">
      <c r="A560" s="24"/>
      <c r="B560" s="21"/>
      <c r="C560" s="21"/>
      <c r="D560" s="21"/>
      <c r="E560" s="21"/>
      <c r="F560" s="21"/>
      <c r="G560" s="21"/>
      <c r="H560" s="21"/>
      <c r="I560" s="21"/>
      <c r="J560" s="21"/>
      <c r="K560" s="24"/>
      <c r="L560" s="21"/>
      <c r="M560" s="25"/>
      <c r="N560" s="21"/>
      <c r="O560" s="21"/>
      <c r="P560" s="21"/>
      <c r="Q560" s="21"/>
      <c r="R560" s="21"/>
      <c r="S560" s="21"/>
      <c r="T560" s="21"/>
      <c r="U560" s="21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6"/>
      <c r="AQ560" s="27"/>
      <c r="AR560" s="21"/>
      <c r="AS560" s="28"/>
    </row>
    <row r="561" spans="1:45" x14ac:dyDescent="0.35">
      <c r="A561" s="24"/>
      <c r="B561" s="21"/>
      <c r="C561" s="21"/>
      <c r="D561" s="21"/>
      <c r="E561" s="21"/>
      <c r="F561" s="21"/>
      <c r="G561" s="21"/>
      <c r="H561" s="21"/>
      <c r="I561" s="21"/>
      <c r="J561" s="21"/>
      <c r="K561" s="24"/>
      <c r="L561" s="21"/>
      <c r="M561" s="25"/>
      <c r="N561" s="21"/>
      <c r="O561" s="21"/>
      <c r="P561" s="21"/>
      <c r="Q561" s="21"/>
      <c r="R561" s="21"/>
      <c r="S561" s="21"/>
      <c r="T561" s="21"/>
      <c r="U561" s="21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1"/>
      <c r="AI561" s="21"/>
      <c r="AJ561" s="21"/>
      <c r="AK561" s="21"/>
      <c r="AL561" s="21"/>
      <c r="AM561" s="21"/>
      <c r="AN561" s="21"/>
      <c r="AO561" s="21"/>
      <c r="AP561" s="26"/>
      <c r="AQ561" s="27"/>
      <c r="AR561" s="21"/>
      <c r="AS561" s="28"/>
    </row>
    <row r="562" spans="1:45" x14ac:dyDescent="0.35">
      <c r="A562" s="24"/>
      <c r="B562" s="21"/>
      <c r="C562" s="21"/>
      <c r="D562" s="21"/>
      <c r="E562" s="21"/>
      <c r="F562" s="21"/>
      <c r="G562" s="21"/>
      <c r="H562" s="21"/>
      <c r="I562" s="21"/>
      <c r="J562" s="21"/>
      <c r="K562" s="21"/>
      <c r="L562" s="21"/>
      <c r="M562" s="25"/>
      <c r="N562" s="21"/>
      <c r="O562" s="21"/>
      <c r="P562" s="21"/>
      <c r="Q562" s="21"/>
      <c r="R562" s="21"/>
      <c r="S562" s="21"/>
      <c r="T562" s="21"/>
      <c r="U562" s="21"/>
      <c r="V562" s="2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6"/>
      <c r="AQ562" s="27"/>
      <c r="AR562" s="21"/>
      <c r="AS562" s="28"/>
    </row>
    <row r="563" spans="1:45" x14ac:dyDescent="0.35">
      <c r="A563" s="24"/>
      <c r="B563" s="21"/>
      <c r="C563" s="21"/>
      <c r="D563" s="21"/>
      <c r="E563" s="21"/>
      <c r="F563" s="21"/>
      <c r="G563" s="21"/>
      <c r="H563" s="21"/>
      <c r="I563" s="21"/>
      <c r="J563" s="21"/>
      <c r="K563" s="24"/>
      <c r="L563" s="21"/>
      <c r="M563" s="25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6"/>
      <c r="AQ563" s="27"/>
      <c r="AR563" s="21"/>
      <c r="AS563" s="28"/>
    </row>
    <row r="564" spans="1:45" x14ac:dyDescent="0.35">
      <c r="A564" s="24"/>
      <c r="B564" s="21"/>
      <c r="C564" s="21"/>
      <c r="D564" s="21"/>
      <c r="E564" s="21"/>
      <c r="F564" s="21"/>
      <c r="G564" s="21"/>
      <c r="H564" s="21"/>
      <c r="I564" s="21"/>
      <c r="J564" s="21"/>
      <c r="K564" s="21"/>
      <c r="L564" s="21"/>
      <c r="M564" s="25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6"/>
      <c r="AQ564" s="27"/>
      <c r="AR564" s="21"/>
      <c r="AS564" s="28"/>
    </row>
    <row r="565" spans="1:45" x14ac:dyDescent="0.35">
      <c r="A565" s="24"/>
      <c r="B565" s="21"/>
      <c r="C565" s="21"/>
      <c r="D565" s="21"/>
      <c r="E565" s="21"/>
      <c r="F565" s="21"/>
      <c r="G565" s="21"/>
      <c r="H565" s="21"/>
      <c r="I565" s="21"/>
      <c r="J565" s="21"/>
      <c r="K565" s="24"/>
      <c r="L565" s="21"/>
      <c r="M565" s="25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6"/>
      <c r="AQ565" s="27"/>
      <c r="AR565" s="21"/>
      <c r="AS565" s="28"/>
    </row>
    <row r="566" spans="1:45" x14ac:dyDescent="0.35">
      <c r="A566" s="29"/>
      <c r="B566" s="22"/>
      <c r="C566" s="22"/>
      <c r="D566" s="22"/>
      <c r="E566" s="22"/>
      <c r="F566" s="22"/>
      <c r="G566" s="22"/>
      <c r="H566" s="22"/>
      <c r="I566" s="22"/>
      <c r="J566" s="22"/>
      <c r="K566" s="29"/>
      <c r="L566" s="22"/>
      <c r="M566" s="30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22"/>
      <c r="AM566" s="22"/>
      <c r="AN566" s="22"/>
      <c r="AO566" s="21"/>
      <c r="AP566" s="26"/>
      <c r="AQ566" s="27"/>
      <c r="AR566" s="21"/>
      <c r="AS566" s="28"/>
    </row>
    <row r="567" spans="1:45" x14ac:dyDescent="0.35">
      <c r="A567" s="24"/>
      <c r="B567" s="21"/>
      <c r="C567" s="21"/>
      <c r="D567" s="21"/>
      <c r="E567" s="21"/>
      <c r="F567" s="21"/>
      <c r="G567" s="21"/>
      <c r="H567" s="21"/>
      <c r="I567" s="21"/>
      <c r="J567" s="21"/>
      <c r="K567" s="24"/>
      <c r="L567" s="21"/>
      <c r="M567" s="25"/>
      <c r="N567" s="21"/>
      <c r="O567" s="21"/>
      <c r="P567" s="21"/>
      <c r="Q567" s="21"/>
      <c r="R567" s="21"/>
      <c r="S567" s="21"/>
      <c r="T567" s="21"/>
      <c r="U567" s="21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6"/>
      <c r="AQ567" s="27"/>
      <c r="AR567" s="21"/>
      <c r="AS567" s="28"/>
    </row>
    <row r="568" spans="1:45" x14ac:dyDescent="0.35">
      <c r="A568" s="29"/>
      <c r="B568" s="22"/>
      <c r="C568" s="22"/>
      <c r="D568" s="22"/>
      <c r="E568" s="22"/>
      <c r="F568" s="22"/>
      <c r="G568" s="22"/>
      <c r="H568" s="22"/>
      <c r="I568" s="22"/>
      <c r="J568" s="22"/>
      <c r="K568" s="29"/>
      <c r="L568" s="22"/>
      <c r="M568" s="30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22"/>
      <c r="AM568" s="22"/>
      <c r="AN568" s="22"/>
      <c r="AO568" s="21"/>
      <c r="AP568" s="26"/>
      <c r="AQ568" s="27"/>
      <c r="AR568" s="21"/>
      <c r="AS568" s="28"/>
    </row>
    <row r="569" spans="1:45" x14ac:dyDescent="0.35">
      <c r="A569" s="24"/>
      <c r="B569" s="21"/>
      <c r="C569" s="21"/>
      <c r="D569" s="21"/>
      <c r="E569" s="21"/>
      <c r="F569" s="21"/>
      <c r="G569" s="21"/>
      <c r="H569" s="21"/>
      <c r="I569" s="21"/>
      <c r="J569" s="21"/>
      <c r="K569" s="24"/>
      <c r="L569" s="21"/>
      <c r="M569" s="25"/>
      <c r="N569" s="21"/>
      <c r="O569" s="21"/>
      <c r="P569" s="21"/>
      <c r="Q569" s="21"/>
      <c r="R569" s="21"/>
      <c r="S569" s="21"/>
      <c r="T569" s="21"/>
      <c r="U569" s="21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6"/>
      <c r="AQ569" s="27"/>
      <c r="AR569" s="21"/>
      <c r="AS569" s="28"/>
    </row>
    <row r="570" spans="1:45" x14ac:dyDescent="0.35">
      <c r="A570" s="24"/>
      <c r="B570" s="21"/>
      <c r="C570" s="21"/>
      <c r="D570" s="21"/>
      <c r="E570" s="21"/>
      <c r="F570" s="21"/>
      <c r="G570" s="21"/>
      <c r="H570" s="21"/>
      <c r="I570" s="21"/>
      <c r="J570" s="21"/>
      <c r="K570" s="21"/>
      <c r="L570" s="21"/>
      <c r="M570" s="25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6"/>
      <c r="AQ570" s="27"/>
      <c r="AR570" s="21"/>
      <c r="AS570" s="28"/>
    </row>
    <row r="571" spans="1:45" x14ac:dyDescent="0.35">
      <c r="A571" s="24"/>
      <c r="B571" s="21"/>
      <c r="C571" s="21"/>
      <c r="D571" s="21"/>
      <c r="E571" s="21"/>
      <c r="F571" s="21"/>
      <c r="G571" s="21"/>
      <c r="H571" s="21"/>
      <c r="I571" s="21"/>
      <c r="J571" s="21"/>
      <c r="K571" s="21"/>
      <c r="L571" s="21"/>
      <c r="M571" s="25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6"/>
      <c r="AQ571" s="27"/>
      <c r="AR571" s="21"/>
      <c r="AS571" s="28"/>
    </row>
    <row r="572" spans="1:45" x14ac:dyDescent="0.35">
      <c r="A572" s="24"/>
      <c r="B572" s="21"/>
      <c r="C572" s="21"/>
      <c r="D572" s="21"/>
      <c r="E572" s="21"/>
      <c r="F572" s="21"/>
      <c r="G572" s="21"/>
      <c r="H572" s="21"/>
      <c r="I572" s="21"/>
      <c r="J572" s="21"/>
      <c r="K572" s="21"/>
      <c r="L572" s="21"/>
      <c r="M572" s="25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6"/>
      <c r="AQ572" s="27"/>
      <c r="AR572" s="21"/>
      <c r="AS572" s="28"/>
    </row>
    <row r="573" spans="1:45" x14ac:dyDescent="0.35">
      <c r="A573" s="24"/>
      <c r="B573" s="21"/>
      <c r="C573" s="21"/>
      <c r="D573" s="21"/>
      <c r="E573" s="21"/>
      <c r="F573" s="21"/>
      <c r="G573" s="21"/>
      <c r="H573" s="21"/>
      <c r="I573" s="21"/>
      <c r="J573" s="21"/>
      <c r="K573" s="21"/>
      <c r="L573" s="21"/>
      <c r="M573" s="25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6"/>
      <c r="AQ573" s="27"/>
      <c r="AR573" s="21"/>
      <c r="AS573" s="28"/>
    </row>
    <row r="574" spans="1:45" x14ac:dyDescent="0.35">
      <c r="A574" s="24"/>
      <c r="B574" s="21"/>
      <c r="C574" s="21"/>
      <c r="D574" s="21"/>
      <c r="E574" s="21"/>
      <c r="F574" s="21"/>
      <c r="G574" s="21"/>
      <c r="H574" s="21"/>
      <c r="I574" s="21"/>
      <c r="J574" s="21"/>
      <c r="K574" s="21"/>
      <c r="L574" s="21"/>
      <c r="M574" s="25"/>
      <c r="N574" s="21"/>
      <c r="O574" s="21"/>
      <c r="P574" s="21"/>
      <c r="Q574" s="21"/>
      <c r="R574" s="21"/>
      <c r="S574" s="21"/>
      <c r="T574" s="21"/>
      <c r="U574" s="21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6"/>
      <c r="AQ574" s="27"/>
      <c r="AR574" s="21"/>
      <c r="AS574" s="28"/>
    </row>
  </sheetData>
  <conditionalFormatting sqref="B130:C135">
    <cfRule type="expression" dxfId="1" priority="1">
      <formula>$B$130=MIN($B$130,$C$130)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eleccionarMaterialesYAbrirProveedor">
                <anchor moveWithCells="1" sizeWithCells="1">
                  <from>
                    <xdr:col>1</xdr:col>
                    <xdr:colOff>565150</xdr:colOff>
                    <xdr:row>281</xdr:row>
                    <xdr:rowOff>107950</xdr:rowOff>
                  </from>
                  <to>
                    <xdr:col>4</xdr:col>
                    <xdr:colOff>514350</xdr:colOff>
                    <xdr:row>284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8454e4b-95eb-4b00-865c-f71c9889e4ce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162E7C3B5BAF34EB51D8F19FA7A8736" ma:contentTypeVersion="10" ma:contentTypeDescription="Crear nuevo documento." ma:contentTypeScope="" ma:versionID="d5fda6f1b265bcdadc40bb313298dd84">
  <xsd:schema xmlns:xsd="http://www.w3.org/2001/XMLSchema" xmlns:xs="http://www.w3.org/2001/XMLSchema" xmlns:p="http://schemas.microsoft.com/office/2006/metadata/properties" xmlns:ns3="08454e4b-95eb-4b00-865c-f71c9889e4ce" targetNamespace="http://schemas.microsoft.com/office/2006/metadata/properties" ma:root="true" ma:fieldsID="62c916d436f05cac0176ea37cf23dacd" ns3:_="">
    <xsd:import namespace="08454e4b-95eb-4b00-865c-f71c9889e4ce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454e4b-95eb-4b00-865c-f71c9889e4ce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B8E0C6B-BD2B-401A-BB6C-5DEBBB146A4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55840A1-7B83-4A14-933A-AF28366E571D}">
  <ds:schemaRefs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08454e4b-95eb-4b00-865c-f71c9889e4ce"/>
    <ds:schemaRef ds:uri="http://www.w3.org/XML/1998/namespace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E8764556-5F5E-434F-A776-688F36D4F8C3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30B3EEF-3FEA-4D1F-892B-4F60668FE9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8454e4b-95eb-4b00-865c-f71c9889e4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Solped_Hoy</vt:lpstr>
      <vt:lpstr>29-04</vt:lpstr>
      <vt:lpstr>28-04</vt:lpstr>
      <vt:lpstr>27-04</vt:lpstr>
      <vt:lpstr>jvega</vt:lpstr>
      <vt:lpstr>Cintill</vt:lpstr>
      <vt:lpstr>Sillas</vt:lpstr>
      <vt:lpstr>Pareto</vt:lpstr>
      <vt:lpstr>Solped_Hoy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Lapa</dc:creator>
  <cp:lastModifiedBy>Benjamin Lapa</cp:lastModifiedBy>
  <cp:lastPrinted>2026-04-13T19:35:04Z</cp:lastPrinted>
  <dcterms:created xsi:type="dcterms:W3CDTF">2015-06-05T18:19:34Z</dcterms:created>
  <dcterms:modified xsi:type="dcterms:W3CDTF">2026-04-30T15:06:55Z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0x010100E162E7C3B5BAF34EB51D8F19FA7A8736</vt:lpwstr>
  </property>
</Properties>
</file>